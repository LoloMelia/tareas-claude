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6.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5.xml.rels" ContentType="application/vnd.openxmlformats-package.relationships+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_rels/workbook.xml.rels" ContentType="application/vnd.openxmlformats-package.relationships+xml"/>
  <Override PartName="/xl/media/image13.png" ContentType="image/png"/>
  <Override PartName="/xl/media/image4.png" ContentType="image/png"/>
  <Override PartName="/xl/media/image9.png" ContentType="image/png"/>
  <Override PartName="/xl/media/image14.png" ContentType="image/png"/>
  <Override PartName="/xl/media/image5.png" ContentType="image/png"/>
  <Override PartName="/xl/media/image15.png" ContentType="image/png"/>
  <Override PartName="/xl/media/image6.png" ContentType="image/png"/>
  <Override PartName="/xl/media/image10.png" ContentType="image/png"/>
  <Override PartName="/xl/media/image1.png" ContentType="image/png"/>
  <Override PartName="/xl/media/image16.png" ContentType="image/png"/>
  <Override PartName="/xl/media/image7.png" ContentType="image/png"/>
  <Override PartName="/xl/media/image11.png" ContentType="image/png"/>
  <Override PartName="/xl/media/image2.png" ContentType="image/png"/>
  <Override PartName="/xl/media/image17.png" ContentType="image/png"/>
  <Override PartName="/xl/media/image8.png" ContentType="image/png"/>
  <Override PartName="/xl/media/image12.png" ContentType="image/png"/>
  <Override PartName="/xl/media/image3.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Iluminacion y ventilacion" sheetId="1" state="visible" r:id="rId3"/>
    <sheet name="Planilla 3 higrotermica" sheetId="2" state="visible" r:id="rId4"/>
    <sheet name="Planilla vigas" sheetId="3" state="visible" r:id="rId5"/>
    <sheet name="Planilla losas" sheetId="4" state="visible" r:id="rId6"/>
    <sheet name="Planilla columnas" sheetId="5" state="visible" r:id="rId7"/>
    <sheet name="Vigas de fundacion" sheetId="6" state="visible" r:id="rId8"/>
    <sheet name="Pilotes y cabezales" sheetId="7" state="visible" r:id="rId9"/>
    <sheet name="Tabiques" sheetId="8" state="visible" r:id="rId10"/>
    <sheet name="Balance termico" sheetId="9" state="visible" r:id="rId11"/>
    <sheet name="Datos_vigas" sheetId="10" state="visible" r:id="rId12"/>
    <sheet name="Datos_losas" sheetId="11" state="visible" r:id="rId13"/>
    <sheet name="Datos_columnas" sheetId="12" state="visible" r:id="rId14"/>
    <sheet name="Datos_pilotes" sheetId="13" state="visible" r:id="rId15"/>
    <sheet name="Datos_higro" sheetId="14" state="visible" r:id="rId16"/>
    <sheet name="Datos_balance" sheetId="15" state="visible" r:id="rId17"/>
    <sheet name="Memoria ilum. y vent." sheetId="16" state="visible" r:id="rId18"/>
    <sheet name="Memoria vigas" sheetId="17" state="visible" r:id="rId19"/>
    <sheet name="Memoria losas" sheetId="18" state="visible" r:id="rId20"/>
    <sheet name="Memoria columnas" sheetId="19" state="visible" r:id="rId21"/>
    <sheet name="Fundacion (inventario)" sheetId="20" state="visible" r:id="rId22"/>
  </sheets>
  <definedNames>
    <definedName function="false" hidden="false" localSheetId="8" name="_xlnm.Print_Area" vbProcedure="false">'Balance termico'!$A$1:$F$545</definedName>
    <definedName function="false" hidden="false" localSheetId="0" name="_xlnm.Print_Titles" vbProcedure="false">'Iluminacion y ventilacion'!$1:$3</definedName>
    <definedName function="false" hidden="false" localSheetId="6" name="_xlnm.Print_Titles" vbProcedure="false">'Pilotes y cabezales'!$1:$3</definedName>
    <definedName function="false" hidden="false" localSheetId="1" name="_xlnm.Print_Area" vbProcedure="false">'Planilla 3 higrotermica'!$A$1:$M$36</definedName>
    <definedName function="false" hidden="false" localSheetId="1" name="_xlnm.Print_Titles" vbProcedure="false">'Planilla 3 higrotermica'!$1:$5</definedName>
    <definedName function="false" hidden="false" localSheetId="4" name="_xlnm.Print_Area" vbProcedure="false">'Planilla columnas'!$A$1:$N$16</definedName>
    <definedName function="false" hidden="false" localSheetId="4" name="_xlnm.Print_Titles" vbProcedure="false">'Planilla columnas'!$1:$3</definedName>
    <definedName function="false" hidden="false" localSheetId="3" name="_xlnm.Print_Area" vbProcedure="false">'Planilla losas'!$A$1:$R$15</definedName>
    <definedName function="false" hidden="false" localSheetId="3" name="_xlnm.Print_Titles" vbProcedure="false">'Planilla losas'!$1:$3</definedName>
    <definedName function="false" hidden="false" localSheetId="2" name="_xlnm.Print_Area" vbProcedure="false">'Planilla vigas'!$A$1:$X$34</definedName>
    <definedName function="false" hidden="false" localSheetId="2" name="_xlnm.Print_Titles" vbProcedure="false">'Planilla vigas'!$1:$3</definedName>
    <definedName function="false" hidden="false" localSheetId="7" name="_xlnm.Print_Titles" vbProcedure="false">Tabiques!$1:$3</definedName>
    <definedName function="false" hidden="false" localSheetId="5" name="_xlnm.Print_Area" vbProcedure="false">'Vigas de fundacion'!$A$1:$X$34</definedName>
    <definedName function="false" hidden="false" localSheetId="5" name="_xlnm.Print_Titles" vbProcedure="false">'Vigas de fundacion'!$1:$3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<sst xmlns="http://schemas.openxmlformats.org/spreadsheetml/2006/main" count="1857" uniqueCount="917">
  <si>
    <t xml:space="preserve">PLANILLA DE ILUMINACION Y VENTILACION</t>
  </si>
  <si>
    <t xml:space="preserve">Local</t>
  </si>
  <si>
    <t xml:space="preserve">(a)
Medidas</t>
  </si>
  <si>
    <t xml:space="preserve">(b)
Medidas</t>
  </si>
  <si>
    <t xml:space="preserve">(Area)
Medidas</t>
  </si>
  <si>
    <t xml:space="preserve">Iluminacion</t>
  </si>
  <si>
    <t xml:space="preserve">Ventilacion</t>
  </si>
  <si>
    <t xml:space="preserve">VERIFICACION</t>
  </si>
  <si>
    <t xml:space="preserve">OBSERVACIONES</t>
  </si>
  <si>
    <t xml:space="preserve">Coef.</t>
  </si>
  <si>
    <t xml:space="preserve">Area requerida</t>
  </si>
  <si>
    <t xml:space="preserve">Area proyectada</t>
  </si>
  <si>
    <t xml:space="preserve">PB</t>
  </si>
  <si>
    <t xml:space="preserve">01 - Cocina / comedor</t>
  </si>
  <si>
    <t xml:space="preserve">i/3</t>
  </si>
  <si>
    <t xml:space="preserve">02 - Deposito</t>
  </si>
  <si>
    <t xml:space="preserve">-</t>
  </si>
  <si>
    <t xml:space="preserve">NO EXIGIBLE</t>
  </si>
  <si>
    <t xml:space="preserve">Local no habitable: el codigo no le exige iluminacion ni ventilacion natural. Si se lo considera habitable, hay que preverle conducto.</t>
  </si>
  <si>
    <t xml:space="preserve">03 - Lavadero</t>
  </si>
  <si>
    <t xml:space="preserve">06 - Living / comedor</t>
  </si>
  <si>
    <t xml:space="preserve">07 - Hall / ingreso</t>
  </si>
  <si>
    <t xml:space="preserve">CORREGIDO: la planilla original repetia los valores del local 03 (0,66 y 0,22). Con 4,00 x 2,15 = 8,60 m2 corresponden 0,96 y 0,32. Cumple igual.</t>
  </si>
  <si>
    <t xml:space="preserve">09 - Dormitorio suite</t>
  </si>
  <si>
    <t xml:space="preserve">10 - Bano suite</t>
  </si>
  <si>
    <t xml:space="preserve">COND</t>
  </si>
  <si>
    <t xml:space="preserve">Sin ventana al exterior: se ventila por conducto o extraccion mecanica.</t>
  </si>
  <si>
    <t xml:space="preserve">11 - Bano visita</t>
  </si>
  <si>
    <t xml:space="preserve">12 - Bano exterior</t>
  </si>
  <si>
    <t xml:space="preserve">PA</t>
  </si>
  <si>
    <t xml:space="preserve">13 - Dormitorio 1</t>
  </si>
  <si>
    <t xml:space="preserve">14 - Estar / Playroom</t>
  </si>
  <si>
    <t xml:space="preserve">La superficie abrible declarada iguala a la vidriada: supondria una carpinteria 100% abrible. En el resto de los locales la relacion es del 50%. Verificar.</t>
  </si>
  <si>
    <t xml:space="preserve">15 - Dormitorio 2</t>
  </si>
  <si>
    <t xml:space="preserve">17 - Bano</t>
  </si>
  <si>
    <t xml:space="preserve">En amarillo, las medidas corregidas al relevar los locales para el balance termico.</t>
  </si>
  <si>
    <t xml:space="preserve">Municipalidad de Rosario</t>
  </si>
  <si>
    <t xml:space="preserve">ORDENANZA N 8757/11</t>
  </si>
  <si>
    <t xml:space="preserve">Secretaria de Planeamiento - Programa de Construcciones Sustentables y Eficiencia Energetica</t>
  </si>
  <si>
    <t xml:space="preserve">Solicitud del Certificado de Aspectos Higrotermicos y Eficiencia Energetica de las Construcciones</t>
  </si>
  <si>
    <t xml:space="preserve">PLANILLA 3:   Verificacion de transmitancia termica y factor de exposicion solar de cerramientos transparentes.</t>
  </si>
  <si>
    <t xml:space="preserve">Descripcion</t>
  </si>
  <si>
    <t xml:space="preserve">Altura del vano</t>
  </si>
  <si>
    <t xml:space="preserve">Ancho del vano</t>
  </si>
  <si>
    <t xml:space="preserve">Area del vano</t>
  </si>
  <si>
    <t xml:space="preserve">Area total vanos (m2)</t>
  </si>
  <si>
    <t xml:space="preserve">Porcentaje sup. de vanos</t>
  </si>
  <si>
    <t xml:space="preserve">Transmit. Max. [W/m2K]</t>
  </si>
  <si>
    <t xml:space="preserve">Tipo de vidrio</t>
  </si>
  <si>
    <t xml:space="preserve">Tipo de proteccion</t>
  </si>
  <si>
    <t xml:space="preserve">Transmit. [W/m2K]</t>
  </si>
  <si>
    <t xml:space="preserve">Orientacion</t>
  </si>
  <si>
    <t xml:space="preserve">Factor de Expos. Solar</t>
  </si>
  <si>
    <t xml:space="preserve">Plano: Fachada Noreste</t>
  </si>
  <si>
    <t xml:space="preserve">PA02</t>
  </si>
  <si>
    <t xml:space="preserve">DVH 6+9+3+3 (aluminio linea A30)</t>
  </si>
  <si>
    <t xml:space="preserve">Sin Proteccion</t>
  </si>
  <si>
    <t xml:space="preserve">Noreste</t>
  </si>
  <si>
    <t xml:space="preserve">VA02</t>
  </si>
  <si>
    <t xml:space="preserve">PV03</t>
  </si>
  <si>
    <t xml:space="preserve">VA03</t>
  </si>
  <si>
    <t xml:space="preserve">PF05</t>
  </si>
  <si>
    <t xml:space="preserve">Plano: Fachada Sudoeste</t>
  </si>
  <si>
    <t xml:space="preserve">PA01</t>
  </si>
  <si>
    <t xml:space="preserve">Sudoeste</t>
  </si>
  <si>
    <t xml:space="preserve">PF01</t>
  </si>
  <si>
    <t xml:space="preserve">PF04</t>
  </si>
  <si>
    <t xml:space="preserve">VA01</t>
  </si>
  <si>
    <t xml:space="preserve">Plano: Fachada Sudeste</t>
  </si>
  <si>
    <t xml:space="preserve">PF02</t>
  </si>
  <si>
    <t xml:space="preserve">Sudeste</t>
  </si>
  <si>
    <t xml:space="preserve">PV04</t>
  </si>
  <si>
    <t xml:space="preserve">VA05</t>
  </si>
  <si>
    <t xml:space="preserve">Plano: Fachada Noroeste</t>
  </si>
  <si>
    <t xml:space="preserve">PF03</t>
  </si>
  <si>
    <t xml:space="preserve">Noroeste</t>
  </si>
  <si>
    <t xml:space="preserve">PV01</t>
  </si>
  <si>
    <t xml:space="preserve">PV02</t>
  </si>
  <si>
    <t xml:space="preserve">VA04</t>
  </si>
  <si>
    <t xml:space="preserve">HOJA REHECHA: las orientaciones se tomaron del plano de fachadas y cambiaron casi todas. Hay que reemplazar la planilla entera, no alcanza con retocar celdas.</t>
  </si>
  <si>
    <t xml:space="preserve">COMO SE COMPLETA</t>
  </si>
  <si>
    <t xml:space="preserve">Descripcion, altura y ancho del vano: de la planilla de carpinterias.</t>
  </si>
  <si>
    <t xml:space="preserve">Area del vano, area total por plano y porcentaje: se calculan solos.</t>
  </si>
  <si>
    <t xml:space="preserve">Tipo de vidrio y tipo de proteccion: desplegables; sus valores estan en la hoja Datos_higro.</t>
  </si>
  <si>
    <t xml:space="preserve">Transmitancia del cerramiento: cargarla segun el vidrio y el marco adoptados.</t>
  </si>
  <si>
    <t xml:space="preserve">PROTECCION: la obra tiene cortinas blackout INTERIORES, y los panos fijos PF no tienen nada.</t>
  </si>
  <si>
    <t xml:space="preserve">Una cortina interior NO computa como proteccion solar: la radiacion ya atraveso el vidrio</t>
  </si>
  <si>
    <t xml:space="preserve">cuando llega a la cortina. La ordenanza acredita protecciones exteriores (aleros, parasoles,</t>
  </si>
  <si>
    <t xml:space="preserve">cortinas de enrollar exteriores, toldos). Por eso las veinte aberturas van Sin Proteccion.</t>
  </si>
  <si>
    <t xml:space="preserve">CONSECUENCIA: el factor de exposicion solar da 0,88 esta muy por encima del maximo de 0,30 que la ordenanza admite para</t>
  </si>
  <si>
    <t xml:space="preserve">el cuadrante Este/Oeste, donde caen las cuatro fachadas de esta casa por estar girada 45</t>
  </si>
  <si>
    <t xml:space="preserve">grados. La verificacion de la planilla no lo controla, igual que la de la catedra, pero si lo</t>
  </si>
  <si>
    <t xml:space="preserve">presentas en el municipio esas cinco aberturas no pasarian el factor de exposicion solar.</t>
  </si>
  <si>
    <t xml:space="preserve">Hay dos salidas posibles: (a) si la abertura ocupa menos del 20% del lado expuesto del local,</t>
  </si>
  <si>
    <t xml:space="preserve">no se verifica el FES; (b) cambiar el vidrio por uno de control solar, que baja el FES sin</t>
  </si>
  <si>
    <t xml:space="preserve">tocar la obra. Agregar una proteccion exterior seria la tercera, pero implica obra.</t>
  </si>
  <si>
    <t xml:space="preserve">Orientacion: ya cargada. Factor de exposicion solar: se completa SOLO al elegir el tipo de</t>
  </si>
  <si>
    <t xml:space="preserve">proteccion, con los valores de la tabla de Datos_higro (Sin Proteccion 0,88; Parasol</t>
  </si>
  <si>
    <t xml:space="preserve">horizontal fijo 1:2 0,35), que son los mismos de la planilla de la catedra.</t>
  </si>
  <si>
    <t xml:space="preserve">En Datos_higro esta ademas el FES maximo admitido por cuadrante segun la ordenanza, como</t>
  </si>
  <si>
    <t xml:space="preserve">referencia: la verificacion no lo controla, igual que en la planilla de la catedra.</t>
  </si>
  <si>
    <t xml:space="preserve">CARGADO de la planilla de carpinterias: designacion, ubicacion, ancho y tipo de vidrio</t>
  </si>
  <si>
    <t xml:space="preserve">(DVH 6+9+3+3, carpinteria de aluminio linea A30 pintado negro, igual en todas las aberturas).</t>
  </si>
  <si>
    <t xml:space="preserve">ALTURAS: medidas sobre el dibujo de las vistas de la planilla de carpinterias, con la escala</t>
  </si>
  <si>
    <t xml:space="preserve">verificada contra los anchos acotados (error menor a 2 cm). La mayoria de las aberturas son de</t>
  </si>
  <si>
    <t xml:space="preserve">piso a cielorraso, 3,00 m. VERIFICARLAS contra el plano antes de presentar.</t>
  </si>
  <si>
    <t xml:space="preserve">PF04 es la unica con antepecho: arranca a 1,09 y mide 0,60 de alto. El resto llega al piso.</t>
  </si>
  <si>
    <t xml:space="preserve">Las alturas de PV01 (3,00) y PF04 (0,60) las aporto el autor del proyecto.</t>
  </si>
  <si>
    <t xml:space="preserve">El bloque suelto rotulado PV04 1,50 de la planilla de carpinterias no es una abertura:</t>
  </si>
  <si>
    <t xml:space="preserve">no tiene ficha, ni ubicacion ni cantidad. PV04 es una sola, de 2,06, cantidad 1.</t>
  </si>
  <si>
    <t xml:space="preserve">"2 hojas" es la forma de abrir, no la cantidad de aberturas.</t>
  </si>
  <si>
    <t xml:space="preserve">ORIENTACION: el simbolo de norte del plano (circulo con aguja, en el patio interno) apunta a</t>
  </si>
  <si>
    <t xml:space="preserve">45 grados hacia arriba y a la derecha de la hoja. Entonces las cuatro fachadas NO son N-S-E-O</t>
  </si>
  <si>
    <t xml:space="preserve">sino: arriba = Noroeste, derecha = Noreste, abajo = Sudeste, izquierda = Sudoeste.</t>
  </si>
  <si>
    <t xml:space="preserve">Cada abertura se asigno a la fachada por su posicion en planta. Las del patio interno se</t>
  </si>
  <si>
    <t xml:space="preserve">orientan por la pared en la que estan: miran hacia adentro del patio.</t>
  </si>
  <si>
    <t xml:space="preserve">Los rotulos Dormitorio Norte y Dormitorio Sur del plano no coinciden con el norte real;</t>
  </si>
  <si>
    <t xml:space="preserve">parecen ser nombres de uso, no orientaciones.</t>
  </si>
  <si>
    <t xml:space="preserve">CANTIDADES: la planilla de carpinterias trae la cantidad de cada abertura. Tres van dos veces:</t>
  </si>
  <si>
    <t xml:space="preserve">VA01 (01 Cocina y 09 Suite), VA04 (13 Dormitorio Norte y 14 Play Room) y PF01 (03 Lavadero y</t>
  </si>
  <si>
    <t xml:space="preserve">07 Hall de ingreso, a los dos lados del patio interno). Por eso la planilla tiene 20 filas y</t>
  </si>
  <si>
    <t xml:space="preserve">no 17. Las demas aberturas son de una sola unidad.</t>
  </si>
  <si>
    <t xml:space="preserve">Las puertas interiores de madera PM01 a PM08 no se cargan: no son cerramientos exteriores.</t>
  </si>
  <si>
    <t xml:space="preserve">DATO DE CONTRASTE: la planilla de iluminacion y ventilacion da la superficie vidriada</t>
  </si>
  <si>
    <t xml:space="preserve">proyectada de cada local. La suma da 97,4 m2, que es el orden de magnitud que deberia</t>
  </si>
  <si>
    <t xml:space="preserve">dar el total de vanos de los cuatro planos. Sirve para controlar que no falte ninguno.</t>
  </si>
  <si>
    <t xml:space="preserve">VIGAS  H°A°        H-21        ACERO 42/50</t>
  </si>
  <si>
    <t xml:space="preserve">NIVEL</t>
  </si>
  <si>
    <t xml:space="preserve">POSICION</t>
  </si>
  <si>
    <t xml:space="preserve">LUZ (m)</t>
  </si>
  <si>
    <t xml:space="preserve">CARGAS (kg/m)</t>
  </si>
  <si>
    <t xml:space="preserve">REACCIONES</t>
  </si>
  <si>
    <t xml:space="preserve">MOMENTO TRAMO (kgm)</t>
  </si>
  <si>
    <t xml:space="preserve">MOMENTO APOYO (kgm)</t>
  </si>
  <si>
    <t xml:space="preserve">DIMENSIONES</t>
  </si>
  <si>
    <t xml:space="preserve">ARMADURA TRAMO</t>
  </si>
  <si>
    <t xml:space="preserve">ARMADURA APOYO</t>
  </si>
  <si>
    <t xml:space="preserve">T (kg/cm2)</t>
  </si>
  <si>
    <t xml:space="preserve">ESTRIBOS</t>
  </si>
  <si>
    <t xml:space="preserve">DATOS AUXILIARES</t>
  </si>
  <si>
    <t xml:space="preserve">p</t>
  </si>
  <si>
    <t xml:space="preserve">diagrama</t>
  </si>
  <si>
    <t xml:space="preserve">RA</t>
  </si>
  <si>
    <t xml:space="preserve">RB</t>
  </si>
  <si>
    <t xml:space="preserve">b</t>
  </si>
  <si>
    <t xml:space="preserve">h</t>
  </si>
  <si>
    <t xml:space="preserve">d</t>
  </si>
  <si>
    <t xml:space="preserve">cm2</t>
  </si>
  <si>
    <t xml:space="preserve">n</t>
  </si>
  <si>
    <t xml:space="preserve">o</t>
  </si>
  <si>
    <t xml:space="preserve">A</t>
  </si>
  <si>
    <t xml:space="preserve">B</t>
  </si>
  <si>
    <t xml:space="preserve">SEPAR</t>
  </si>
  <si>
    <t xml:space="preserve">esquema</t>
  </si>
  <si>
    <t xml:space="preserve">tipo</t>
  </si>
  <si>
    <t xml:space="preserve">hf losa</t>
  </si>
  <si>
    <t xml:space="preserve">b ef tramo</t>
  </si>
  <si>
    <t xml:space="preserve">b ef apoyo</t>
  </si>
  <si>
    <t xml:space="preserve">P punt. (kg)</t>
  </si>
  <si>
    <t xml:space="preserve">a (m)</t>
  </si>
  <si>
    <t xml:space="preserve">B trib.</t>
  </si>
  <si>
    <t xml:space="preserve">h muro</t>
  </si>
  <si>
    <t xml:space="preserve">rec.</t>
  </si>
  <si>
    <t xml:space="preserve">VI 01a</t>
  </si>
  <si>
    <t xml:space="preserve">Viga de borde sobre la medianera: NO recibe losa. Solo peso propio y mamposteria. Apoya en el tabique T01a y en la columna COL 01 de 10x10. Viga de borde: recibe la reaccion de la losa excentrica y queda sometida a TORSION, no verificada en esta planilla.</t>
  </si>
  <si>
    <t xml:space="preserve">Continua</t>
  </si>
  <si>
    <t xml:space="preserve">Invertida</t>
  </si>
  <si>
    <t xml:space="preserve">VI 01b</t>
  </si>
  <si>
    <t xml:space="preserve">Viga de borde: recibe la reaccion de la losa excentrica y queda sometida a TORSION, no verificada en esta planilla.</t>
  </si>
  <si>
    <t xml:space="preserve">VI 02</t>
  </si>
  <si>
    <t xml:space="preserve">Armadura en 2 capas (rec. 6 cm). NO USAR TEXTO VIEJO. Recibe L03 (2,08 m) y el alero L02, computado como 0,59 m equivalentes por tener menor carga que un entrepiso. Con 9,88 m de luz y 15x60 la armadura de apoyo necesaria (25,5 cm2) supera la cuantia maxima (13,2). Apoyos confirmados en obra: tabique T07 perpendicular en el extremo superior y COL 02 en el inferior, sin apoyo intermedio. Para esta carga harian falta 15x75 (As 16,2 cm2). Verificar la seccion real construida.</t>
  </si>
  <si>
    <t xml:space="preserve">VI 03c</t>
  </si>
  <si>
    <t xml:space="preserve">VI 04a</t>
  </si>
  <si>
    <t xml:space="preserve">VI 09 le descarga 6.332 kg a 1,80 m del apoyo, practicamente al medio de sus 3,75 m. Esta viga no recibe losa, de modo que la puntual es casi toda su carga. Se superpone el momento isostatico P a b / L repartido 0,75 al tramo y 0,50 al apoyo, y la reaccion isostatica al corte.</t>
  </si>
  <si>
    <t xml:space="preserve">VI 04b</t>
  </si>
  <si>
    <t xml:space="preserve">VI 06</t>
  </si>
  <si>
    <t xml:space="preserve">Longitud total 14,00 m. Sobre su eje hay cuatro columnas: trabaja como viga continua de tres tramos de 4,10, 4,32 y 6,53 m. Se calcula con el mayor. Es el cuarto borde de la losa cruzada L07. Longitud total 14,00 m. Sobre su eje hay cuatro columnas: trabaja como viga continua de tres tramos de 4,10, 4,32 y 6,53 m. Se calcula con el mayor. Es el cuarto borde de la losa cruzada L07. VI 08b le descarga 5.954 kg a 6,00 m del extremo inferior, dentro del tramo de 6,53 m y a solo 53 cm del apoyo siguiente: aporta poco momento y mucho corte, por eso la reaccion sube de 9.764 a 15.235 kg. Se superpone el momento isostatico P a b / L repartido 0,75 al tramo y 0,50 al apoyo, y la reaccion isostatica al corte. Viga principal: recibe a VI 08b y a VI 09. VI 09 apoya a 7,95 m del extremo inferior, o sea en el tramo del medio de 4,32 m, que con esa puntual llega a 7.993 kgm y no gobierna. El tramo que gobierna es el de 6,53 m con la puntual de VI 08b.</t>
  </si>
  <si>
    <t xml:space="preserve">VI 07a</t>
  </si>
  <si>
    <t xml:space="preserve">VI 07b</t>
  </si>
  <si>
    <t xml:space="preserve">VI 07c</t>
  </si>
  <si>
    <t xml:space="preserve">Armadura en 2 capas (rec. 6 cm). Apoya en columna COL 02 de 15x30 y en el tabique T05b. La viga chata VCH 05 le descarga 1.735 kg a 3,60 m del apoyo. Se superpone el momento isostatico P a b / L repartido 0,75 al tramo y 0,50 al apoyo, y la reaccion isostatica al corte. Viga de borde: recibe la reaccion de la losa excentrica y queda sometida a TORSION, no verificada en esta planilla.</t>
  </si>
  <si>
    <t xml:space="preserve">Empotrada-apoyada</t>
  </si>
  <si>
    <t xml:space="preserve">VI 08a</t>
  </si>
  <si>
    <t xml:space="preserve">VI 08b</t>
  </si>
  <si>
    <t xml:space="preserve">Descarga en la COL 04 de 20x20 y en VI 06.</t>
  </si>
  <si>
    <t xml:space="preserve">VI 09</t>
  </si>
  <si>
    <t xml:space="preserve">---</t>
  </si>
  <si>
    <t xml:space="preserve">Viga secundaria: sus dos extremos descargan en otras vigas, VI 04a y VI 06, no en columnas ni tabiques.</t>
  </si>
  <si>
    <t xml:space="preserve">Simplemente apoyada</t>
  </si>
  <si>
    <t xml:space="preserve">VI 10a</t>
  </si>
  <si>
    <t xml:space="preserve">VI 10b</t>
  </si>
  <si>
    <t xml:space="preserve">VI 10c</t>
  </si>
  <si>
    <t xml:space="preserve">VI 11a</t>
  </si>
  <si>
    <t xml:space="preserve">El plano rotula 'VI 111'; se interpreta 11a por el orden a-b-c. Sin apoyo intermedio, empotrada en tabiques. Apoya en columna COL 02 de 15x30 y en el tabique T08a. Viga de borde: recibe la reaccion de la losa excentrica y queda sometida a TORSION, no verificada en esta planilla.</t>
  </si>
  <si>
    <t xml:space="preserve">VI 11b</t>
  </si>
  <si>
    <t xml:space="preserve">VI 11c</t>
  </si>
  <si>
    <t xml:space="preserve">VCH 03a</t>
  </si>
  <si>
    <t xml:space="preserve">Excede cuantia maxima y no llega a la altura minima por flecha. Revisar el ancho tributario real. Separacion de estribos menor a 10 cm: revisar constructividad.</t>
  </si>
  <si>
    <t xml:space="preserve">Colgante</t>
  </si>
  <si>
    <t xml:space="preserve">VCH 03b</t>
  </si>
  <si>
    <t xml:space="preserve">Separacion de estribos menor a 10 cm: revisar constructividad.</t>
  </si>
  <si>
    <t xml:space="preserve">VCH 05</t>
  </si>
  <si>
    <t xml:space="preserve">TECHO</t>
  </si>
  <si>
    <t xml:space="preserve">VI 12</t>
  </si>
  <si>
    <t xml:space="preserve">VI 13a</t>
  </si>
  <si>
    <t xml:space="preserve">VI 13b</t>
  </si>
  <si>
    <t xml:space="preserve">VI 14</t>
  </si>
  <si>
    <t xml:space="preserve">VI 15a</t>
  </si>
  <si>
    <t xml:space="preserve">VI 15b</t>
  </si>
  <si>
    <t xml:space="preserve">VI 16a</t>
  </si>
  <si>
    <t xml:space="preserve">VI 16b</t>
  </si>
  <si>
    <t xml:space="preserve">VI 17</t>
  </si>
  <si>
    <t xml:space="preserve">LOSAS DE H°A°   H-21   ACERO 42/50</t>
  </si>
  <si>
    <t xml:space="preserve">GRADO DE EMPOTRAMIENTO</t>
  </si>
  <si>
    <t xml:space="preserve">ARMADURA PRINCIPAL</t>
  </si>
  <si>
    <t xml:space="preserve">ARMADURA REPARTICION</t>
  </si>
  <si>
    <t xml:space="preserve">REACCIONES (kg)</t>
  </si>
  <si>
    <t xml:space="preserve">separ</t>
  </si>
  <si>
    <t xml:space="preserve">Rx</t>
  </si>
  <si>
    <t xml:space="preserve">Ry</t>
  </si>
  <si>
    <t xml:space="preserve">luz transv.</t>
  </si>
  <si>
    <t xml:space="preserve">k carga</t>
  </si>
  <si>
    <t xml:space="preserve">S/PB</t>
  </si>
  <si>
    <t xml:space="preserve">L01</t>
  </si>
  <si>
    <t xml:space="preserve">1/8</t>
  </si>
  <si>
    <t xml:space="preserve">L02</t>
  </si>
  <si>
    <t xml:space="preserve">1/2</t>
  </si>
  <si>
    <t xml:space="preserve">Voladizo: un solo apoyo.</t>
  </si>
  <si>
    <t xml:space="preserve">L03</t>
  </si>
  <si>
    <t xml:space="preserve">L04</t>
  </si>
  <si>
    <t xml:space="preserve">L05</t>
  </si>
  <si>
    <t xml:space="preserve">L06</t>
  </si>
  <si>
    <t xml:space="preserve">L07 (x)</t>
  </si>
  <si>
    <t xml:space="preserve">Losa cruzada 4,85 x 5,60 (ly/lx = 1,15). Direccion corta: toma el 64% de la carga por reparto de Marcus.</t>
  </si>
  <si>
    <t xml:space="preserve">L07 (y)</t>
  </si>
  <si>
    <t xml:space="preserve">Misma losa, direccion larga: toma el 36% restante. La armadura va cruzada con la fila anterior.</t>
  </si>
  <si>
    <t xml:space="preserve">L08</t>
  </si>
  <si>
    <t xml:space="preserve">S/PA</t>
  </si>
  <si>
    <t xml:space="preserve">L09</t>
  </si>
  <si>
    <t xml:space="preserve">L10 (x)</t>
  </si>
  <si>
    <t xml:space="preserve">Losa cruzada 4,85 x 6,00 (ly/lx = 1,24). Direccion corta: toma el 70% de la carga por reparto de Marcus.</t>
  </si>
  <si>
    <t xml:space="preserve">L10 (y)</t>
  </si>
  <si>
    <t xml:space="preserve">Misma losa, direccion larga: toma el 30% restante. La armadura va cruzada con la fila anterior.</t>
  </si>
  <si>
    <t xml:space="preserve">COLUMNAS  H°A°        H-21        ACERO 42/50</t>
  </si>
  <si>
    <t xml:space="preserve">ALTURA (m)</t>
  </si>
  <si>
    <t xml:space="preserve">CARGA (t)</t>
  </si>
  <si>
    <t xml:space="preserve">DIMENSIONES (cm)</t>
  </si>
  <si>
    <t xml:space="preserve">ARMADURA</t>
  </si>
  <si>
    <t xml:space="preserve">area</t>
  </si>
  <si>
    <t xml:space="preserve">As prov</t>
  </si>
  <si>
    <t xml:space="preserve">fi Pn (t)</t>
  </si>
  <si>
    <t xml:space="preserve">esbeltez</t>
  </si>
  <si>
    <t xml:space="preserve">carga estim.</t>
  </si>
  <si>
    <t xml:space="preserve">C6</t>
  </si>
  <si>
    <t xml:space="preserve">COL 07 del plano. Carga PROVISORIA por bajada automatica; es un piso, la real es mayor (ver Memoria, punto 5).</t>
  </si>
  <si>
    <t xml:space="preserve">C7</t>
  </si>
  <si>
    <t xml:space="preserve">COL 06 del plano. Carga PROVISORIA por bajada automatica; es un piso, la real es mayor (ver Memoria, punto 5).</t>
  </si>
  <si>
    <t xml:space="preserve">C8</t>
  </si>
  <si>
    <t xml:space="preserve">COL 05 del plano. Carga PROVISORIA por bajada automatica; es un piso, la real es mayor (ver Memoria, punto 5).</t>
  </si>
  <si>
    <t xml:space="preserve">C9</t>
  </si>
  <si>
    <t xml:space="preserve">C1</t>
  </si>
  <si>
    <t xml:space="preserve">COL 02 del plano. Carga PROVISORIA por bajada automatica; es un piso, la real es mayor (ver Memoria, punto 5).</t>
  </si>
  <si>
    <t xml:space="preserve">C2</t>
  </si>
  <si>
    <t xml:space="preserve">C3</t>
  </si>
  <si>
    <t xml:space="preserve">COL 03 del plano. Carga PROVISORIA por bajada automatica; es un piso, la real es mayor (ver Memoria, punto 5).</t>
  </si>
  <si>
    <t xml:space="preserve">C4</t>
  </si>
  <si>
    <t xml:space="preserve">COL 01 del plano. Carga PROVISORIA por bajada automatica; es un piso, la real es mayor (ver Memoria, punto 5). Columna de 10x10, confirmada por el proyectista. El computo metrico la omite: ese computo esta incompleto en el item 4.1.3. Esbeltez muy alta (k lu / r = 105) y capacidad de solo 18,7 t: es la columna mas comprometida del conjunto.</t>
  </si>
  <si>
    <t xml:space="preserve">C5</t>
  </si>
  <si>
    <t xml:space="preserve">COL 04 del plano. Carga PROVISORIA por bajada automatica; es un piso, la real es mayor (ver Memoria, punto 5).</t>
  </si>
  <si>
    <t xml:space="preserve">VIGAS DE FUNDACION  H°A°        H-21        ACERO 42/50</t>
  </si>
  <si>
    <t xml:space="preserve">VF01 (1)</t>
  </si>
  <si>
    <t xml:space="preserve">VF01 (2)</t>
  </si>
  <si>
    <t xml:space="preserve">VF01 (3)</t>
  </si>
  <si>
    <t xml:space="preserve">VF02</t>
  </si>
  <si>
    <t xml:space="preserve">Longitud total 3.28 m. La luz de calculo es la mayor entre pilotes, deducida de la posicion de los pilotes dibujados en el plano.</t>
  </si>
  <si>
    <t xml:space="preserve">VF03</t>
  </si>
  <si>
    <t xml:space="preserve">Longitud total 9.28 m. La luz de calculo es la mayor entre pilotes, deducida de la posicion de los pilotes dibujados en el plano. No se detectaron pilotes intermedios en este tramo. Verificar: puede estar apoyada directamente sobre el terreno, en cuyo caso no flexiona como viga de luz libre. Relacion luz/altura alta. En una viga de fundacion enterrada la flecha no suele gobernar, por eso no se la incluye en la verificacion.</t>
  </si>
  <si>
    <t xml:space="preserve">VF04a</t>
  </si>
  <si>
    <t xml:space="preserve">El ancho quedo cortado en el PDF: se adopta 20 cm. Confirmar si es 20 o 22. Longitud total 5.33 m. La luz de calculo es la mayor entre pilotes, deducida de la posicion de los pilotes dibujados en el plano.</t>
  </si>
  <si>
    <t xml:space="preserve">VF04b</t>
  </si>
  <si>
    <t xml:space="preserve">VF04c</t>
  </si>
  <si>
    <t xml:space="preserve">VF05</t>
  </si>
  <si>
    <t xml:space="preserve">VF06a</t>
  </si>
  <si>
    <t xml:space="preserve">VF06b</t>
  </si>
  <si>
    <t xml:space="preserve">VF06c</t>
  </si>
  <si>
    <t xml:space="preserve">VF06d</t>
  </si>
  <si>
    <t xml:space="preserve">VF07</t>
  </si>
  <si>
    <t xml:space="preserve">VF08</t>
  </si>
  <si>
    <t xml:space="preserve">Longitud total 3.50 m. La luz de calculo es la mayor entre pilotes, deducida de la posicion de los pilotes dibujados en el plano.</t>
  </si>
  <si>
    <t xml:space="preserve">VF09 (1)</t>
  </si>
  <si>
    <t xml:space="preserve">VF09 (2)</t>
  </si>
  <si>
    <t xml:space="preserve">VF10a</t>
  </si>
  <si>
    <t xml:space="preserve">Longitud total 3.36 m. La luz de calculo es la mayor entre pilotes, deducida de la posicion de los pilotes dibujados en el plano.</t>
  </si>
  <si>
    <t xml:space="preserve">VF10b</t>
  </si>
  <si>
    <t xml:space="preserve">Longitud total 3.26 m. La luz de calculo es la mayor entre pilotes, deducida de la posicion de los pilotes dibujados en el plano.</t>
  </si>
  <si>
    <t xml:space="preserve">VF10c</t>
  </si>
  <si>
    <t xml:space="preserve">Longitud total 8.03 m. La luz de calculo es la mayor entre pilotes, deducida de la posicion de los pilotes dibujados en el plano.</t>
  </si>
  <si>
    <t xml:space="preserve">VF11</t>
  </si>
  <si>
    <t xml:space="preserve">Relacion luz/altura alta. En una viga de fundacion enterrada la flecha no suele gobernar, por eso no se la incluye en la verificacion.</t>
  </si>
  <si>
    <t xml:space="preserve">VF12</t>
  </si>
  <si>
    <t xml:space="preserve">VF13</t>
  </si>
  <si>
    <t xml:space="preserve">VF14</t>
  </si>
  <si>
    <t xml:space="preserve">Longitud total 8.75 m. La luz de calculo es la mayor entre pilotes, deducida de la posicion de los pilotes dibujados en el plano.</t>
  </si>
  <si>
    <t xml:space="preserve">VF15</t>
  </si>
  <si>
    <t xml:space="preserve">VF16a</t>
  </si>
  <si>
    <t xml:space="preserve">Longitud total 6.96 m. La luz de calculo es la mayor entre pilotes, deducida de la posicion de los pilotes dibujados en el plano.</t>
  </si>
  <si>
    <t xml:space="preserve">VF16b</t>
  </si>
  <si>
    <t xml:space="preserve">VF17</t>
  </si>
  <si>
    <t xml:space="preserve">VF18a</t>
  </si>
  <si>
    <t xml:space="preserve">Longitud total 7.48 m. La luz de calculo es la mayor entre pilotes, deducida de la posicion de los pilotes dibujados en el plano.</t>
  </si>
  <si>
    <t xml:space="preserve">VF18b</t>
  </si>
  <si>
    <t xml:space="preserve">VF18c</t>
  </si>
  <si>
    <t xml:space="preserve">Longitud total 4.82 m. La luz de calculo es la mayor entre pilotes, deducida de la posicion de los pilotes dibujados en el plano.</t>
  </si>
  <si>
    <t xml:space="preserve">PILOTES Y CABEZALES  H°A°        H-21        ACERO 42/50        TODOS LOS PILOTES Ø30  h = -4,50 m</t>
  </si>
  <si>
    <t xml:space="preserve">COLUMNA</t>
  </si>
  <si>
    <t xml:space="preserve">TIPO</t>
  </si>
  <si>
    <t xml:space="preserve">CABEZAL (cm)</t>
  </si>
  <si>
    <t xml:space="preserve">CARGA</t>
  </si>
  <si>
    <t xml:space="preserve">PILOTES</t>
  </si>
  <si>
    <t xml:space="preserve">mayorada (t)</t>
  </si>
  <si>
    <t xml:space="preserve">servicio (t)</t>
  </si>
  <si>
    <t xml:space="preserve">cantidad</t>
  </si>
  <si>
    <t xml:space="preserve">o (cm)</t>
  </si>
  <si>
    <t xml:space="preserve">long. (m)</t>
  </si>
  <si>
    <t xml:space="preserve">carga c/u (t)</t>
  </si>
  <si>
    <t xml:space="preserve">admisible (t)</t>
  </si>
  <si>
    <t xml:space="preserve">CB1</t>
  </si>
  <si>
    <t xml:space="preserve">C1 (15x30)</t>
  </si>
  <si>
    <t xml:space="preserve">CBZ 01</t>
  </si>
  <si>
    <t xml:space="preserve">Cantidad de pilotes deducida de la dimension del cabezal: 70x70 cm. Carga tomada de la bajada de la planilla de columnas, que esta incompleta: el valor real es mayor.</t>
  </si>
  <si>
    <t xml:space="preserve">CB2</t>
  </si>
  <si>
    <t xml:space="preserve">C2 (15x30)</t>
  </si>
  <si>
    <t xml:space="preserve">CB3</t>
  </si>
  <si>
    <t xml:space="preserve">C5 (15x30)</t>
  </si>
  <si>
    <t xml:space="preserve">CB4</t>
  </si>
  <si>
    <t xml:space="preserve">C3 (30x15)</t>
  </si>
  <si>
    <t xml:space="preserve">CB5</t>
  </si>
  <si>
    <t xml:space="preserve">C4 (10x10)</t>
  </si>
  <si>
    <t xml:space="preserve">CB6</t>
  </si>
  <si>
    <t xml:space="preserve">C6 (20x20)</t>
  </si>
  <si>
    <t xml:space="preserve">CBZ 03</t>
  </si>
  <si>
    <t xml:space="preserve">Cantidad de pilotes deducida de la dimension del cabezal: 144x70 cm. Tres pilotes, no dos: la planilla de armadura declara 8 pilotes bajo cabezales de 70 cm, que son un CBZ02 y dos CBZ03. Carga tomada de la bajada de la planilla de columnas, que esta incompleta: el valor real es mayor.</t>
  </si>
  <si>
    <t xml:space="preserve">CB7</t>
  </si>
  <si>
    <t xml:space="preserve">C7 (30x15)</t>
  </si>
  <si>
    <t xml:space="preserve">CBZ 02</t>
  </si>
  <si>
    <t xml:space="preserve">Cantidad de pilotes deducida de la dimension del cabezal: 129x70 cm. El computo metrico declara un solo CBZ02 y en el plano aparecen dos rotulos. Verificar cual corresponde. Carga tomada de la bajada de la planilla de columnas, que esta incompleta: el valor real es mayor.</t>
  </si>
  <si>
    <t xml:space="preserve">CB8</t>
  </si>
  <si>
    <t xml:space="preserve">C9 (15x30)</t>
  </si>
  <si>
    <t xml:space="preserve">CB9</t>
  </si>
  <si>
    <t xml:space="preserve">C8 (15x30)</t>
  </si>
  <si>
    <t xml:space="preserve">Los 33 pilotes del plano: 13 bajo cabezales de columna (los de esta tabla) y 20 repartidos bajo las vigas de fundacion.</t>
  </si>
  <si>
    <t xml:space="preserve">TABIQUES  H°A°        H-21        ACERO III        espesor 12 cm</t>
  </si>
  <si>
    <t xml:space="preserve">ARMADURA VERTICAL</t>
  </si>
  <si>
    <t xml:space="preserve">ARMADURA HORIZONTAL</t>
  </si>
  <si>
    <t xml:space="preserve">separacion</t>
  </si>
  <si>
    <t xml:space="preserve">area (cm2)</t>
  </si>
  <si>
    <t xml:space="preserve">sigma (kg/cm2)</t>
  </si>
  <si>
    <t xml:space="preserve">resultado</t>
  </si>
  <si>
    <t xml:space="preserve">T1</t>
  </si>
  <si>
    <t xml:space="preserve">9,00 t de la planilla de la catedra mas las reacciones de VI 01a (6,16 t) y VI 07a (3,58 t), que apoyan aqui. Se suman por la misma razon que en T6.</t>
  </si>
  <si>
    <t xml:space="preserve">T2</t>
  </si>
  <si>
    <t xml:space="preserve">6,00 t de la planilla de la catedra mas la reaccion de VI 01b (2,5 t), que apoya aqui y en la COL 01 de 10x10. Se suman por la misma razon que en T6.</t>
  </si>
  <si>
    <t xml:space="preserve">T3</t>
  </si>
  <si>
    <t xml:space="preserve">Tabique recto: B = 12 cm es el espesor.</t>
  </si>
  <si>
    <t xml:space="preserve">T4</t>
  </si>
  <si>
    <t xml:space="preserve">Tabique recto: B = 12 cm es el espesor. 5,00 t de la planilla de la catedra mas la reaccion de VI 11c (7,52 t), que apoya en el T04b del plano y en una COL 02 de 15x30. OJO: el plano distingue T04a y T04b, de 0,73 m cada uno segun el computo, mientras que la catedra tiene un solo T4 de 3,55 m: las dos numeraciones no se corresponden una a una.</t>
  </si>
  <si>
    <t xml:space="preserve">T5</t>
  </si>
  <si>
    <t xml:space="preserve">Si corresponde al T05b del plano, recibe el extremo de VI 07c, cuya reaccion da 18,1 t de servicio en mi bajada contra los 11 t de la catedra. Verificar.</t>
  </si>
  <si>
    <t xml:space="preserve">T6</t>
  </si>
  <si>
    <t xml:space="preserve">6,00 t de la planilla de la catedra mas las reacciones de VCH 03a (6,4 t) y VCH 05 (1,7 t), que apoyan en el perpendicularmente. No consta si los 6,00 t ya las incluian; se suman por ser la hipotesis conservadora. Con cualquiera de las dos lecturas el tabique usa entre el 6 y el 14 por ciento de su capacidad.</t>
  </si>
  <si>
    <t xml:space="preserve">T7</t>
  </si>
  <si>
    <t xml:space="preserve">NO VERIFICA por poco, al 106 por ciento. Recibe VI 02 (21,12 t), VI 10b (6,60 t), VI 10a (1,59 t) y VI 17 (1,31 t): 98 cm de tabique tomando 30,6 t. La capacidad sale de la formula simplificada de muro portante, cuya reduccion por esbeltez se come dos tercios: con 12 cm y 3,15 m el coeficiente vale 0,327. Un analisis mas fino del arriostramiento real daria mas capacidad. Con 104 cm de largo verificaria.</t>
  </si>
  <si>
    <t xml:space="preserve">T8</t>
  </si>
  <si>
    <t xml:space="preserve">Carga tomada de la reaccion de VI 11a en la planilla de vigas, MAYORADA.</t>
  </si>
  <si>
    <t xml:space="preserve">T9</t>
  </si>
  <si>
    <t xml:space="preserve">Recibe el extremo de VI 14. Carga mayorada.</t>
  </si>
  <si>
    <t xml:space="preserve">T10</t>
  </si>
  <si>
    <t xml:space="preserve">Recibe el extremo de VI 12. Carga mayorada.</t>
  </si>
  <si>
    <t xml:space="preserve">T11</t>
  </si>
  <si>
    <t xml:space="preserve">Recibe el extremo de VI 13b sobre solo 28 cm de largo: es el tabique con mayor tension del conjunto.</t>
  </si>
  <si>
    <t xml:space="preserve">T12</t>
  </si>
  <si>
    <t xml:space="preserve">Recibe el extremo de VI 15b. VI 17 no descarga aqui sino en T07. T12 acompana a VI 17 en toda su longitud por debajo, de modo que esa viga esta mas sostenida de lo que supone el calculo: queda del lado seguro.</t>
  </si>
  <si>
    <t xml:space="preserve">T13</t>
  </si>
  <si>
    <t xml:space="preserve">No recibe vigas: es la continuidad del tabique T06c de planta baja. La carga indicada es solo su peso propio; lo que baje de arriba se suma a T06c.</t>
  </si>
  <si>
    <t xml:space="preserve">T1 a T6: cargas y dimensiones tomadas de la planilla de la catedra. Probablemente sean cargas de servicio; compararlas contra fi Pn, que es resistencia ultima, queda del lado inseguro en torno a un 40 por ciento. Con utilizaciones del 10 al 20 por ciento no cambia ningun veredicto, pero conviene saberlo.</t>
  </si>
  <si>
    <t xml:space="preserve">T7 y T8: carga tomada de la reaccion de VI 02 y VI 11a en la planilla de vigas, que son MAYORADAS. El criterio no es el mismo que en T1 a T6.</t>
  </si>
  <si>
    <t xml:space="preserve">Direccion de la carga: como todas las vigas son invertidas, sobresalen 70 cm por encima del fondo de losa, mientras que los tabiques de planta alta llegan desde el piso hasta ese fondo. El tabique queda debajo y sostiene a la viga, no al reves.</t>
  </si>
  <si>
    <t xml:space="preserve">T9 a T13: dimensiones del computo metrico. Las cargas son las reacciones de las vigas de techo que apoyan en cada uno, aportadas por el proyectista: T9 recibe VI 14, T10 recibe VI 12, T11 recibe VI 13b y T12 recibe VI 17 mas VI 15b. T13 no recibe vigas: continua el tabique T06c de planta baja.</t>
  </si>
  <si>
    <t xml:space="preserve">Area: si B es menor o igual al espesor el tabique es recto y el area es A x B; si no, es un tabique en L y el area es (A + B - espesor) x espesor.</t>
  </si>
  <si>
    <t xml:space="preserve">fi Pn = 0,55 x 0,65 x f'c x area x [1 - (altura / 32 espesor)^2]   muro portante de hormigon armado con reduccion por esbeltez.</t>
  </si>
  <si>
    <t xml:space="preserve">Armadura vertical en doble malla y horizontal en malla simple, ambas o8 c/20, iguales a las de la planilla de la catedra.</t>
  </si>
  <si>
    <t xml:space="preserve">FORMULARIO DE BALANCE TERMICO PARA CALEFACCION</t>
  </si>
  <si>
    <t xml:space="preserve">largo</t>
  </si>
  <si>
    <t xml:space="preserve">alto</t>
  </si>
  <si>
    <t xml:space="preserve">LOCAL  01 - Cocina / comedor   (PB)   -   altura 3.00 m</t>
  </si>
  <si>
    <t xml:space="preserve">Nro</t>
  </si>
  <si>
    <t xml:space="preserve">DESCRIPCION</t>
  </si>
  <si>
    <t xml:space="preserve">DIMENSIONES (m)</t>
  </si>
  <si>
    <t xml:space="preserve">AREA (m2)</t>
  </si>
  <si>
    <t xml:space="preserve">FACTOR</t>
  </si>
  <si>
    <t xml:space="preserve">PERDIDA CALOR (Kcal/h)</t>
  </si>
  <si>
    <t xml:space="preserve">1</t>
  </si>
  <si>
    <t xml:space="preserve">VENTANA</t>
  </si>
  <si>
    <t xml:space="preserve">2</t>
  </si>
  <si>
    <t xml:space="preserve">PAREDES EXTERIORES</t>
  </si>
  <si>
    <t xml:space="preserve">AISLADAS (NO)</t>
  </si>
  <si>
    <t xml:space="preserve">AISLADAS (SO)</t>
  </si>
  <si>
    <t xml:space="preserve">INTERIORES (SE)</t>
  </si>
  <si>
    <t xml:space="preserve">INTERIORES (NE)</t>
  </si>
  <si>
    <t xml:space="preserve">3</t>
  </si>
  <si>
    <t xml:space="preserve">TECHOS O CIELORRASOS</t>
  </si>
  <si>
    <t xml:space="preserve">TECHO NO AISLADO</t>
  </si>
  <si>
    <t xml:space="preserve">TECHO AISLADO</t>
  </si>
  <si>
    <t xml:space="preserve">TECHO ENTREPISO</t>
  </si>
  <si>
    <t xml:space="preserve">por croquis</t>
  </si>
  <si>
    <t xml:space="preserve">4</t>
  </si>
  <si>
    <t xml:space="preserve">PISO</t>
  </si>
  <si>
    <t xml:space="preserve">SOBRE TIERRA</t>
  </si>
  <si>
    <t xml:space="preserve">SOBRE LOCAL OCUPADO</t>
  </si>
  <si>
    <t xml:space="preserve">5</t>
  </si>
  <si>
    <t xml:space="preserve">INFILTRACION</t>
  </si>
  <si>
    <t xml:space="preserve">VOL. (m3)</t>
  </si>
  <si>
    <t xml:space="preserve">UNA PARED EXTERIOR</t>
  </si>
  <si>
    <t xml:space="preserve">DOS PAREDES EXTERIORES</t>
  </si>
  <si>
    <t xml:space="preserve">27.16 m2 x 3.00</t>
  </si>
  <si>
    <t xml:space="preserve">TRES O MAS PAREDES EXTERIORES</t>
  </si>
  <si>
    <t xml:space="preserve">6</t>
  </si>
  <si>
    <t xml:space="preserve">SUBTOTAL</t>
  </si>
  <si>
    <t xml:space="preserve">7</t>
  </si>
  <si>
    <t xml:space="preserve">PERDIDA TOTAL</t>
  </si>
  <si>
    <t xml:space="preserve">Carga de locales sin emisor</t>
  </si>
  <si>
    <t xml:space="preserve">CARGA TOTAL A CUBRIR</t>
  </si>
  <si>
    <t xml:space="preserve">Salto termico:  dt = (te+ts)/2 - ti</t>
  </si>
  <si>
    <t xml:space="preserve">Kcal/h por elemento</t>
  </si>
  <si>
    <t xml:space="preserve">Elementos necesarios</t>
  </si>
  <si>
    <t xml:space="preserve">Ancho del radiador (cm)</t>
  </si>
  <si>
    <t xml:space="preserve">Radiador adoptado</t>
  </si>
  <si>
    <t xml:space="preserve">Ubicacion en planta de 01 - Cocina / comedor</t>
  </si>
  <si>
    <t xml:space="preserve">LOCAL  06 - Living / comedor   (PB)   -   altura 3.00 m</t>
  </si>
  <si>
    <t xml:space="preserve">AISLADAS (SE)</t>
  </si>
  <si>
    <t xml:space="preserve">AISLADAS</t>
  </si>
  <si>
    <t xml:space="preserve">INTERIORES (NO)</t>
  </si>
  <si>
    <t xml:space="preserve">INTERIORES (SO)</t>
  </si>
  <si>
    <t xml:space="preserve">35.16 m2 x 3.00</t>
  </si>
  <si>
    <t xml:space="preserve">Ubicacion en planta de 06 - Living / comedor</t>
  </si>
  <si>
    <t xml:space="preserve">LOCAL  07 - Hall / ingreso   (PB)   -   altura 3.00 m</t>
  </si>
  <si>
    <t xml:space="preserve">H01</t>
  </si>
  <si>
    <t xml:space="preserve">8.60 m2 x 3.00</t>
  </si>
  <si>
    <t xml:space="preserve">SIN EMISOR</t>
  </si>
  <si>
    <t xml:space="preserve">la cubre el radiador de 06 - Living / comedor</t>
  </si>
  <si>
    <t xml:space="preserve">Ubicacion en planta de 07 - Hall / ingreso</t>
  </si>
  <si>
    <t xml:space="preserve">LOCAL  08 - Vestidor   (PB)   -   altura 3.00 m</t>
  </si>
  <si>
    <t xml:space="preserve">(sin aberturas)</t>
  </si>
  <si>
    <t xml:space="preserve">7.23 m2 x 3.00</t>
  </si>
  <si>
    <t xml:space="preserve">Ubicacion en planta de 08 - Vestidor</t>
  </si>
  <si>
    <t xml:space="preserve">LOCAL  Escalera   (PB)   -   altura 3.00 m</t>
  </si>
  <si>
    <t xml:space="preserve">AISLADAS (NE)</t>
  </si>
  <si>
    <t xml:space="preserve">7.02 m2 x 3.00</t>
  </si>
  <si>
    <t xml:space="preserve">la cubre el radiador de 14 - Play room</t>
  </si>
  <si>
    <t xml:space="preserve">Ubicacion en planta de Escalera</t>
  </si>
  <si>
    <t xml:space="preserve">LOCAL  09 - Dormitorio suite   (PB)   -   altura 3.00 m</t>
  </si>
  <si>
    <t xml:space="preserve">INTERIORES</t>
  </si>
  <si>
    <t xml:space="preserve">12.25 m2 x 3.00</t>
  </si>
  <si>
    <t xml:space="preserve">Ubicacion en planta de 09 - Dormitorio suite</t>
  </si>
  <si>
    <t xml:space="preserve">LOCAL  10 - Bano suite   (PB)   -   altura 3.00 m</t>
  </si>
  <si>
    <t xml:space="preserve">5.81 m2 x 3.00</t>
  </si>
  <si>
    <t xml:space="preserve">Kcal/h del toallero Scala/Domino 80</t>
  </si>
  <si>
    <t xml:space="preserve">Kcal/h del toallero Scala/Domino 150</t>
  </si>
  <si>
    <t xml:space="preserve">Toalleros necesarios</t>
  </si>
  <si>
    <t xml:space="preserve">Toallero adoptado</t>
  </si>
  <si>
    <t xml:space="preserve">Ubicacion en planta de 10 - Bano suite</t>
  </si>
  <si>
    <t xml:space="preserve">LOCAL  11 - Bano visitas   (PB)   -   altura 3.00 m</t>
  </si>
  <si>
    <t xml:space="preserve">3.12 m2 x 3.00</t>
  </si>
  <si>
    <t xml:space="preserve">Ubicacion en planta de 11 - Bano visitas</t>
  </si>
  <si>
    <t xml:space="preserve">LOCAL  13 - Dormitorio Norte   (PA)   -   altura 3.00 m</t>
  </si>
  <si>
    <t xml:space="preserve">17.00 m2 x 3.00</t>
  </si>
  <si>
    <t xml:space="preserve">Ubicacion en planta de 13 - Dormitorio Norte</t>
  </si>
  <si>
    <t xml:space="preserve">LOCAL  14 - Play room   (PA)   -   altura 3.00 m</t>
  </si>
  <si>
    <t xml:space="preserve">16.85 m2 x 3.00</t>
  </si>
  <si>
    <t xml:space="preserve">Escalera</t>
  </si>
  <si>
    <t xml:space="preserve">Ubicacion en planta de 14 - Play room</t>
  </si>
  <si>
    <t xml:space="preserve">LOCAL  15 - Dormitorio Sur   (PA)   -   altura 3.00 m</t>
  </si>
  <si>
    <t xml:space="preserve">14.17 m2 x 3.00</t>
  </si>
  <si>
    <t xml:space="preserve">Ubicacion en planta de 15 - Dormitorio Sur</t>
  </si>
  <si>
    <t xml:space="preserve">LOCAL  17 - Bano   (PA)   -   altura 3.00 m</t>
  </si>
  <si>
    <t xml:space="preserve">3.52 m2 x 3.00</t>
  </si>
  <si>
    <t xml:space="preserve">Ubicacion en planta de 17 - Bano</t>
  </si>
  <si>
    <t xml:space="preserve">DATOS DE PARTIDA - HIPOTESIS DE CALCULO</t>
  </si>
  <si>
    <t xml:space="preserve">Celdas verdes: editables. La planilla recalcula sola.</t>
  </si>
  <si>
    <t xml:space="preserve">MATERIALES</t>
  </si>
  <si>
    <t xml:space="preserve">valor</t>
  </si>
  <si>
    <t xml:space="preserve">unidad</t>
  </si>
  <si>
    <t xml:space="preserve">Hormigon H-21   f'c</t>
  </si>
  <si>
    <t xml:space="preserve">kg/cm2</t>
  </si>
  <si>
    <t xml:space="preserve">Acero 42/50   fy</t>
  </si>
  <si>
    <t xml:space="preserve">Peso especifico H.A.</t>
  </si>
  <si>
    <t xml:space="preserve">kg/m3</t>
  </si>
  <si>
    <t xml:space="preserve">phi flexion</t>
  </si>
  <si>
    <t xml:space="preserve">phi corte</t>
  </si>
  <si>
    <t xml:space="preserve">Coef. mayoracion permanente</t>
  </si>
  <si>
    <t xml:space="preserve">Coef. mayoracion sobrecarga</t>
  </si>
  <si>
    <t xml:space="preserve">PAQUETES DE CARGA</t>
  </si>
  <si>
    <t xml:space="preserve">g (kg/m2)</t>
  </si>
  <si>
    <t xml:space="preserve">q (kg/m2)</t>
  </si>
  <si>
    <t xml:space="preserve">h muro (m)</t>
  </si>
  <si>
    <t xml:space="preserve">B trib. (m)</t>
  </si>
  <si>
    <t xml:space="preserve">composicion</t>
  </si>
  <si>
    <t xml:space="preserve">Losa 12 cm 300 + contrapiso 130 + carpeta 42 + piso 50 + cielorraso 20</t>
  </si>
  <si>
    <t xml:space="preserve">Losa 12 cm 300 + contrapiso pendiente 140 + carpeta 42 + aislacion 50 + cielorraso 20</t>
  </si>
  <si>
    <t xml:space="preserve">Mamposteria sobre viga</t>
  </si>
  <si>
    <t xml:space="preserve">kg/m2</t>
  </si>
  <si>
    <t xml:space="preserve">Ladrillo hueco 18 cm + revoque en ambas caras</t>
  </si>
  <si>
    <t xml:space="preserve">COEFICIENTES SEGUN ESQUEMA</t>
  </si>
  <si>
    <t xml:space="preserve">M tramo</t>
  </si>
  <si>
    <t xml:space="preserve">M apoyo</t>
  </si>
  <si>
    <t xml:space="preserve">Reaccion</t>
  </si>
  <si>
    <t xml:space="preserve">L/d min</t>
  </si>
  <si>
    <t xml:space="preserve">Biempotrada</t>
  </si>
  <si>
    <t xml:space="preserve">Voladizo</t>
  </si>
  <si>
    <t xml:space="preserve">p = 1,2 g + 1,6 q    |    M = coef x p x L2    |    R = coef x p x L</t>
  </si>
  <si>
    <t xml:space="preserve">DATOS DE PARTIDA - LOSAS</t>
  </si>
  <si>
    <t xml:space="preserve">MATERIALES Y METODO</t>
  </si>
  <si>
    <t xml:space="preserve">Tension admisible del acero</t>
  </si>
  <si>
    <t xml:space="preserve">Brazo elastico  z / h</t>
  </si>
  <si>
    <t xml:space="preserve">Recubrimiento</t>
  </si>
  <si>
    <t xml:space="preserve">cm</t>
  </si>
  <si>
    <t xml:space="preserve">Separacion maxima</t>
  </si>
  <si>
    <t xml:space="preserve">Armadura de reparticion</t>
  </si>
  <si>
    <t xml:space="preserve">de la principal</t>
  </si>
  <si>
    <t xml:space="preserve">Reparticion minima</t>
  </si>
  <si>
    <t xml:space="preserve">cm2/m</t>
  </si>
  <si>
    <t xml:space="preserve">CARGAS POR NIVEL</t>
  </si>
  <si>
    <t xml:space="preserve">terminaciones (kg/m2)</t>
  </si>
  <si>
    <t xml:space="preserve">Contrapiso 130 + carpeta 42 + piso 50 + cielorraso 20.  q vivienda 200</t>
  </si>
  <si>
    <t xml:space="preserve">Contrapiso pendiente 140 + carpeta 42 + aislacion 50 + cielorraso 20.  q azotea 100</t>
  </si>
  <si>
    <t xml:space="preserve">El peso propio se suma aparte: 2400 x d / 100</t>
  </si>
  <si>
    <t xml:space="preserve">coef. M</t>
  </si>
  <si>
    <t xml:space="preserve">coef. R</t>
  </si>
  <si>
    <t xml:space="preserve">1/10</t>
  </si>
  <si>
    <t xml:space="preserve">1/12</t>
  </si>
  <si>
    <t xml:space="preserve">1/14</t>
  </si>
  <si>
    <t xml:space="preserve">p = peso propio + terminaciones + q   (cargas de servicio)</t>
  </si>
  <si>
    <t xml:space="preserve">M = coef x p x L2        R = coef x p x L        As = M x 100 / (2400 x 0,9 x h)        rep. = As / 5</t>
  </si>
  <si>
    <t xml:space="preserve">DATOS DE PARTIDA - COLUMNAS</t>
  </si>
  <si>
    <t xml:space="preserve">MATERIALES Y CRITERIOS</t>
  </si>
  <si>
    <t xml:space="preserve">phi compresion (estribos)</t>
  </si>
  <si>
    <t xml:space="preserve">Cuantia minima</t>
  </si>
  <si>
    <t xml:space="preserve">de la seccion</t>
  </si>
  <si>
    <t xml:space="preserve">Altura PB</t>
  </si>
  <si>
    <t xml:space="preserve">m</t>
  </si>
  <si>
    <t xml:space="preserve">Altura PA</t>
  </si>
  <si>
    <t xml:space="preserve">As = cuantia minima x area        phi Pn = 0,65 x 0,80 x [0,85 f'c (Ag - As) + fy As]</t>
  </si>
  <si>
    <t xml:space="preserve">Separacion de estribos = min(12 x diam. longitudinal ; 48 x diam. estribo ; lado menor)</t>
  </si>
  <si>
    <t xml:space="preserve">DATOS DE PARTIDA - PILOTES</t>
  </si>
  <si>
    <t xml:space="preserve">PARAMETRO</t>
  </si>
  <si>
    <t xml:space="preserve">origen</t>
  </si>
  <si>
    <t xml:space="preserve">Carga admisible por pilote</t>
  </si>
  <si>
    <t xml:space="preserve">t</t>
  </si>
  <si>
    <t xml:space="preserve">ADOPTADA del propio diseno, NO verificada. Ver nota abajo. Cambiar aca cuando aparezca el estudio de suelos.</t>
  </si>
  <si>
    <t xml:space="preserve">Tension admisible del terreno</t>
  </si>
  <si>
    <t xml:space="preserve">Dato real, tomado del encabezado del calculo de bases.</t>
  </si>
  <si>
    <t xml:space="preserve">Diametro del pilote</t>
  </si>
  <si>
    <t xml:space="preserve">Nota del plano: todos los pilotes son O30.</t>
  </si>
  <si>
    <t xml:space="preserve">Profundidad</t>
  </si>
  <si>
    <t xml:space="preserve">Nota del plano: h = -4,50 m desde la cota +-0,00 de vereda.</t>
  </si>
  <si>
    <t xml:space="preserve">Coef. de mayoracion adoptado</t>
  </si>
  <si>
    <t xml:space="preserve">Para pasar de carga mayorada a carga de servicio.</t>
  </si>
  <si>
    <t xml:space="preserve">ARMADURA DEL PILOTE  (planilla del Ing. Caggiano, 23-03-22)</t>
  </si>
  <si>
    <t xml:space="preserve">5 barras del 12 longitudinales, mas espiral o6 c/15 de 20 cm de diametro, 27 vueltas, longitud teorica 16,95 m. SIN BULBO.</t>
  </si>
  <si>
    <t xml:space="preserve">TIPOS DE PILOTE  (nota general del plano: CANTIDAD 33 PILOTES)</t>
  </si>
  <si>
    <t xml:space="preserve">cota fundacion</t>
  </si>
  <si>
    <t xml:space="preserve">nivel llenado</t>
  </si>
  <si>
    <t xml:space="preserve">long. hormigon</t>
  </si>
  <si>
    <t xml:space="preserve">Pilote tipo "A"</t>
  </si>
  <si>
    <t xml:space="preserve">bajo cabezales de 70 cm (CBZ02 y CBZ03)</t>
  </si>
  <si>
    <t xml:space="preserve">Pilote tipo "B"</t>
  </si>
  <si>
    <t xml:space="preserve">bajo cabezales de 65 cm (CBZ01)</t>
  </si>
  <si>
    <t xml:space="preserve">Pilote tipo "C"</t>
  </si>
  <si>
    <t xml:space="preserve">bajo VF de 25x35 y 20x35</t>
  </si>
  <si>
    <t xml:space="preserve">Pilote tipo "D"</t>
  </si>
  <si>
    <t xml:space="preserve">bajo VF de 25x40</t>
  </si>
  <si>
    <t xml:space="preserve">Los cuatro tipos se funden a -4,50 m; se diferencian en el nivel de llenado de hormigon, o sea en la longitud real del fuste.</t>
  </si>
  <si>
    <t xml:space="preserve">El computo metrico declara 32 pilotes: le falta uno. La nota del plano dice 33, que es la cantidad que se detecta en el dibujo.</t>
  </si>
  <si>
    <t xml:space="preserve">COMO SE ESTIMO LA CARGA ADMISIBLE</t>
  </si>
  <si>
    <t xml:space="preserve">Pilote O30: area de punta 0,0707 m2. Punta  0,0707 x 20 t/m2 = 1,4 t.</t>
  </si>
  <si>
    <t xml:space="preserve">Area lateral segun el tipo: 3,86 m2 el A, 3,91 el B, 4,19 el C y 4,15 el D.</t>
  </si>
  <si>
    <t xml:space="preserve">Con una adherencia de 2,5 t/m2 la capacidad va de 11,1 t el tipo A a 11,9 t el C:</t>
  </si>
  <si>
    <t xml:space="preserve">la diferencia entre tipos es menor al 8 por ciento, por eso se usa un unico valor</t>
  </si>
  <si>
    <t xml:space="preserve">para todos en lugar de uno por tipo.</t>
  </si>
  <si>
    <t xml:space="preserve">DE DONDE SALEN LOS 22 t QUE SE ADOPTAN, Y QUE VALOR TIENEN:</t>
  </si>
  <si>
    <t xml:space="preserve">El calculista puso UN solo pilote bajo la columna mas cargada, que baja 21,04 t</t>
  </si>
  <si>
    <t xml:space="preserve">de servicio. Si dimensiono asi, es porque para el ese pilote admite al menos eso.</t>
  </si>
  <si>
    <t xml:space="preserve">Se adopta 22 t, el redondeo por encima de esa solicitacion.</t>
  </si>
  <si>
    <t xml:space="preserve">ESTO NO ES UNA VERIFICACION. Es leer la hipotesis implicita del proyectista y</t>
  </si>
  <si>
    <t xml:space="preserve">adoptarla: por construccion, todos los cabezales dan verde. Sirve para completar</t>
  </si>
  <si>
    <t xml:space="preserve">la planilla y para dejar escrito cuanto tiene que resistir el pilote, no para</t>
  </si>
  <si>
    <t xml:space="preserve">afirmar que resiste. La verificacion real necesita el estudio de suelos.</t>
  </si>
  <si>
    <t xml:space="preserve">CONTRASTE: para llegar a 21 t con un O30 de 4,50 m hace falta una adherencia</t>
  </si>
  <si>
    <t xml:space="preserve">lateral de 4,5 a 4,8 t/m2. En los limos loessicos de la region de Rosario y Funes</t>
  </si>
  <si>
    <t xml:space="preserve">los valores habituales van de 2 a 3 t/m2, que darian entre 10 y 14 t. O el estudio</t>
  </si>
  <si>
    <t xml:space="preserve">dio un suelo mejor del tipico, o las cargas adoptadas en esta planilla estan altas,</t>
  </si>
  <si>
    <t xml:space="preserve">o el pilote esta ajustado. Es un punto a plantear en el trabajo.</t>
  </si>
  <si>
    <t xml:space="preserve">Capacidad ESTRUCTURAL del pilote: con 5d12 (5,65 cm2) en 707 cm2, cuantia 0,8%,</t>
  </si>
  <si>
    <t xml:space="preserve">fi Pn = 77,4 t. La seccion de hormigon no es el limite: manda el suelo.</t>
  </si>
  <si>
    <t xml:space="preserve">FALTA todavia la capacidad geotecnica. Las planillas de armadura de pilotes no</t>
  </si>
  <si>
    <t xml:space="preserve">la traen: son planillas de doblado de hierro. Ese dato esta en el estudio de suelos.</t>
  </si>
  <si>
    <t xml:space="preserve">La tension de 2 kg/cm2 que trae el calculo de bases es la del estrato</t>
  </si>
  <si>
    <t xml:space="preserve">superficial, donde apoyaban las bases. Los pilotes llegan a -4,50 m y</t>
  </si>
  <si>
    <t xml:space="preserve">trabajan sobre todo por friccion: son dos cosas distintas.</t>
  </si>
  <si>
    <t xml:space="preserve">DATOS DE PARTIDA - PLANILLA 3 HIGROTERMICA</t>
  </si>
  <si>
    <t xml:space="preserve">Transmitancia maxima admitida</t>
  </si>
  <si>
    <t xml:space="preserve">W/m2K</t>
  </si>
  <si>
    <t xml:space="preserve">Es el valor que usa la planilla de la catedra en todas las filas.</t>
  </si>
  <si>
    <t xml:space="preserve">K maximo si los vanos superan el 60% de la fachada</t>
  </si>
  <si>
    <t xml:space="preserve">Decreto 1647/2021, Anexo Etapa 3. NO esta aplicado: la planilla usa 2,90 fijo como el ejemplo. Si la fachada es mayormente vidriada, cambiar el valor de arriba por 1,80.</t>
  </si>
  <si>
    <t xml:space="preserve">TIPOS DE VIDRIO</t>
  </si>
  <si>
    <t xml:space="preserve">descripcion</t>
  </si>
  <si>
    <t xml:space="preserve">K orientativo</t>
  </si>
  <si>
    <t xml:space="preserve">DVH 6+9+3+3 (el de obra, aluminio linea A30)</t>
  </si>
  <si>
    <t xml:space="preserve">Simple incoloro 3 mm</t>
  </si>
  <si>
    <t xml:space="preserve">Simple incoloro 6 mm</t>
  </si>
  <si>
    <t xml:space="preserve">DVH Incoloro ext; incoloro interior (3+12+3 mm)</t>
  </si>
  <si>
    <t xml:space="preserve">DVH Incoloro ext; incoloro interior (4+12+4 mm)</t>
  </si>
  <si>
    <t xml:space="preserve">DVH con lamina de baja emisividad (3+12+3 mm)</t>
  </si>
  <si>
    <t xml:space="preserve">DVH con camara de argon (4+16+4 mm)</t>
  </si>
  <si>
    <t xml:space="preserve">Vidrio laminado 3+3 mm</t>
  </si>
  <si>
    <t xml:space="preserve">TIPOS DE PROTECCION</t>
  </si>
  <si>
    <t xml:space="preserve">FES orientativo</t>
  </si>
  <si>
    <t xml:space="preserve">Cortina blackout INTERIOR (no computa)</t>
  </si>
  <si>
    <t xml:space="preserve">Parasol horizontal fijo 1:2</t>
  </si>
  <si>
    <t xml:space="preserve">Parasol horizontal fijo 1:1</t>
  </si>
  <si>
    <t xml:space="preserve">Alero</t>
  </si>
  <si>
    <t xml:space="preserve">Cortina de enrollar exterior</t>
  </si>
  <si>
    <t xml:space="preserve">Persiana de madera</t>
  </si>
  <si>
    <t xml:space="preserve">Toldo</t>
  </si>
  <si>
    <t xml:space="preserve">SUPERFICIE VIDRIADA POR LOCAL  (de la planilla de iluminacion y ventilacion)</t>
  </si>
  <si>
    <t xml:space="preserve">local</t>
  </si>
  <si>
    <t xml:space="preserve">ilum. (m2)</t>
  </si>
  <si>
    <t xml:space="preserve">vent. (m2)</t>
  </si>
  <si>
    <t xml:space="preserve">TOTAL</t>
  </si>
  <si>
    <t xml:space="preserve">La suma da 97.38 m2 de superficie vidriada. El total de vanos de los cuatro planos de la Planilla 3 deberia dar ese orden: sirve de control.</t>
  </si>
  <si>
    <t xml:space="preserve">FACTOR DE EXPOSICION SOLAR MAXIMO ADMITIDO  (Ordenanza 8757/11)</t>
  </si>
  <si>
    <t xml:space="preserve">orientacion</t>
  </si>
  <si>
    <t xml:space="preserve">FES max</t>
  </si>
  <si>
    <t xml:space="preserve">cuadrante</t>
  </si>
  <si>
    <t xml:space="preserve">observacion</t>
  </si>
  <si>
    <t xml:space="preserve">Norte</t>
  </si>
  <si>
    <t xml:space="preserve">341 a 20 grados</t>
  </si>
  <si>
    <t xml:space="preserve">Cuadrante Norte (NNE-NNO).</t>
  </si>
  <si>
    <t xml:space="preserve">Este</t>
  </si>
  <si>
    <t xml:space="preserve">21 a 160 grados</t>
  </si>
  <si>
    <t xml:space="preserve">Modificado a 0,39 por decreto de 2021. Verificar vigencia.</t>
  </si>
  <si>
    <t xml:space="preserve">Oeste</t>
  </si>
  <si>
    <t xml:space="preserve">201 a 340 grados</t>
  </si>
  <si>
    <t xml:space="preserve">Sur</t>
  </si>
  <si>
    <t xml:space="preserve">161 a 200 grados</t>
  </si>
  <si>
    <t xml:space="preserve">Cuadrante Sur (SSE-SSO).</t>
  </si>
  <si>
    <t xml:space="preserve">cae en cuadrante Este</t>
  </si>
  <si>
    <t xml:space="preserve">45 grados: entra en el cuadrante Este (21 a 160).</t>
  </si>
  <si>
    <t xml:space="preserve">135 grados: entra en el cuadrante Este (21 a 160).</t>
  </si>
  <si>
    <t xml:space="preserve">cae en cuadrante Oeste</t>
  </si>
  <si>
    <t xml:space="preserve">225 grados: entra en el cuadrante Oeste (201 a 340).</t>
  </si>
  <si>
    <t xml:space="preserve">315 grados: entra en el cuadrante Oeste (201 a 340).</t>
  </si>
  <si>
    <t xml:space="preserve">Horizontal</t>
  </si>
  <si>
    <t xml:space="preserve">lucernarios</t>
  </si>
  <si>
    <t xml:space="preserve">Planos inclinados con angulo menor a 60 grados.</t>
  </si>
  <si>
    <t xml:space="preserve">La casa esta girada 45 grados respecto del norte, asi que NINGUNA de sus cuatro fachadas</t>
  </si>
  <si>
    <t xml:space="preserve">cae en el cuadrante Norte ni en el Sur: las cuatro entran en el cuadrante Este/Oeste, que es</t>
  </si>
  <si>
    <t xml:space="preserve">el mas exigente (0,30, o 0,39 segun la modificacion de 2021). Conviene confirmarlo en la</t>
  </si>
  <si>
    <t xml:space="preserve">Secretaria de Planeamiento antes de presentar: hay versiones distintas dando vueltas.</t>
  </si>
  <si>
    <t xml:space="preserve">Si la abertura ocupa menos del 20% del lado expuesto del local, NO hay que verificar el FES</t>
  </si>
  <si>
    <t xml:space="preserve">(si la transmitancia). Fuente: preguntas frecuentes de la Secretaria de Planeamiento.</t>
  </si>
  <si>
    <t xml:space="preserve">DATOS DE PARTIDA - BALANCE TERMICO</t>
  </si>
  <si>
    <t xml:space="preserve">FI - factor de interrupcion</t>
  </si>
  <si>
    <t xml:space="preserve">Del formulario modelo.</t>
  </si>
  <si>
    <t xml:space="preserve">FO - factor de orientacion</t>
  </si>
  <si>
    <t xml:space="preserve">FALTA la tabla de la catedra. Se adopta 1,00.</t>
  </si>
  <si>
    <t xml:space="preserve">FZ - factor de zona</t>
  </si>
  <si>
    <t xml:space="preserve">TEMPERATURAS</t>
  </si>
  <si>
    <t xml:space="preserve">te - temperatura de ida del agua</t>
  </si>
  <si>
    <t xml:space="preserve">C</t>
  </si>
  <si>
    <t xml:space="preserve">ts - temperatura de retorno</t>
  </si>
  <si>
    <t xml:space="preserve">ti - temperatura interior de diseno</t>
  </si>
  <si>
    <t xml:space="preserve">RADIADOR</t>
  </si>
  <si>
    <t xml:space="preserve">Peisa Tropical 80-500</t>
  </si>
  <si>
    <t xml:space="preserve">Kcal/h por elemento del radiador</t>
  </si>
  <si>
    <t xml:space="preserve">Kcal/h</t>
  </si>
  <si>
    <t xml:space="preserve">Peisa Tropical 80-500, valor de catalogo a salto termico 60 C.</t>
  </si>
  <si>
    <t xml:space="preserve">Factor de correccion por salto termico</t>
  </si>
  <si>
    <t xml:space="preserve">Pasa del salto de catalogo (60 C) al de la instalacion (66 C). (66/60)^1,3 = 1,13.</t>
  </si>
  <si>
    <t xml:space="preserve">Ancho de cada elemento</t>
  </si>
  <si>
    <t xml:space="preserve">Peisa Tropical: 80 mm por elemento.</t>
  </si>
  <si>
    <t xml:space="preserve">TOALLEROS (banos)</t>
  </si>
  <si>
    <t xml:space="preserve">Toallero Scala / Domino 80</t>
  </si>
  <si>
    <t xml:space="preserve">500 x 800 mm. Valor de catalogo a 60 C.</t>
  </si>
  <si>
    <t xml:space="preserve">Toallero Scala / Domino 150</t>
  </si>
  <si>
    <t xml:space="preserve">500 x 1500 mm. Valor de catalogo a 60 C.</t>
  </si>
  <si>
    <t xml:space="preserve">FACTORES DE PERDIDA (Kcal/h por m2, o por m3 en infiltracion)</t>
  </si>
  <si>
    <t xml:space="preserve">elemento</t>
  </si>
  <si>
    <t xml:space="preserve">factor</t>
  </si>
  <si>
    <t xml:space="preserve">Ventana</t>
  </si>
  <si>
    <t xml:space="preserve">Pared exterior aislada</t>
  </si>
  <si>
    <t xml:space="preserve">Pared interior</t>
  </si>
  <si>
    <t xml:space="preserve">Techo no aislado</t>
  </si>
  <si>
    <t xml:space="preserve">Techo aislado</t>
  </si>
  <si>
    <t xml:space="preserve">Techo entrepiso</t>
  </si>
  <si>
    <t xml:space="preserve">Piso sobre tierra</t>
  </si>
  <si>
    <t xml:space="preserve">Piso sobre local ocupado</t>
  </si>
  <si>
    <t xml:space="preserve">Infiltracion, una pared exterior</t>
  </si>
  <si>
    <t xml:space="preserve">Infiltracion, dos paredes exteriores</t>
  </si>
  <si>
    <t xml:space="preserve">Infiltracion, tres o mas paredes exteriores</t>
  </si>
  <si>
    <t xml:space="preserve">Los factores estan escritos en cada renglon del formulario, no se leen de aca: esta tabla es solo de referencia.</t>
  </si>
  <si>
    <t xml:space="preserve">QUE FALTA CARGAR</t>
  </si>
  <si>
    <t xml:space="preserve">1. Las longitudes de pared de cada local, en las columnas H (largo) e I (alto) del formulario.</t>
  </si>
  <si>
    <t xml:space="preserve">   Las celdas estan en naranja. Al cargarlas se completan solas la dimension, el area y la perdida.</t>
  </si>
  <si>
    <t xml:space="preserve">2. Si el muro es aislado o no: el formulario trae tres renglones de cada tipo, borrar los que sobren.</t>
  </si>
  <si>
    <t xml:space="preserve">3. Las tablas de FO y FZ de la catedra. Por ahora los dos valen 1,00.</t>
  </si>
  <si>
    <t xml:space="preserve">4. Nada: el radiador ya esta cargado (Peisa Tropical 80-500, aluminio inyectado en blanco,</t>
  </si>
  <si>
    <t xml:space="preserve">   245 kcal/h por elemento, 80 mm de ancho, 575 mm de alto, 0,375 l por elemento).</t>
  </si>
  <si>
    <t xml:space="preserve">   En los tres banos va toallero Peisa Scala o Domino en vez de radiador de elementos.</t>
  </si>
  <si>
    <t xml:space="preserve">LO QUE YA VIENE CARGADO</t>
  </si>
  <si>
    <t xml:space="preserve">- Superficie y volumen de cada local, de la planilla de iluminacion y ventilacion.</t>
  </si>
  <si>
    <t xml:space="preserve">- Las aberturas de cada local con su medida real, del campo UBICACION de la planilla de</t>
  </si>
  <si>
    <t xml:space="preserve">  carpinterias. Son 17 aberturas repartidas en 13 locales.</t>
  </si>
  <si>
    <t xml:space="preserve">- Techo y piso segun la planta: en PB entrepiso arriba y piso sobre tierra; en PA techo</t>
  </si>
  <si>
    <t xml:space="preserve">  aislado arriba y piso sobre local ocupado. Si algun local no es asi, mover el area de renglon.</t>
  </si>
  <si>
    <t xml:space="preserve">- Infiltracion segun la cantidad de paredes exteriores que se estimo para cada local.</t>
  </si>
  <si>
    <t xml:space="preserve">Altura de local 3,00 m en todos. Varios tienen cielorraso suspendido de yeso a 2,80, pero el muro llega a la losa y el espacio sobre el cielorraso esta dentro de la envolvente, asi que la pared pierde calor en los 3,00.</t>
  </si>
  <si>
    <t xml:space="preserve">MEMORIA - ILUMINACION Y VENTILACION</t>
  </si>
  <si>
    <t xml:space="preserve">CRITERIO</t>
  </si>
  <si>
    <t xml:space="preserve">Area de iluminacion requerida = superficie del local / 9</t>
  </si>
  <si>
    <t xml:space="preserve">Area de ventilacion requerida = un tercio de la de iluminacion = superficie / 27</t>
  </si>
  <si>
    <t xml:space="preserve">Area proyectada: la vidriada de la carpinteria para iluminacion, y la parte que</t>
  </si>
  <si>
    <t xml:space="preserve">realmente abre para ventilacion.</t>
  </si>
  <si>
    <t xml:space="preserve">RESULTADO</t>
  </si>
  <si>
    <t xml:space="preserve">Los trece locales cumplen holgadamente iluminacion y ventilacion.</t>
  </si>
  <si>
    <t xml:space="preserve">CORRECCION</t>
  </si>
  <si>
    <t xml:space="preserve">Local 07, Hall / ingreso: la planilla original traia 0,66 y 0,22, que son los</t>
  </si>
  <si>
    <t xml:space="preserve">valores del local 03 (Lavadero, 6,0 m2). Con sus 4,00 x 2,15 = 8,60 m2 corresponden</t>
  </si>
  <si>
    <t xml:space="preserve">0,96 y 0,32. No cambia el resultado, pero el numero no cerraba con la superficie</t>
  </si>
  <si>
    <t xml:space="preserve">declarada y un verificador lo puede observar.</t>
  </si>
  <si>
    <t xml:space="preserve">A REVISAR</t>
  </si>
  <si>
    <t xml:space="preserve">Local 14, Estar / Playroom: declara 5,00 m2 de ventilacion sobre 5,00 m2 de</t>
  </si>
  <si>
    <t xml:space="preserve">iluminacion, es decir una carpinteria enteramente abrible. En los demas locales</t>
  </si>
  <si>
    <t xml:space="preserve">la relacion es del 50 por ciento. Conviene verificar la carpinteria real.</t>
  </si>
  <si>
    <t xml:space="preserve">Local 02, Deposito: figura sin exigencia por no ser habitable. Son 11,8 m2</t>
  </si>
  <si>
    <t xml:space="preserve">cerrados: si se lo considera habitable hay que preverle conducto.</t>
  </si>
  <si>
    <t xml:space="preserve">REDONDEOS</t>
  </si>
  <si>
    <t xml:space="preserve">Diferencias menores que no afectan: local 03 da 5,95 m2 y figura 6,0;</t>
  </si>
  <si>
    <t xml:space="preserve">local 09 da 12,25 y figura 12,3.</t>
  </si>
  <si>
    <t xml:space="preserve">MEMORIA DE CALCULO - VIGAS H°A°</t>
  </si>
  <si>
    <t xml:space="preserve">NORMATIVA</t>
  </si>
  <si>
    <t xml:space="preserve">CIRSOC 201. Hormigon H-21 (f'c 210 kg/cm2). Acero 42/50 (fy 4200 kg/cm2).</t>
  </si>
  <si>
    <t xml:space="preserve">UNIDADES</t>
  </si>
  <si>
    <t xml:space="preserve">Longitudes en m y cm. Cargas en kg/m. Momentos en kgm. Tensiones en kg/cm2.</t>
  </si>
  <si>
    <t xml:space="preserve">b = ancho | h = altura util | d = altura total (igual criterio que la planilla de catedra).</t>
  </si>
  <si>
    <t xml:space="preserve">1. CARGAS</t>
  </si>
  <si>
    <t xml:space="preserve">Entrepiso PA</t>
  </si>
  <si>
    <t xml:space="preserve">Losa maciza 12 cm 300 + contrapiso 130 + carpeta 42 + piso 50 + cielorraso 20</t>
  </si>
  <si>
    <t xml:space="preserve">g = 550 kg/m2       q = 200 kg/m2 (vivienda)</t>
  </si>
  <si>
    <t xml:space="preserve">Azotea</t>
  </si>
  <si>
    <t xml:space="preserve">Losa 300 + contrapiso de pendiente 140 + carpeta 42 + aislacion y membrana 50 + cielorraso 20</t>
  </si>
  <si>
    <t xml:space="preserve">g = 560 kg/m2       q = 100 kg/m2 (cubierta no accesible)</t>
  </si>
  <si>
    <t xml:space="preserve">Mamposteria</t>
  </si>
  <si>
    <t xml:space="preserve">250 kg/m2. Altura 2,60 m en PA y 1,00 m de parapeto en azotea.</t>
  </si>
  <si>
    <t xml:space="preserve">Peso propio</t>
  </si>
  <si>
    <t xml:space="preserve">2400 kg/m3 x b x d, viga por viga.</t>
  </si>
  <si>
    <t xml:space="preserve">Carga de calculo</t>
  </si>
  <si>
    <t xml:space="preserve">p = 1,2 (g x B + peso propio + muro) + 1,6 (q x B)        B = ancho tributario</t>
  </si>
  <si>
    <t xml:space="preserve">2. SOLICITACIONES</t>
  </si>
  <si>
    <t xml:space="preserve">Coeficientes segun esquema (tabla en hoja Datos):</t>
  </si>
  <si>
    <t xml:space="preserve">  Simplemente apoyada   M = pL2/8                    R = 0,500 pL</t>
  </si>
  <si>
    <t xml:space="preserve">  Continua              M = pL2/14   Mapoyo = pL2/10  R = 0,575 pL</t>
  </si>
  <si>
    <t xml:space="preserve">  Empotrada-apoyada     M = 9pL2/128 Mapoyo = pL2/8   R = 0,625 pL</t>
  </si>
  <si>
    <t xml:space="preserve">  Biempotrada           M = pL2/24   Mapoyo = pL2/12  R = 0,500 pL</t>
  </si>
  <si>
    <t xml:space="preserve">  Voladizo                           Mapoyo = pL2/2   R = 1,000 pL</t>
  </si>
  <si>
    <t xml:space="preserve">3. FLEXION</t>
  </si>
  <si>
    <t xml:space="preserve">k = M / (phi b h2 f'c)      w = 1 - RAIZ(1 - 2k)      As = w b h f'c / fy</t>
  </si>
  <si>
    <t xml:space="preserve">As min = 0,0033 b h       As max = 0,0163 b h (0,75 de la cuantia balanceada)</t>
  </si>
  <si>
    <t xml:space="preserve">Si la armadura no entra en una capa se disponen dos y el recubrimiento pasa a 6 cm.</t>
  </si>
  <si>
    <t xml:space="preserve">4. CORTE</t>
  </si>
  <si>
    <t xml:space="preserve">T = R / (b x 0,85 h)       tension tangencial en el apoyo</t>
  </si>
  <si>
    <t xml:space="preserve">Vc = 0,53 RAIZ(f'c) b h        phi Vn = 0,75 (Vc + Av fy h / s)  &gt;=  R</t>
  </si>
  <si>
    <t xml:space="preserve">Av = 2 ramas. Se aumenta el diametro antes que cerrar la separacion por debajo de 10 cm.</t>
  </si>
  <si>
    <t xml:space="preserve">5. FLECHA</t>
  </si>
  <si>
    <t xml:space="preserve">Altura minima: simplemente apoyada L/16, un extremo continuo L/18,5,</t>
  </si>
  <si>
    <t xml:space="preserve">ambos extremos continuos L/21, voladizo L/8.</t>
  </si>
  <si>
    <t xml:space="preserve">6. VIGAS INVERTIDAS</t>
  </si>
  <si>
    <t xml:space="preserve">Las vigas de BORDE son invertidas: sobresalen 70 cm por encima del fondo de</t>
  </si>
  <si>
    <t xml:space="preserve">losa (cotas N.F.L +3,50 / N.S.V +4,20 y N.F.L +6,80 / N.S.V +7,50 del plano).</t>
  </si>
  <si>
    <t xml:space="preserve">losa. Lo confirman las cotas del plano y el hecho de que el cielorraso sea de</t>
  </si>
  <si>
    <t xml:space="preserve">VI 06 mide 14,00 m en total y es el cuarto borde de L07. Sobre su eje hay cuatro</t>
  </si>
  <si>
    <t xml:space="preserve">columnas, de modo que trabaja como viga continua de tres tramos de 4,10, 4,32 y</t>
  </si>
  <si>
    <t xml:space="preserve">6,53 m. Se calcula con el mayor, 6,53 m, que es el que gobierna.</t>
  </si>
  <si>
    <t xml:space="preserve">hormigon visto: una viga colgante quedaria a la vista. El computo metrico las</t>
  </si>
  <si>
    <t xml:space="preserve">agrupa a las 28 bajo el rubro Vigas invertidas 15x70.</t>
  </si>
  <si>
    <t xml:space="preserve">Esto define donde la losa aporta ala comprimida:</t>
  </si>
  <si>
    <t xml:space="preserve">  viga COLGANTE  -&gt; la losa esta arriba  -&gt; ala util en el TRAMO (momento positivo)</t>
  </si>
  <si>
    <t xml:space="preserve">  viga INVERTIDA -&gt; la losa esta abajo   -&gt; ala util en el APOYO (momento negativo)</t>
  </si>
  <si>
    <t xml:space="preserve">En la zona con ala se adopta b efectivo = min(L/4 ; b + 16 hf); en la otra, la</t>
  </si>
  <si>
    <t xml:space="preserve">seccion es rectangular de ancho b. Las columnas b ef tramo y b ef apoyo lo muestran.</t>
  </si>
  <si>
    <t xml:space="preserve">PENDIENTE: las invertidas de BORDE (VI 01a, 01b, 07a, 07b, 07c, 11a, 11b, 11c,</t>
  </si>
  <si>
    <t xml:space="preserve">15a y 15b) reciben la reaccion de la losa de un solo lado, excentrica respecto</t>
  </si>
  <si>
    <t xml:space="preserve">de su eje, y quedan sometidas a TORSION. Esta planilla no la verifica.</t>
  </si>
  <si>
    <t xml:space="preserve">7. RESULTADO</t>
  </si>
  <si>
    <t xml:space="preserve">30 vigas: 21 del entrepiso PA y 9 de la losa de techo. 28 verifican.</t>
  </si>
  <si>
    <t xml:space="preserve">VI 02 (15x60, 9,88 m): recibe L02 y L03, B = 2,88 m. La armadura de apoyo</t>
  </si>
  <si>
    <t xml:space="preserve">   necesaria ronda los 25 cm2 y supera la cuantia maxima. Los apoyos estan</t>
  </si>
  <si>
    <t xml:space="preserve">   confirmados en obra: tabique T07 perpendicular arriba y COL 02 abajo, sin apoyo</t>
  </si>
  <si>
    <t xml:space="preserve">   intermedio. Para esta carga la seccion necesaria es 15x75.</t>
  </si>
  <si>
    <t xml:space="preserve">VCH 03a (40x13, 3,83 m). Recibe L03, B = 2,08 m, y no</t>
  </si>
  <si>
    <t xml:space="preserve">   verifica: haria falta mas espesor. Tampoco verifica con B = 0,60 m, asi</t>
  </si>
  <si>
    <t xml:space="preserve">   que el problema no es la hipotesis de carga sino la relacion luz/espesor. Una viga</t>
  </si>
  <si>
    <t xml:space="preserve">   chata del mismo espesor que la losa no puede ser apoyo lineal de un pano de 4,15 m.</t>
  </si>
  <si>
    <t xml:space="preserve">   Revisar si tiene un muro debajo que acorte su luz libre.</t>
  </si>
  <si>
    <t xml:space="preserve">VCH 03a (40x13, 3,71 m): excede la cuantia maxima y no llega a la altura minima por</t>
  </si>
  <si>
    <t xml:space="preserve">   flecha. Revisar el ancho tributario: si solo recibe el muro y no losa, baja mucho.</t>
  </si>
  <si>
    <t xml:space="preserve">8. ALCANCE</t>
  </si>
  <si>
    <t xml:space="preserve">No se incluyen las 31 vigas de fundacion (VF01 a VF18c): su calculo depende de las</t>
  </si>
  <si>
    <t xml:space="preserve">cargas que bajan por las columnas y corresponde hacerlo despues. Tampoco losas ni columnas.</t>
  </si>
  <si>
    <t xml:space="preserve">LIMITACIONES</t>
  </si>
  <si>
    <t xml:space="preserve">El ancho tributario B esta relevado solo en</t>
  </si>
  <si>
    <t xml:space="preserve">VI 02 (0,80 m) y VCH 03a (2,08 m). En las demas sigue adoptado en 2,00 m, a falta</t>
  </si>
  <si>
    <t xml:space="preserve">hipotesis mas influyente del calculo: ajustarla viga por viga en la columna B trib.</t>
  </si>
  <si>
    <t xml:space="preserve">El esquema se asigno por criterio: continua si integra una serie a-b-c o si supera 5,5 m.</t>
  </si>
  <si>
    <t xml:space="preserve">Trabajo academico. Requiere verificacion y firma de profesional matriculado.</t>
  </si>
  <si>
    <t xml:space="preserve">MEMORIA DE CALCULO - LOSAS</t>
  </si>
  <si>
    <t xml:space="preserve">METODO</t>
  </si>
  <si>
    <t xml:space="preserve">Tensiones admisibles, igual criterio que la planilla modelo de la catedra.</t>
  </si>
  <si>
    <t xml:space="preserve">Se verifico contra la fila de ejemplo: momentos y reacciones coinciden exactamente.</t>
  </si>
  <si>
    <t xml:space="preserve">H-21 (f'c 210 kg/cm2). Acero 42/50 (fy 4200). Tension admisible 2400 kg/cm2.</t>
  </si>
  <si>
    <t xml:space="preserve">h = altura util | d = espesor total. Recubrimiento 1,5 cm.</t>
  </si>
  <si>
    <t xml:space="preserve">p = peso propio + terminaciones + q      (cargas de servicio, sin mayorar)</t>
  </si>
  <si>
    <t xml:space="preserve">Peso propio = 2400 x d / 100, calculado con el espesor propio de cada losa.</t>
  </si>
  <si>
    <t xml:space="preserve">Terminaciones 242 kg/m2 (contrapiso 130 + carpeta 42 + piso 50 + cielorraso 20)</t>
  </si>
  <si>
    <t xml:space="preserve">q = 200 kg/m2 (vivienda)</t>
  </si>
  <si>
    <t xml:space="preserve">Terminaciones 252 kg/m2 (contrapiso pendiente 140 + carpeta 42 + aislacion 50 +</t>
  </si>
  <si>
    <t xml:space="preserve">cielorraso 20).  q = 100 kg/m2 (azotea no accesible)</t>
  </si>
  <si>
    <t xml:space="preserve">M = coeficiente x p x L2, segun el grado de empotramiento:</t>
  </si>
  <si>
    <t xml:space="preserve">  1/8 simplemente apoyada    1/10 y 1/14 continua    1/12 biempotrada    1/2 voladizo</t>
  </si>
  <si>
    <t xml:space="preserve">R = coeficiente x p x L. En voladizo Rx = p x L y Ry no corresponde.</t>
  </si>
  <si>
    <t xml:space="preserve">3. ARMADURA</t>
  </si>
  <si>
    <t xml:space="preserve">As = M x 100 / (2400 x 0,9 x h)        [cm2/m]</t>
  </si>
  <si>
    <t xml:space="preserve">separacion = 100 x area de la barra / As, redondeada, con maximo 20 cm</t>
  </si>
  <si>
    <t xml:space="preserve">Armadura de reparticion = As / 5, con un minimo de 0,30 cm2/m</t>
  </si>
  <si>
    <t xml:space="preserve">4. ESPESORES</t>
  </si>
  <si>
    <t xml:space="preserve">Los espesores d se leyeron del plano: estan escritos debajo del rotulo de cada losa.</t>
  </si>
  <si>
    <t xml:space="preserve">S/PB:  L01 11 | L02 9 | L03 13 | L04 11 | L05 11 | L06 8 | L07 12 | L08 10</t>
  </si>
  <si>
    <t xml:space="preserve">S/PA:  L09 13 | L10 12</t>
  </si>
  <si>
    <t xml:space="preserve">5. LUCES</t>
  </si>
  <si>
    <t xml:space="preserve">Relevadas en obra y aportadas por el proyectista. Dos losas son voladizo</t>
  </si>
  <si>
    <t xml:space="preserve">(L02 de 0,80 m y L08 de 0,75 m) y se calculan con M = p L2 / 2.</t>
  </si>
  <si>
    <t xml:space="preserve">6. LOSAS CRUZADAS</t>
  </si>
  <si>
    <t xml:space="preserve">L07 (4,85 x 5,60) y L10 (4,85 x 6,00) apoyan en los cuatro bordes y su relacion</t>
  </si>
  <si>
    <t xml:space="preserve">de lados es menor que 2, por lo que trabajan en las dos direcciones.</t>
  </si>
  <si>
    <t xml:space="preserve">Se reparte la carga por el metodo de Marcus:   kx = ly4 / (lx4 + ly4)</t>
  </si>
  <si>
    <t xml:space="preserve">  L07: ly/lx = 1,15  -&gt;  64% en la direccion corta, 36% en la larga</t>
  </si>
  <si>
    <t xml:space="preserve">  L10: ly/lx = 1,24  -&gt;  70% en la direccion corta, 30% en la larga</t>
  </si>
  <si>
    <t xml:space="preserve">Cada una ocupa dos renglones, uno por direccion, con la fraccion de carga que</t>
  </si>
  <si>
    <t xml:space="preserve">le toca ya aplicada en la columna CARGAS. Las dos armaduras se cruzan en obra:</t>
  </si>
  <si>
    <t xml:space="preserve">la de la direccion corta va abajo, la de la larga arriba de aquella.</t>
  </si>
  <si>
    <t xml:space="preserve">La columna auxiliar luz transv. es la que dispara el reparto: si se borra, la</t>
  </si>
  <si>
    <t xml:space="preserve">fila vuelve a calcularse como losa armada en una direccion.</t>
  </si>
  <si>
    <t xml:space="preserve">El grado de empotramiento esta cargado en 1/8 salvo los dos voladizos (1/2). Si</t>
  </si>
  <si>
    <t xml:space="preserve">alguna losa es continua sobre una viga corresponde 1/10 o 1/14: corregir en la columna.</t>
  </si>
  <si>
    <t xml:space="preserve">El diagrama de cargas es una imagen fija: si cambias el grado, cambialo a mano.</t>
  </si>
  <si>
    <t xml:space="preserve">MEMORIA DE CALCULO - COLUMNAS</t>
  </si>
  <si>
    <t xml:space="preserve">H-21 (f'c 210 kg/cm2). Acero 42/50 (fy 4200). phi compresion 0,65.</t>
  </si>
  <si>
    <t xml:space="preserve">1. RELEVAMIENTO</t>
  </si>
  <si>
    <t xml:space="preserve">Las columnas se identificaron en el plano cruzando el rotulo COL con un rectangulo</t>
  </si>
  <si>
    <t xml:space="preserve">de la misma seccion a menos de 26 pt. Resultaron 9 en PB y 4 en PA.</t>
  </si>
  <si>
    <t xml:space="preserve">Las 4 de PA caen exactamente sobre C6, C7, C8 y C9 de PB, y ademas tienen la misma</t>
  </si>
  <si>
    <t xml:space="preserve">seccion, lo que confirma que la correspondencia entre plantas es correcta.</t>
  </si>
  <si>
    <t xml:space="preserve">La C01 de 10x10 esta confirmada por el proyectista aunque el computo metrico no</t>
  </si>
  <si>
    <t xml:space="preserve">la incluya en su item 4.1.3: ese computo esta incompleto en ese punto.</t>
  </si>
  <si>
    <t xml:space="preserve">2. ALTURAS</t>
  </si>
  <si>
    <t xml:space="preserve">PB 3,15 m y PA 3,22 m, los mismos valores de la planilla de la catedra, coherentes</t>
  </si>
  <si>
    <t xml:space="preserve">con los niveles del plano (N.F.L +3,50 del entrepiso y +6,80 del techo).</t>
  </si>
  <si>
    <t xml:space="preserve">As = 0,008 x area (cuantia minima, el mismo criterio de la planilla modelo).</t>
  </si>
  <si>
    <t xml:space="preserve">Se adoptan 4 barras del 12 en todas: 4,52 cm2, que cubre la minima en toda seccion.</t>
  </si>
  <si>
    <t xml:space="preserve">Separacion de estribos = min(12 x diam. long. ; 48 x diam. estribo ; lado menor),</t>
  </si>
  <si>
    <t xml:space="preserve">redondeada hacia abajo a multiplo de 5. Para 4d12 con estribo d6 da 10 cm.</t>
  </si>
  <si>
    <t xml:space="preserve">La planilla de la catedra adopta 20 cm: ese valor supera el limite reglamentario.</t>
  </si>
  <si>
    <t xml:space="preserve">4. CAPACIDAD</t>
  </si>
  <si>
    <t xml:space="preserve">phi Pn = 0,65 x 0,80 x [0,85 f'c (Ag - As) + fy As]     (columna zunchada con estribos)</t>
  </si>
  <si>
    <t xml:space="preserve">  15x30 con 4d12 -&gt; 51,2 t        20x20 con 4d12 -&gt; 46,6 t</t>
  </si>
  <si>
    <t xml:space="preserve">5. CARGAS</t>
  </si>
  <si>
    <t xml:space="preserve">La columna CARGA (t) viene cargada con una bajada automatica: suma de las</t>
  </si>
  <si>
    <t xml:space="preserve">reacciones de las vigas que apoyan en cada columna (tomadas de la planilla de</t>
  </si>
  <si>
    <t xml:space="preserve">vigas), mas el peso propio, mas lo que baja de la columna del nivel superior.</t>
  </si>
  <si>
    <t xml:space="preserve">ES UNA CARGA PROVISORIA Y ES UN PISO, NO EL VALOR REAL: 20 de los 60 extremos</t>
  </si>
  <si>
    <t xml:space="preserve">de viga no pudieron asignarse a ninguna columna porque apoyan en otra viga, en</t>
  </si>
  <si>
    <t xml:space="preserve">un tabique o en la medianera, y esas reacciones no estan sumadas.</t>
  </si>
  <si>
    <t xml:space="preserve">Para cerrarla hay que indicar, para cada uno de esos 20 extremos, en que apoya.</t>
  </si>
  <si>
    <t xml:space="preserve">Mientras tanto la columna es editable: al corregir un valor todo recalcula.</t>
  </si>
  <si>
    <t xml:space="preserve">Ademas son cargas MAYORADAS, coherentes con la planilla de vigas. Si la catedra</t>
  </si>
  <si>
    <t xml:space="preserve">pide cargas de servicio, dividir por el coeficiente que corresponda.</t>
  </si>
  <si>
    <t xml:space="preserve">6. ESBELTEZ</t>
  </si>
  <si>
    <t xml:space="preserve">Todas las columnas son esbeltas: con lado menor de 15 cm y 3,15 m de altura,</t>
  </si>
  <si>
    <t xml:space="preserve">k lu / r = 70, muy por encima del limite de 34 por debajo del cual se puede</t>
  </si>
  <si>
    <t xml:space="preserve">despreciar el pandeo. En la practica el llenado de mamposteria las arriostra, pero</t>
  </si>
  <si>
    <t xml:space="preserve">si la catedra lo pide hay que verificar segundo orden. La planilla lo marca.</t>
  </si>
  <si>
    <t xml:space="preserve">7. LA DE 10x10</t>
  </si>
  <si>
    <t xml:space="preserve">Existe, confirmada por el proyectista, y el computo metrico la omite. Con 10 cm</t>
  </si>
  <si>
    <t xml:space="preserve">de lado y 3,15 m de altura su esbeltez es k lu / r = 105, tres veces el limite</t>
  </si>
  <si>
    <t xml:space="preserve">por debajo del cual se puede despreciar el pandeo, y su capacidad es de 18,7 t</t>
  </si>
  <si>
    <t xml:space="preserve">contra los 51 de una 15x30. Es el punto mas delicado del conjunto: conviene</t>
  </si>
  <si>
    <t xml:space="preserve">verificarla a segundo orden en serio, no con la formula de compresion simple.</t>
  </si>
  <si>
    <t xml:space="preserve">No se verifica flexion compuesta: las columnas de borde reciben momento de las</t>
  </si>
  <si>
    <t xml:space="preserve">vigas invertidas y trabajan a flexo-compresion, no a compresion simple.</t>
  </si>
  <si>
    <t xml:space="preserve">VIGAS DE FUNDACION - inventario. Calculo pendiente: va despues de columnas.</t>
  </si>
  <si>
    <t xml:space="preserve">b (cm)</t>
  </si>
  <si>
    <t xml:space="preserve">d (cm)</t>
  </si>
  <si>
    <t xml:space="preserve">L (cm)</t>
  </si>
  <si>
    <t xml:space="preserve">Ancho cortado en el PDF: confirmar 20 o 22 cm</t>
  </si>
  <si>
    <t xml:space="preserve">Cota no legible: completar</t>
  </si>
  <si>
    <t xml:space="preserve">Cabezales: CBZ 01 70x70x65   |   CBZ 02 129x70x70   |   CBZ 03 144x70x70</t>
  </si>
</sst>
</file>

<file path=xl/styles.xml><?xml version="1.0" encoding="utf-8"?>
<styleSheet xmlns="http://schemas.openxmlformats.org/spreadsheetml/2006/main">
  <numFmts count="8">
    <numFmt numFmtId="164" formatCode="General"/>
    <numFmt numFmtId="165" formatCode="0.00"/>
    <numFmt numFmtId="166" formatCode="General"/>
    <numFmt numFmtId="167" formatCode="0.0%"/>
    <numFmt numFmtId="168" formatCode="0"/>
    <numFmt numFmtId="169" formatCode="0.0"/>
    <numFmt numFmtId="170" formatCode="0.000"/>
    <numFmt numFmtId="171" formatCode="0.0000"/>
  </numFmts>
  <fonts count="8">
    <font>
      <sz val="11"/>
      <color theme="1"/>
      <name val="Calibri"/>
      <family val="2"/>
      <charset val="1"/>
    </font>
    <font>
      <sz val="10"/>
      <name val="Arial"/>
      <family val="0"/>
    </font>
    <font>
      <sz val="10"/>
      <name val="Arial"/>
      <family val="0"/>
    </font>
    <font>
      <sz val="10"/>
      <name val="Arial"/>
      <family val="0"/>
    </font>
    <font>
      <b val="true"/>
      <sz val="12"/>
      <name val="Bahnschrift Light Condensed"/>
      <family val="0"/>
      <charset val="1"/>
    </font>
    <font>
      <sz val="12"/>
      <name val="Bahnschrift Light Condensed"/>
      <family val="0"/>
      <charset val="1"/>
    </font>
    <font>
      <b val="true"/>
      <sz val="10"/>
      <name val="Bahnschrift Light Condensed"/>
      <family val="0"/>
      <charset val="1"/>
    </font>
    <font>
      <sz val="12"/>
      <color theme="1"/>
      <name val="Bahnschrift Light Condensed"/>
      <family val="0"/>
      <charset val="1"/>
    </font>
  </fonts>
  <fills count="5">
    <fill>
      <patternFill patternType="none"/>
    </fill>
    <fill>
      <patternFill patternType="gray125"/>
    </fill>
    <fill>
      <patternFill patternType="solid">
        <fgColor rgb="FFD9D9D9"/>
        <bgColor rgb="FFEDEDED"/>
      </patternFill>
    </fill>
    <fill>
      <patternFill patternType="solid">
        <fgColor rgb="FFEDEDED"/>
        <bgColor rgb="FFD9D9D9"/>
      </patternFill>
    </fill>
    <fill>
      <patternFill patternType="solid">
        <fgColor rgb="FFFFFF00"/>
        <bgColor rgb="FFFFFF00"/>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thin"/>
      <bottom style="medium"/>
      <diagonal/>
    </border>
    <border diagonalUp="false" diagonalDown="false">
      <left style="thin"/>
      <right/>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center" textRotation="0" wrapText="tru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4" fillId="3" borderId="1" xfId="0" applyFont="true" applyBorder="true" applyAlignment="true" applyProtection="false">
      <alignment horizontal="center" vertical="center" textRotation="0" wrapText="true" indent="0" shrinkToFit="false"/>
      <protection locked="true" hidden="false"/>
    </xf>
    <xf numFmtId="164" fontId="4" fillId="2" borderId="1" xfId="0" applyFont="true" applyBorder="true" applyAlignment="true" applyProtection="false">
      <alignment horizontal="left" vertical="center" textRotation="0" wrapText="false" indent="0" shrinkToFit="false"/>
      <protection locked="true" hidden="false"/>
    </xf>
    <xf numFmtId="164" fontId="5" fillId="0" borderId="1" xfId="0" applyFont="true" applyBorder="true" applyAlignment="true" applyProtection="false">
      <alignment horizontal="left" vertical="center" textRotation="0" wrapText="false" indent="0" shrinkToFit="false"/>
      <protection locked="true" hidden="false"/>
    </xf>
    <xf numFmtId="165" fontId="5" fillId="4" borderId="1" xfId="0" applyFont="true" applyBorder="true" applyAlignment="true" applyProtection="false">
      <alignment horizontal="center" vertical="center" textRotation="0" wrapText="true" indent="0" shrinkToFit="false"/>
      <protection locked="true" hidden="false"/>
    </xf>
    <xf numFmtId="165" fontId="5" fillId="0"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6" fontId="5" fillId="0"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left" vertical="center" textRotation="0" wrapText="true" indent="0" shrinkToFit="false"/>
      <protection locked="true" hidden="false"/>
    </xf>
    <xf numFmtId="164" fontId="5" fillId="0" borderId="2" xfId="0" applyFont="true" applyBorder="true" applyAlignment="true" applyProtection="false">
      <alignment horizontal="left" vertical="center" textRotation="0" wrapText="false" indent="0" shrinkToFit="false"/>
      <protection locked="true" hidden="false"/>
    </xf>
    <xf numFmtId="165" fontId="5" fillId="0" borderId="2" xfId="0" applyFont="true" applyBorder="true" applyAlignment="true" applyProtection="false">
      <alignment horizontal="center" vertical="center" textRotation="0" wrapText="true" indent="0" shrinkToFit="false"/>
      <protection locked="true" hidden="false"/>
    </xf>
    <xf numFmtId="164" fontId="5" fillId="0" borderId="2" xfId="0" applyFont="true" applyBorder="true" applyAlignment="true" applyProtection="false">
      <alignment horizontal="center" vertical="center" textRotation="0" wrapText="true" indent="0" shrinkToFit="false"/>
      <protection locked="true" hidden="false"/>
    </xf>
    <xf numFmtId="166" fontId="5" fillId="0" borderId="2" xfId="0" applyFont="true" applyBorder="true" applyAlignment="true" applyProtection="false">
      <alignment horizontal="center" vertical="center" textRotation="0" wrapText="true" indent="0" shrinkToFit="false"/>
      <protection locked="true" hidden="false"/>
    </xf>
    <xf numFmtId="164" fontId="5" fillId="0" borderId="2" xfId="0" applyFont="true" applyBorder="true" applyAlignment="true" applyProtection="false">
      <alignment horizontal="left" vertical="center"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left" vertical="center" textRotation="0" wrapText="false" indent="0" shrinkToFit="false"/>
      <protection locked="true" hidden="false"/>
    </xf>
    <xf numFmtId="164" fontId="4" fillId="0" borderId="1" xfId="0" applyFont="true" applyBorder="true" applyAlignment="true" applyProtection="false">
      <alignment horizontal="center" vertical="center" textRotation="0" wrapText="true" indent="0" shrinkToFit="false"/>
      <protection locked="true" hidden="false"/>
    </xf>
    <xf numFmtId="164" fontId="4" fillId="0" borderId="3" xfId="0" applyFont="true" applyBorder="true" applyAlignment="true" applyProtection="false">
      <alignment horizontal="center" vertical="center" textRotation="0" wrapText="true" indent="0" shrinkToFit="false"/>
      <protection locked="true" hidden="false"/>
    </xf>
    <xf numFmtId="165" fontId="4" fillId="0" borderId="2" xfId="0" applyFont="true" applyBorder="true" applyAlignment="true" applyProtection="false">
      <alignment horizontal="center" vertical="center" textRotation="0" wrapText="true" indent="0" shrinkToFit="false"/>
      <protection locked="true" hidden="false"/>
    </xf>
    <xf numFmtId="167" fontId="5" fillId="0" borderId="1" xfId="0" applyFont="true" applyBorder="true" applyAlignment="true" applyProtection="false">
      <alignment horizontal="center" vertical="center" textRotation="0" wrapText="true" indent="0" shrinkToFit="false"/>
      <protection locked="true" hidden="false"/>
    </xf>
    <xf numFmtId="167" fontId="5" fillId="0" borderId="2"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center" textRotation="0" wrapText="false" indent="0" shrinkToFit="false"/>
      <protection locked="true" hidden="false"/>
    </xf>
    <xf numFmtId="164" fontId="4" fillId="3" borderId="2" xfId="0" applyFont="true" applyBorder="true" applyAlignment="true" applyProtection="false">
      <alignment horizontal="center" vertical="center" textRotation="0" wrapText="true" indent="0" shrinkToFit="false"/>
      <protection locked="true" hidden="false"/>
    </xf>
    <xf numFmtId="168" fontId="5" fillId="0" borderId="1" xfId="0" applyFont="true" applyBorder="true" applyAlignment="true" applyProtection="false">
      <alignment horizontal="center" vertical="center" textRotation="0" wrapText="true" indent="0" shrinkToFit="false"/>
      <protection locked="true" hidden="false"/>
    </xf>
    <xf numFmtId="164" fontId="4" fillId="0" borderId="2" xfId="0" applyFont="true" applyBorder="true" applyAlignment="true" applyProtection="false">
      <alignment horizontal="center" vertical="center" textRotation="0" wrapText="true" indent="0" shrinkToFit="false"/>
      <protection locked="true" hidden="false"/>
    </xf>
    <xf numFmtId="168" fontId="5" fillId="0" borderId="2" xfId="0" applyFont="true" applyBorder="true" applyAlignment="true" applyProtection="false">
      <alignment horizontal="center" vertical="center" textRotation="0" wrapText="true" indent="0" shrinkToFit="false"/>
      <protection locked="true" hidden="false"/>
    </xf>
    <xf numFmtId="169" fontId="5" fillId="0" borderId="1" xfId="0" applyFont="true" applyBorder="true" applyAlignment="true" applyProtection="false">
      <alignment horizontal="center" vertical="center" textRotation="0" wrapText="true" indent="0" shrinkToFit="false"/>
      <protection locked="true" hidden="false"/>
    </xf>
    <xf numFmtId="170" fontId="5" fillId="0" borderId="1" xfId="0" applyFont="true" applyBorder="true" applyAlignment="true" applyProtection="false">
      <alignment horizontal="center" vertical="center" textRotation="0" wrapText="true" indent="0" shrinkToFit="false"/>
      <protection locked="true" hidden="false"/>
    </xf>
    <xf numFmtId="169" fontId="5" fillId="0" borderId="2" xfId="0" applyFont="true" applyBorder="true" applyAlignment="true" applyProtection="false">
      <alignment horizontal="center" vertical="center" textRotation="0" wrapText="true" indent="0" shrinkToFit="false"/>
      <protection locked="true" hidden="false"/>
    </xf>
    <xf numFmtId="170" fontId="5" fillId="0" borderId="2" xfId="0" applyFont="true" applyBorder="true" applyAlignment="true" applyProtection="false">
      <alignment horizontal="center" vertical="center" textRotation="0" wrapText="true" indent="0" shrinkToFit="false"/>
      <protection locked="true" hidden="false"/>
    </xf>
    <xf numFmtId="164" fontId="4" fillId="0" borderId="0" xfId="0" applyFont="true" applyBorder="true" applyAlignment="true" applyProtection="false">
      <alignment horizontal="center" vertical="center" textRotation="0" wrapText="false" indent="0" shrinkToFit="false"/>
      <protection locked="true" hidden="false"/>
    </xf>
    <xf numFmtId="164" fontId="4" fillId="3" borderId="3" xfId="0" applyFont="true" applyBorder="true" applyAlignment="true" applyProtection="false">
      <alignment horizontal="center" vertical="center" textRotation="0" wrapText="true" indent="0" shrinkToFit="false"/>
      <protection locked="true" hidden="false"/>
    </xf>
    <xf numFmtId="164" fontId="4" fillId="0" borderId="1" xfId="0" applyFont="true" applyBorder="true" applyAlignment="true" applyProtection="false">
      <alignment horizontal="left" vertical="center" textRotation="0" wrapText="true" indent="0" shrinkToFit="false"/>
      <protection locked="true" hidden="false"/>
    </xf>
    <xf numFmtId="164" fontId="5" fillId="0" borderId="1" xfId="0" applyFont="true" applyBorder="true" applyAlignment="true" applyProtection="false">
      <alignment horizontal="left" vertical="center" textRotation="0" wrapText="true" indent="2" shrinkToFit="false"/>
      <protection locked="true" hidden="false"/>
    </xf>
    <xf numFmtId="165" fontId="7" fillId="0" borderId="1" xfId="0" applyFont="true" applyBorder="true" applyAlignment="true" applyProtection="false">
      <alignment horizontal="center" vertical="center" textRotation="0" wrapText="true" indent="0" shrinkToFit="false"/>
      <protection locked="true" hidden="false"/>
    </xf>
    <xf numFmtId="169" fontId="4" fillId="0" borderId="1" xfId="0" applyFont="true" applyBorder="true" applyAlignment="true" applyProtection="false">
      <alignment horizontal="center" vertical="center" textRotation="0" wrapText="true" indent="0" shrinkToFit="false"/>
      <protection locked="true" hidden="false"/>
    </xf>
    <xf numFmtId="166" fontId="5" fillId="0" borderId="3" xfId="0" applyFont="true" applyBorder="true" applyAlignment="true" applyProtection="false">
      <alignment horizontal="center" vertical="center" textRotation="0" wrapText="true" indent="0" shrinkToFit="false"/>
      <protection locked="true" hidden="false"/>
    </xf>
    <xf numFmtId="165" fontId="5" fillId="0" borderId="3" xfId="0" applyFont="true" applyBorder="true" applyAlignment="true" applyProtection="false">
      <alignment horizontal="center" vertical="center" textRotation="0" wrapText="true" indent="0" shrinkToFit="false"/>
      <protection locked="true" hidden="false"/>
    </xf>
    <xf numFmtId="168" fontId="5" fillId="0" borderId="3" xfId="0" applyFont="true" applyBorder="true" applyAlignment="true" applyProtection="false">
      <alignment horizontal="center" vertical="center" textRotation="0" wrapText="true" indent="0" shrinkToFit="false"/>
      <protection locked="true" hidden="false"/>
    </xf>
    <xf numFmtId="164" fontId="4" fillId="0" borderId="0" xfId="0" applyFont="true" applyBorder="false" applyAlignment="true" applyProtection="false">
      <alignment horizontal="left" vertical="center" textRotation="0" wrapText="true" indent="0" shrinkToFit="false"/>
      <protection locked="true" hidden="false"/>
    </xf>
    <xf numFmtId="164" fontId="4" fillId="0" borderId="2" xfId="0" applyFont="true" applyBorder="true" applyAlignment="true" applyProtection="false">
      <alignment horizontal="left" vertical="center" textRotation="0" wrapText="true" indent="0" shrinkToFit="false"/>
      <protection locked="true" hidden="false"/>
    </xf>
    <xf numFmtId="164" fontId="4" fillId="2"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71" fontId="5" fillId="0" borderId="1" xfId="0" applyFont="true" applyBorder="true" applyAlignment="true" applyProtection="false">
      <alignment horizontal="center" vertical="center" textRotation="0" wrapText="tru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name val="Bahnschrift Light Condensed"/>
        <charset val="1"/>
        <family val="0"/>
        <b val="1"/>
        <color rgb="FF006100"/>
        <sz val="12"/>
      </font>
    </dxf>
    <dxf>
      <font>
        <name val="Bahnschrift Light Condensed"/>
        <charset val="1"/>
        <family val="0"/>
        <b val="1"/>
        <color rgb="FF9C0006"/>
        <sz val="12"/>
      </font>
    </dxf>
  </dxfs>
  <colors>
    <indexedColors>
      <rgbColor rgb="FF000000"/>
      <rgbColor rgb="FFEDEDED"/>
      <rgbColor rgb="FFFF0000"/>
      <rgbColor rgb="FF00FF00"/>
      <rgbColor rgb="FF0000FF"/>
      <rgbColor rgb="FFFFFF00"/>
      <rgbColor rgb="FFFF00FF"/>
      <rgbColor rgb="FF00FFFF"/>
      <rgbColor rgb="FF9C0006"/>
      <rgbColor rgb="FF0061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2.png"/><Relationship Id="rId3" Type="http://schemas.openxmlformats.org/officeDocument/2006/relationships/image" Target="../media/image2.png"/><Relationship Id="rId4" Type="http://schemas.openxmlformats.org/officeDocument/2006/relationships/image" Target="../media/image2.png"/><Relationship Id="rId5" Type="http://schemas.openxmlformats.org/officeDocument/2006/relationships/image" Target="../media/image2.png"/><Relationship Id="rId6" Type="http://schemas.openxmlformats.org/officeDocument/2006/relationships/image" Target="../media/image2.png"/><Relationship Id="rId7" Type="http://schemas.openxmlformats.org/officeDocument/2006/relationships/image" Target="../media/image2.png"/><Relationship Id="rId8" Type="http://schemas.openxmlformats.org/officeDocument/2006/relationships/image" Target="../media/image2.png"/><Relationship Id="rId9" Type="http://schemas.openxmlformats.org/officeDocument/2006/relationships/image" Target="../media/image2.png"/><Relationship Id="rId10" Type="http://schemas.openxmlformats.org/officeDocument/2006/relationships/image" Target="../media/image3.png"/><Relationship Id="rId11" Type="http://schemas.openxmlformats.org/officeDocument/2006/relationships/image" Target="../media/image2.png"/><Relationship Id="rId12" Type="http://schemas.openxmlformats.org/officeDocument/2006/relationships/image" Target="../media/image2.png"/><Relationship Id="rId13" Type="http://schemas.openxmlformats.org/officeDocument/2006/relationships/image" Target="../media/image4.png"/><Relationship Id="rId14" Type="http://schemas.openxmlformats.org/officeDocument/2006/relationships/image" Target="../media/image2.png"/><Relationship Id="rId15" Type="http://schemas.openxmlformats.org/officeDocument/2006/relationships/image" Target="../media/image2.png"/><Relationship Id="rId16" Type="http://schemas.openxmlformats.org/officeDocument/2006/relationships/image" Target="../media/image2.png"/><Relationship Id="rId17" Type="http://schemas.openxmlformats.org/officeDocument/2006/relationships/image" Target="../media/image3.png"/><Relationship Id="rId18" Type="http://schemas.openxmlformats.org/officeDocument/2006/relationships/image" Target="../media/image2.png"/><Relationship Id="rId19" Type="http://schemas.openxmlformats.org/officeDocument/2006/relationships/image" Target="../media/image2.png"/><Relationship Id="rId20" Type="http://schemas.openxmlformats.org/officeDocument/2006/relationships/image" Target="../media/image2.png"/><Relationship Id="rId21" Type="http://schemas.openxmlformats.org/officeDocument/2006/relationships/image" Target="../media/image2.png"/><Relationship Id="rId22" Type="http://schemas.openxmlformats.org/officeDocument/2006/relationships/image" Target="../media/image4.png"/><Relationship Id="rId23" Type="http://schemas.openxmlformats.org/officeDocument/2006/relationships/image" Target="../media/image2.png"/><Relationship Id="rId24" Type="http://schemas.openxmlformats.org/officeDocument/2006/relationships/image" Target="../media/image2.png"/><Relationship Id="rId25" Type="http://schemas.openxmlformats.org/officeDocument/2006/relationships/image" Target="../media/image2.png"/><Relationship Id="rId26" Type="http://schemas.openxmlformats.org/officeDocument/2006/relationships/image" Target="../media/image2.png"/><Relationship Id="rId27" Type="http://schemas.openxmlformats.org/officeDocument/2006/relationships/image" Target="../media/image2.png"/><Relationship Id="rId28" Type="http://schemas.openxmlformats.org/officeDocument/2006/relationships/image" Target="../media/image2.png"/><Relationship Id="rId29" Type="http://schemas.openxmlformats.org/officeDocument/2006/relationships/image" Target="../media/image2.png"/><Relationship Id="rId30" Type="http://schemas.openxmlformats.org/officeDocument/2006/relationships/image" Target="../media/image2.png"/><Relationship Id="rId31" Type="http://schemas.openxmlformats.org/officeDocument/2006/relationships/image" Target="../media/image4.png"/>
</Relationships>
</file>

<file path=xl/drawings/_rels/drawing3.xml.rels><?xml version="1.0" encoding="UTF-8"?>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 Id="rId3" Type="http://schemas.openxmlformats.org/officeDocument/2006/relationships/image" Target="../media/image4.png"/><Relationship Id="rId4" Type="http://schemas.openxmlformats.org/officeDocument/2006/relationships/image" Target="../media/image4.png"/><Relationship Id="rId5" Type="http://schemas.openxmlformats.org/officeDocument/2006/relationships/image" Target="../media/image4.png"/><Relationship Id="rId6" Type="http://schemas.openxmlformats.org/officeDocument/2006/relationships/image" Target="../media/image4.png"/><Relationship Id="rId7" Type="http://schemas.openxmlformats.org/officeDocument/2006/relationships/image" Target="../media/image4.png"/><Relationship Id="rId8" Type="http://schemas.openxmlformats.org/officeDocument/2006/relationships/image" Target="../media/image4.png"/><Relationship Id="rId9" Type="http://schemas.openxmlformats.org/officeDocument/2006/relationships/image" Target="../media/image5.png"/><Relationship Id="rId10" Type="http://schemas.openxmlformats.org/officeDocument/2006/relationships/image" Target="../media/image4.png"/><Relationship Id="rId11" Type="http://schemas.openxmlformats.org/officeDocument/2006/relationships/image" Target="../media/image4.png"/><Relationship Id="rId12" Type="http://schemas.openxmlformats.org/officeDocument/2006/relationships/image" Target="../media/image4.png"/>
</Relationships>
</file>

<file path=xl/drawings/_rels/drawing4.xml.rels><?xml version="1.0" encoding="UTF-8"?>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2.png"/><Relationship Id="rId3" Type="http://schemas.openxmlformats.org/officeDocument/2006/relationships/image" Target="../media/image2.png"/><Relationship Id="rId4" Type="http://schemas.openxmlformats.org/officeDocument/2006/relationships/image" Target="../media/image4.png"/><Relationship Id="rId5" Type="http://schemas.openxmlformats.org/officeDocument/2006/relationships/image" Target="../media/image2.png"/><Relationship Id="rId6" Type="http://schemas.openxmlformats.org/officeDocument/2006/relationships/image" Target="../media/image2.png"/><Relationship Id="rId7" Type="http://schemas.openxmlformats.org/officeDocument/2006/relationships/image" Target="../media/image2.png"/><Relationship Id="rId8" Type="http://schemas.openxmlformats.org/officeDocument/2006/relationships/image" Target="../media/image2.png"/><Relationship Id="rId9" Type="http://schemas.openxmlformats.org/officeDocument/2006/relationships/image" Target="../media/image4.png"/><Relationship Id="rId10" Type="http://schemas.openxmlformats.org/officeDocument/2006/relationships/image" Target="../media/image2.png"/><Relationship Id="rId11" Type="http://schemas.openxmlformats.org/officeDocument/2006/relationships/image" Target="../media/image2.png"/><Relationship Id="rId12" Type="http://schemas.openxmlformats.org/officeDocument/2006/relationships/image" Target="../media/image2.png"/><Relationship Id="rId13" Type="http://schemas.openxmlformats.org/officeDocument/2006/relationships/image" Target="../media/image2.png"/><Relationship Id="rId14" Type="http://schemas.openxmlformats.org/officeDocument/2006/relationships/image" Target="../media/image4.png"/><Relationship Id="rId15" Type="http://schemas.openxmlformats.org/officeDocument/2006/relationships/image" Target="../media/image4.png"/><Relationship Id="rId16" Type="http://schemas.openxmlformats.org/officeDocument/2006/relationships/image" Target="../media/image2.png"/><Relationship Id="rId17" Type="http://schemas.openxmlformats.org/officeDocument/2006/relationships/image" Target="../media/image2.png"/><Relationship Id="rId18" Type="http://schemas.openxmlformats.org/officeDocument/2006/relationships/image" Target="../media/image2.png"/><Relationship Id="rId19" Type="http://schemas.openxmlformats.org/officeDocument/2006/relationships/image" Target="../media/image2.png"/><Relationship Id="rId20" Type="http://schemas.openxmlformats.org/officeDocument/2006/relationships/image" Target="../media/image2.png"/><Relationship Id="rId21" Type="http://schemas.openxmlformats.org/officeDocument/2006/relationships/image" Target="../media/image4.png"/><Relationship Id="rId22" Type="http://schemas.openxmlformats.org/officeDocument/2006/relationships/image" Target="../media/image4.png"/><Relationship Id="rId23" Type="http://schemas.openxmlformats.org/officeDocument/2006/relationships/image" Target="../media/image4.png"/><Relationship Id="rId24" Type="http://schemas.openxmlformats.org/officeDocument/2006/relationships/image" Target="../media/image4.png"/><Relationship Id="rId25" Type="http://schemas.openxmlformats.org/officeDocument/2006/relationships/image" Target="../media/image4.png"/><Relationship Id="rId26" Type="http://schemas.openxmlformats.org/officeDocument/2006/relationships/image" Target="../media/image2.png"/><Relationship Id="rId27" Type="http://schemas.openxmlformats.org/officeDocument/2006/relationships/image" Target="../media/image2.png"/><Relationship Id="rId28" Type="http://schemas.openxmlformats.org/officeDocument/2006/relationships/image" Target="../media/image4.png"/><Relationship Id="rId29" Type="http://schemas.openxmlformats.org/officeDocument/2006/relationships/image" Target="../media/image2.png"/><Relationship Id="rId30" Type="http://schemas.openxmlformats.org/officeDocument/2006/relationships/image" Target="../media/image2.png"/><Relationship Id="rId31" Type="http://schemas.openxmlformats.org/officeDocument/2006/relationships/image" Target="../media/image2.png"/>
</Relationships>
</file>

<file path=xl/drawings/_rels/drawing5.xml.rels><?xml version="1.0" encoding="UTF-8"?>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 Id="rId3" Type="http://schemas.openxmlformats.org/officeDocument/2006/relationships/image" Target="../media/image8.png"/><Relationship Id="rId4" Type="http://schemas.openxmlformats.org/officeDocument/2006/relationships/image" Target="../media/image9.png"/><Relationship Id="rId5" Type="http://schemas.openxmlformats.org/officeDocument/2006/relationships/image" Target="../media/image10.png"/><Relationship Id="rId6" Type="http://schemas.openxmlformats.org/officeDocument/2006/relationships/image" Target="../media/image11.png"/><Relationship Id="rId7" Type="http://schemas.openxmlformats.org/officeDocument/2006/relationships/image" Target="../media/image12.png"/><Relationship Id="rId8" Type="http://schemas.openxmlformats.org/officeDocument/2006/relationships/image" Target="../media/image13.png"/><Relationship Id="rId9" Type="http://schemas.openxmlformats.org/officeDocument/2006/relationships/image" Target="../media/image14.png"/><Relationship Id="rId10" Type="http://schemas.openxmlformats.org/officeDocument/2006/relationships/image" Target="../media/image15.png"/><Relationship Id="rId11" Type="http://schemas.openxmlformats.org/officeDocument/2006/relationships/image" Target="../media/image16.png"/><Relationship Id="rId12" Type="http://schemas.openxmlformats.org/officeDocument/2006/relationships/image" Target="../media/image17.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294840</xdr:colOff>
      <xdr:row>0</xdr:row>
      <xdr:rowOff>361440</xdr:rowOff>
    </xdr:to>
    <xdr:pic>
      <xdr:nvPicPr>
        <xdr:cNvPr id="0" name="Image 1" descr="Picture"/>
        <xdr:cNvPicPr/>
      </xdr:nvPicPr>
      <xdr:blipFill>
        <a:blip r:embed="rId1"/>
        <a:stretch/>
      </xdr:blipFill>
      <xdr:spPr>
        <a:xfrm>
          <a:off x="0" y="0"/>
          <a:ext cx="294840" cy="36144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3</xdr:row>
      <xdr:rowOff>0</xdr:rowOff>
    </xdr:from>
    <xdr:to>
      <xdr:col>4</xdr:col>
      <xdr:colOff>2095200</xdr:colOff>
      <xdr:row>3</xdr:row>
      <xdr:rowOff>571320</xdr:rowOff>
    </xdr:to>
    <xdr:pic>
      <xdr:nvPicPr>
        <xdr:cNvPr id="1" name="Image 1" descr="Picture"/>
        <xdr:cNvPicPr/>
      </xdr:nvPicPr>
      <xdr:blipFill>
        <a:blip r:embed="rId1"/>
        <a:stretch/>
      </xdr:blipFill>
      <xdr:spPr>
        <a:xfrm>
          <a:off x="3623400" y="1486080"/>
          <a:ext cx="2095200" cy="571320"/>
        </a:xfrm>
        <a:prstGeom prst="rect">
          <a:avLst/>
        </a:prstGeom>
        <a:ln w="0">
          <a:noFill/>
        </a:ln>
      </xdr:spPr>
    </xdr:pic>
    <xdr:clientData/>
  </xdr:twoCellAnchor>
  <xdr:twoCellAnchor editAs="oneCell">
    <xdr:from>
      <xdr:col>4</xdr:col>
      <xdr:colOff>0</xdr:colOff>
      <xdr:row>4</xdr:row>
      <xdr:rowOff>0</xdr:rowOff>
    </xdr:from>
    <xdr:to>
      <xdr:col>4</xdr:col>
      <xdr:colOff>2095200</xdr:colOff>
      <xdr:row>4</xdr:row>
      <xdr:rowOff>571320</xdr:rowOff>
    </xdr:to>
    <xdr:pic>
      <xdr:nvPicPr>
        <xdr:cNvPr id="2" name="Image 2" descr="Picture"/>
        <xdr:cNvPicPr/>
      </xdr:nvPicPr>
      <xdr:blipFill>
        <a:blip r:embed="rId2"/>
        <a:stretch/>
      </xdr:blipFill>
      <xdr:spPr>
        <a:xfrm>
          <a:off x="3623400" y="2371680"/>
          <a:ext cx="2095200" cy="571320"/>
        </a:xfrm>
        <a:prstGeom prst="rect">
          <a:avLst/>
        </a:prstGeom>
        <a:ln w="0">
          <a:noFill/>
        </a:ln>
      </xdr:spPr>
    </xdr:pic>
    <xdr:clientData/>
  </xdr:twoCellAnchor>
  <xdr:twoCellAnchor editAs="oneCell">
    <xdr:from>
      <xdr:col>4</xdr:col>
      <xdr:colOff>0</xdr:colOff>
      <xdr:row>5</xdr:row>
      <xdr:rowOff>0</xdr:rowOff>
    </xdr:from>
    <xdr:to>
      <xdr:col>4</xdr:col>
      <xdr:colOff>2095200</xdr:colOff>
      <xdr:row>5</xdr:row>
      <xdr:rowOff>571320</xdr:rowOff>
    </xdr:to>
    <xdr:pic>
      <xdr:nvPicPr>
        <xdr:cNvPr id="3" name="Image 3" descr="Picture"/>
        <xdr:cNvPicPr/>
      </xdr:nvPicPr>
      <xdr:blipFill>
        <a:blip r:embed="rId3"/>
        <a:stretch/>
      </xdr:blipFill>
      <xdr:spPr>
        <a:xfrm>
          <a:off x="3623400" y="3257640"/>
          <a:ext cx="2095200" cy="571320"/>
        </a:xfrm>
        <a:prstGeom prst="rect">
          <a:avLst/>
        </a:prstGeom>
        <a:ln w="0">
          <a:noFill/>
        </a:ln>
      </xdr:spPr>
    </xdr:pic>
    <xdr:clientData/>
  </xdr:twoCellAnchor>
  <xdr:twoCellAnchor editAs="oneCell">
    <xdr:from>
      <xdr:col>4</xdr:col>
      <xdr:colOff>0</xdr:colOff>
      <xdr:row>6</xdr:row>
      <xdr:rowOff>0</xdr:rowOff>
    </xdr:from>
    <xdr:to>
      <xdr:col>4</xdr:col>
      <xdr:colOff>2095200</xdr:colOff>
      <xdr:row>6</xdr:row>
      <xdr:rowOff>571320</xdr:rowOff>
    </xdr:to>
    <xdr:pic>
      <xdr:nvPicPr>
        <xdr:cNvPr id="4" name="Image 4" descr="Picture"/>
        <xdr:cNvPicPr/>
      </xdr:nvPicPr>
      <xdr:blipFill>
        <a:blip r:embed="rId4"/>
        <a:stretch/>
      </xdr:blipFill>
      <xdr:spPr>
        <a:xfrm>
          <a:off x="3623400" y="4143240"/>
          <a:ext cx="2095200" cy="571320"/>
        </a:xfrm>
        <a:prstGeom prst="rect">
          <a:avLst/>
        </a:prstGeom>
        <a:ln w="0">
          <a:noFill/>
        </a:ln>
      </xdr:spPr>
    </xdr:pic>
    <xdr:clientData/>
  </xdr:twoCellAnchor>
  <xdr:twoCellAnchor editAs="oneCell">
    <xdr:from>
      <xdr:col>4</xdr:col>
      <xdr:colOff>0</xdr:colOff>
      <xdr:row>7</xdr:row>
      <xdr:rowOff>0</xdr:rowOff>
    </xdr:from>
    <xdr:to>
      <xdr:col>4</xdr:col>
      <xdr:colOff>2095200</xdr:colOff>
      <xdr:row>7</xdr:row>
      <xdr:rowOff>571320</xdr:rowOff>
    </xdr:to>
    <xdr:pic>
      <xdr:nvPicPr>
        <xdr:cNvPr id="5" name="Image 5" descr="Picture"/>
        <xdr:cNvPicPr/>
      </xdr:nvPicPr>
      <xdr:blipFill>
        <a:blip r:embed="rId5"/>
        <a:stretch/>
      </xdr:blipFill>
      <xdr:spPr>
        <a:xfrm>
          <a:off x="3623400" y="5029200"/>
          <a:ext cx="2095200" cy="571320"/>
        </a:xfrm>
        <a:prstGeom prst="rect">
          <a:avLst/>
        </a:prstGeom>
        <a:ln w="0">
          <a:noFill/>
        </a:ln>
      </xdr:spPr>
    </xdr:pic>
    <xdr:clientData/>
  </xdr:twoCellAnchor>
  <xdr:twoCellAnchor editAs="oneCell">
    <xdr:from>
      <xdr:col>4</xdr:col>
      <xdr:colOff>0</xdr:colOff>
      <xdr:row>8</xdr:row>
      <xdr:rowOff>0</xdr:rowOff>
    </xdr:from>
    <xdr:to>
      <xdr:col>4</xdr:col>
      <xdr:colOff>2095200</xdr:colOff>
      <xdr:row>8</xdr:row>
      <xdr:rowOff>571320</xdr:rowOff>
    </xdr:to>
    <xdr:pic>
      <xdr:nvPicPr>
        <xdr:cNvPr id="6" name="Image 6" descr="Picture"/>
        <xdr:cNvPicPr/>
      </xdr:nvPicPr>
      <xdr:blipFill>
        <a:blip r:embed="rId6"/>
        <a:stretch/>
      </xdr:blipFill>
      <xdr:spPr>
        <a:xfrm>
          <a:off x="3623400" y="5915160"/>
          <a:ext cx="2095200" cy="571320"/>
        </a:xfrm>
        <a:prstGeom prst="rect">
          <a:avLst/>
        </a:prstGeom>
        <a:ln w="0">
          <a:noFill/>
        </a:ln>
      </xdr:spPr>
    </xdr:pic>
    <xdr:clientData/>
  </xdr:twoCellAnchor>
  <xdr:twoCellAnchor editAs="oneCell">
    <xdr:from>
      <xdr:col>4</xdr:col>
      <xdr:colOff>0</xdr:colOff>
      <xdr:row>9</xdr:row>
      <xdr:rowOff>0</xdr:rowOff>
    </xdr:from>
    <xdr:to>
      <xdr:col>4</xdr:col>
      <xdr:colOff>2095200</xdr:colOff>
      <xdr:row>9</xdr:row>
      <xdr:rowOff>571320</xdr:rowOff>
    </xdr:to>
    <xdr:pic>
      <xdr:nvPicPr>
        <xdr:cNvPr id="7" name="Image 7" descr="Picture"/>
        <xdr:cNvPicPr/>
      </xdr:nvPicPr>
      <xdr:blipFill>
        <a:blip r:embed="rId7"/>
        <a:stretch/>
      </xdr:blipFill>
      <xdr:spPr>
        <a:xfrm>
          <a:off x="3623400" y="6800760"/>
          <a:ext cx="2095200" cy="571320"/>
        </a:xfrm>
        <a:prstGeom prst="rect">
          <a:avLst/>
        </a:prstGeom>
        <a:ln w="0">
          <a:noFill/>
        </a:ln>
      </xdr:spPr>
    </xdr:pic>
    <xdr:clientData/>
  </xdr:twoCellAnchor>
  <xdr:twoCellAnchor editAs="oneCell">
    <xdr:from>
      <xdr:col>4</xdr:col>
      <xdr:colOff>0</xdr:colOff>
      <xdr:row>10</xdr:row>
      <xdr:rowOff>0</xdr:rowOff>
    </xdr:from>
    <xdr:to>
      <xdr:col>4</xdr:col>
      <xdr:colOff>2095200</xdr:colOff>
      <xdr:row>10</xdr:row>
      <xdr:rowOff>571320</xdr:rowOff>
    </xdr:to>
    <xdr:pic>
      <xdr:nvPicPr>
        <xdr:cNvPr id="8" name="Image 8" descr="Picture"/>
        <xdr:cNvPicPr/>
      </xdr:nvPicPr>
      <xdr:blipFill>
        <a:blip r:embed="rId8"/>
        <a:stretch/>
      </xdr:blipFill>
      <xdr:spPr>
        <a:xfrm>
          <a:off x="3623400" y="7686720"/>
          <a:ext cx="2095200" cy="571320"/>
        </a:xfrm>
        <a:prstGeom prst="rect">
          <a:avLst/>
        </a:prstGeom>
        <a:ln w="0">
          <a:noFill/>
        </a:ln>
      </xdr:spPr>
    </xdr:pic>
    <xdr:clientData/>
  </xdr:twoCellAnchor>
  <xdr:twoCellAnchor editAs="oneCell">
    <xdr:from>
      <xdr:col>4</xdr:col>
      <xdr:colOff>0</xdr:colOff>
      <xdr:row>11</xdr:row>
      <xdr:rowOff>0</xdr:rowOff>
    </xdr:from>
    <xdr:to>
      <xdr:col>4</xdr:col>
      <xdr:colOff>2095200</xdr:colOff>
      <xdr:row>11</xdr:row>
      <xdr:rowOff>571320</xdr:rowOff>
    </xdr:to>
    <xdr:pic>
      <xdr:nvPicPr>
        <xdr:cNvPr id="9" name="Image 9" descr="Picture"/>
        <xdr:cNvPicPr/>
      </xdr:nvPicPr>
      <xdr:blipFill>
        <a:blip r:embed="rId9"/>
        <a:stretch/>
      </xdr:blipFill>
      <xdr:spPr>
        <a:xfrm>
          <a:off x="3623400" y="8572680"/>
          <a:ext cx="2095200" cy="571320"/>
        </a:xfrm>
        <a:prstGeom prst="rect">
          <a:avLst/>
        </a:prstGeom>
        <a:ln w="0">
          <a:noFill/>
        </a:ln>
      </xdr:spPr>
    </xdr:pic>
    <xdr:clientData/>
  </xdr:twoCellAnchor>
  <xdr:twoCellAnchor editAs="oneCell">
    <xdr:from>
      <xdr:col>4</xdr:col>
      <xdr:colOff>0</xdr:colOff>
      <xdr:row>12</xdr:row>
      <xdr:rowOff>0</xdr:rowOff>
    </xdr:from>
    <xdr:to>
      <xdr:col>4</xdr:col>
      <xdr:colOff>2095200</xdr:colOff>
      <xdr:row>12</xdr:row>
      <xdr:rowOff>571320</xdr:rowOff>
    </xdr:to>
    <xdr:pic>
      <xdr:nvPicPr>
        <xdr:cNvPr id="10" name="Image 10" descr="Picture"/>
        <xdr:cNvPicPr/>
      </xdr:nvPicPr>
      <xdr:blipFill>
        <a:blip r:embed="rId10"/>
        <a:stretch/>
      </xdr:blipFill>
      <xdr:spPr>
        <a:xfrm>
          <a:off x="3623400" y="9458280"/>
          <a:ext cx="2095200" cy="571320"/>
        </a:xfrm>
        <a:prstGeom prst="rect">
          <a:avLst/>
        </a:prstGeom>
        <a:ln w="0">
          <a:noFill/>
        </a:ln>
      </xdr:spPr>
    </xdr:pic>
    <xdr:clientData/>
  </xdr:twoCellAnchor>
  <xdr:twoCellAnchor editAs="oneCell">
    <xdr:from>
      <xdr:col>4</xdr:col>
      <xdr:colOff>0</xdr:colOff>
      <xdr:row>13</xdr:row>
      <xdr:rowOff>0</xdr:rowOff>
    </xdr:from>
    <xdr:to>
      <xdr:col>4</xdr:col>
      <xdr:colOff>2095200</xdr:colOff>
      <xdr:row>13</xdr:row>
      <xdr:rowOff>571320</xdr:rowOff>
    </xdr:to>
    <xdr:pic>
      <xdr:nvPicPr>
        <xdr:cNvPr id="11" name="Image 11" descr="Picture"/>
        <xdr:cNvPicPr/>
      </xdr:nvPicPr>
      <xdr:blipFill>
        <a:blip r:embed="rId11"/>
        <a:stretch/>
      </xdr:blipFill>
      <xdr:spPr>
        <a:xfrm>
          <a:off x="3623400" y="10344240"/>
          <a:ext cx="2095200" cy="571320"/>
        </a:xfrm>
        <a:prstGeom prst="rect">
          <a:avLst/>
        </a:prstGeom>
        <a:ln w="0">
          <a:noFill/>
        </a:ln>
      </xdr:spPr>
    </xdr:pic>
    <xdr:clientData/>
  </xdr:twoCellAnchor>
  <xdr:twoCellAnchor editAs="oneCell">
    <xdr:from>
      <xdr:col>4</xdr:col>
      <xdr:colOff>0</xdr:colOff>
      <xdr:row>14</xdr:row>
      <xdr:rowOff>0</xdr:rowOff>
    </xdr:from>
    <xdr:to>
      <xdr:col>4</xdr:col>
      <xdr:colOff>2095200</xdr:colOff>
      <xdr:row>14</xdr:row>
      <xdr:rowOff>571320</xdr:rowOff>
    </xdr:to>
    <xdr:pic>
      <xdr:nvPicPr>
        <xdr:cNvPr id="12" name="Image 12" descr="Picture"/>
        <xdr:cNvPicPr/>
      </xdr:nvPicPr>
      <xdr:blipFill>
        <a:blip r:embed="rId12"/>
        <a:stretch/>
      </xdr:blipFill>
      <xdr:spPr>
        <a:xfrm>
          <a:off x="3623400" y="11229840"/>
          <a:ext cx="2095200" cy="571320"/>
        </a:xfrm>
        <a:prstGeom prst="rect">
          <a:avLst/>
        </a:prstGeom>
        <a:ln w="0">
          <a:noFill/>
        </a:ln>
      </xdr:spPr>
    </xdr:pic>
    <xdr:clientData/>
  </xdr:twoCellAnchor>
  <xdr:twoCellAnchor editAs="oneCell">
    <xdr:from>
      <xdr:col>4</xdr:col>
      <xdr:colOff>0</xdr:colOff>
      <xdr:row>15</xdr:row>
      <xdr:rowOff>0</xdr:rowOff>
    </xdr:from>
    <xdr:to>
      <xdr:col>4</xdr:col>
      <xdr:colOff>2095200</xdr:colOff>
      <xdr:row>15</xdr:row>
      <xdr:rowOff>571320</xdr:rowOff>
    </xdr:to>
    <xdr:pic>
      <xdr:nvPicPr>
        <xdr:cNvPr id="13" name="Image 13" descr="Picture"/>
        <xdr:cNvPicPr/>
      </xdr:nvPicPr>
      <xdr:blipFill>
        <a:blip r:embed="rId13"/>
        <a:stretch/>
      </xdr:blipFill>
      <xdr:spPr>
        <a:xfrm>
          <a:off x="3623400" y="12115800"/>
          <a:ext cx="2095200" cy="571320"/>
        </a:xfrm>
        <a:prstGeom prst="rect">
          <a:avLst/>
        </a:prstGeom>
        <a:ln w="0">
          <a:noFill/>
        </a:ln>
      </xdr:spPr>
    </xdr:pic>
    <xdr:clientData/>
  </xdr:twoCellAnchor>
  <xdr:twoCellAnchor editAs="oneCell">
    <xdr:from>
      <xdr:col>4</xdr:col>
      <xdr:colOff>0</xdr:colOff>
      <xdr:row>16</xdr:row>
      <xdr:rowOff>0</xdr:rowOff>
    </xdr:from>
    <xdr:to>
      <xdr:col>4</xdr:col>
      <xdr:colOff>2095200</xdr:colOff>
      <xdr:row>16</xdr:row>
      <xdr:rowOff>571320</xdr:rowOff>
    </xdr:to>
    <xdr:pic>
      <xdr:nvPicPr>
        <xdr:cNvPr id="14" name="Image 14" descr="Picture"/>
        <xdr:cNvPicPr/>
      </xdr:nvPicPr>
      <xdr:blipFill>
        <a:blip r:embed="rId14"/>
        <a:stretch/>
      </xdr:blipFill>
      <xdr:spPr>
        <a:xfrm>
          <a:off x="3623400" y="13001760"/>
          <a:ext cx="2095200" cy="571320"/>
        </a:xfrm>
        <a:prstGeom prst="rect">
          <a:avLst/>
        </a:prstGeom>
        <a:ln w="0">
          <a:noFill/>
        </a:ln>
      </xdr:spPr>
    </xdr:pic>
    <xdr:clientData/>
  </xdr:twoCellAnchor>
  <xdr:twoCellAnchor editAs="oneCell">
    <xdr:from>
      <xdr:col>4</xdr:col>
      <xdr:colOff>0</xdr:colOff>
      <xdr:row>17</xdr:row>
      <xdr:rowOff>0</xdr:rowOff>
    </xdr:from>
    <xdr:to>
      <xdr:col>4</xdr:col>
      <xdr:colOff>2095200</xdr:colOff>
      <xdr:row>17</xdr:row>
      <xdr:rowOff>571320</xdr:rowOff>
    </xdr:to>
    <xdr:pic>
      <xdr:nvPicPr>
        <xdr:cNvPr id="15" name="Image 15" descr="Picture"/>
        <xdr:cNvPicPr/>
      </xdr:nvPicPr>
      <xdr:blipFill>
        <a:blip r:embed="rId15"/>
        <a:stretch/>
      </xdr:blipFill>
      <xdr:spPr>
        <a:xfrm>
          <a:off x="3623400" y="13887360"/>
          <a:ext cx="2095200" cy="571320"/>
        </a:xfrm>
        <a:prstGeom prst="rect">
          <a:avLst/>
        </a:prstGeom>
        <a:ln w="0">
          <a:noFill/>
        </a:ln>
      </xdr:spPr>
    </xdr:pic>
    <xdr:clientData/>
  </xdr:twoCellAnchor>
  <xdr:twoCellAnchor editAs="oneCell">
    <xdr:from>
      <xdr:col>4</xdr:col>
      <xdr:colOff>0</xdr:colOff>
      <xdr:row>18</xdr:row>
      <xdr:rowOff>0</xdr:rowOff>
    </xdr:from>
    <xdr:to>
      <xdr:col>4</xdr:col>
      <xdr:colOff>2095200</xdr:colOff>
      <xdr:row>18</xdr:row>
      <xdr:rowOff>571320</xdr:rowOff>
    </xdr:to>
    <xdr:pic>
      <xdr:nvPicPr>
        <xdr:cNvPr id="16" name="Image 16" descr="Picture"/>
        <xdr:cNvPicPr/>
      </xdr:nvPicPr>
      <xdr:blipFill>
        <a:blip r:embed="rId16"/>
        <a:stretch/>
      </xdr:blipFill>
      <xdr:spPr>
        <a:xfrm>
          <a:off x="3623400" y="14773320"/>
          <a:ext cx="2095200" cy="571320"/>
        </a:xfrm>
        <a:prstGeom prst="rect">
          <a:avLst/>
        </a:prstGeom>
        <a:ln w="0">
          <a:noFill/>
        </a:ln>
      </xdr:spPr>
    </xdr:pic>
    <xdr:clientData/>
  </xdr:twoCellAnchor>
  <xdr:twoCellAnchor editAs="oneCell">
    <xdr:from>
      <xdr:col>4</xdr:col>
      <xdr:colOff>0</xdr:colOff>
      <xdr:row>19</xdr:row>
      <xdr:rowOff>0</xdr:rowOff>
    </xdr:from>
    <xdr:to>
      <xdr:col>4</xdr:col>
      <xdr:colOff>2095200</xdr:colOff>
      <xdr:row>19</xdr:row>
      <xdr:rowOff>571320</xdr:rowOff>
    </xdr:to>
    <xdr:pic>
      <xdr:nvPicPr>
        <xdr:cNvPr id="17" name="Image 17" descr="Picture"/>
        <xdr:cNvPicPr/>
      </xdr:nvPicPr>
      <xdr:blipFill>
        <a:blip r:embed="rId17"/>
        <a:stretch/>
      </xdr:blipFill>
      <xdr:spPr>
        <a:xfrm>
          <a:off x="3623400" y="15659280"/>
          <a:ext cx="2095200" cy="571320"/>
        </a:xfrm>
        <a:prstGeom prst="rect">
          <a:avLst/>
        </a:prstGeom>
        <a:ln w="0">
          <a:noFill/>
        </a:ln>
      </xdr:spPr>
    </xdr:pic>
    <xdr:clientData/>
  </xdr:twoCellAnchor>
  <xdr:twoCellAnchor editAs="oneCell">
    <xdr:from>
      <xdr:col>4</xdr:col>
      <xdr:colOff>0</xdr:colOff>
      <xdr:row>20</xdr:row>
      <xdr:rowOff>0</xdr:rowOff>
    </xdr:from>
    <xdr:to>
      <xdr:col>4</xdr:col>
      <xdr:colOff>2095200</xdr:colOff>
      <xdr:row>20</xdr:row>
      <xdr:rowOff>571320</xdr:rowOff>
    </xdr:to>
    <xdr:pic>
      <xdr:nvPicPr>
        <xdr:cNvPr id="18" name="Image 18" descr="Picture"/>
        <xdr:cNvPicPr/>
      </xdr:nvPicPr>
      <xdr:blipFill>
        <a:blip r:embed="rId18"/>
        <a:stretch/>
      </xdr:blipFill>
      <xdr:spPr>
        <a:xfrm>
          <a:off x="3623400" y="16544880"/>
          <a:ext cx="2095200" cy="571320"/>
        </a:xfrm>
        <a:prstGeom prst="rect">
          <a:avLst/>
        </a:prstGeom>
        <a:ln w="0">
          <a:noFill/>
        </a:ln>
      </xdr:spPr>
    </xdr:pic>
    <xdr:clientData/>
  </xdr:twoCellAnchor>
  <xdr:twoCellAnchor editAs="oneCell">
    <xdr:from>
      <xdr:col>4</xdr:col>
      <xdr:colOff>0</xdr:colOff>
      <xdr:row>21</xdr:row>
      <xdr:rowOff>0</xdr:rowOff>
    </xdr:from>
    <xdr:to>
      <xdr:col>4</xdr:col>
      <xdr:colOff>2095200</xdr:colOff>
      <xdr:row>21</xdr:row>
      <xdr:rowOff>571320</xdr:rowOff>
    </xdr:to>
    <xdr:pic>
      <xdr:nvPicPr>
        <xdr:cNvPr id="19" name="Image 19" descr="Picture"/>
        <xdr:cNvPicPr/>
      </xdr:nvPicPr>
      <xdr:blipFill>
        <a:blip r:embed="rId19"/>
        <a:stretch/>
      </xdr:blipFill>
      <xdr:spPr>
        <a:xfrm>
          <a:off x="3623400" y="17430840"/>
          <a:ext cx="2095200" cy="571320"/>
        </a:xfrm>
        <a:prstGeom prst="rect">
          <a:avLst/>
        </a:prstGeom>
        <a:ln w="0">
          <a:noFill/>
        </a:ln>
      </xdr:spPr>
    </xdr:pic>
    <xdr:clientData/>
  </xdr:twoCellAnchor>
  <xdr:twoCellAnchor editAs="oneCell">
    <xdr:from>
      <xdr:col>4</xdr:col>
      <xdr:colOff>0</xdr:colOff>
      <xdr:row>22</xdr:row>
      <xdr:rowOff>0</xdr:rowOff>
    </xdr:from>
    <xdr:to>
      <xdr:col>4</xdr:col>
      <xdr:colOff>2095200</xdr:colOff>
      <xdr:row>22</xdr:row>
      <xdr:rowOff>571320</xdr:rowOff>
    </xdr:to>
    <xdr:pic>
      <xdr:nvPicPr>
        <xdr:cNvPr id="20" name="Image 20" descr="Picture"/>
        <xdr:cNvPicPr/>
      </xdr:nvPicPr>
      <xdr:blipFill>
        <a:blip r:embed="rId20"/>
        <a:stretch/>
      </xdr:blipFill>
      <xdr:spPr>
        <a:xfrm>
          <a:off x="3623400" y="18316440"/>
          <a:ext cx="2095200" cy="571320"/>
        </a:xfrm>
        <a:prstGeom prst="rect">
          <a:avLst/>
        </a:prstGeom>
        <a:ln w="0">
          <a:noFill/>
        </a:ln>
      </xdr:spPr>
    </xdr:pic>
    <xdr:clientData/>
  </xdr:twoCellAnchor>
  <xdr:twoCellAnchor editAs="oneCell">
    <xdr:from>
      <xdr:col>4</xdr:col>
      <xdr:colOff>0</xdr:colOff>
      <xdr:row>23</xdr:row>
      <xdr:rowOff>0</xdr:rowOff>
    </xdr:from>
    <xdr:to>
      <xdr:col>4</xdr:col>
      <xdr:colOff>2095200</xdr:colOff>
      <xdr:row>23</xdr:row>
      <xdr:rowOff>571320</xdr:rowOff>
    </xdr:to>
    <xdr:pic>
      <xdr:nvPicPr>
        <xdr:cNvPr id="21" name="Image 21" descr="Picture"/>
        <xdr:cNvPicPr/>
      </xdr:nvPicPr>
      <xdr:blipFill>
        <a:blip r:embed="rId21"/>
        <a:stretch/>
      </xdr:blipFill>
      <xdr:spPr>
        <a:xfrm>
          <a:off x="3623400" y="19202400"/>
          <a:ext cx="2095200" cy="571320"/>
        </a:xfrm>
        <a:prstGeom prst="rect">
          <a:avLst/>
        </a:prstGeom>
        <a:ln w="0">
          <a:noFill/>
        </a:ln>
      </xdr:spPr>
    </xdr:pic>
    <xdr:clientData/>
  </xdr:twoCellAnchor>
  <xdr:twoCellAnchor editAs="oneCell">
    <xdr:from>
      <xdr:col>4</xdr:col>
      <xdr:colOff>0</xdr:colOff>
      <xdr:row>24</xdr:row>
      <xdr:rowOff>0</xdr:rowOff>
    </xdr:from>
    <xdr:to>
      <xdr:col>4</xdr:col>
      <xdr:colOff>2095200</xdr:colOff>
      <xdr:row>24</xdr:row>
      <xdr:rowOff>571320</xdr:rowOff>
    </xdr:to>
    <xdr:pic>
      <xdr:nvPicPr>
        <xdr:cNvPr id="22" name="Image 22" descr="Picture"/>
        <xdr:cNvPicPr/>
      </xdr:nvPicPr>
      <xdr:blipFill>
        <a:blip r:embed="rId22"/>
        <a:stretch/>
      </xdr:blipFill>
      <xdr:spPr>
        <a:xfrm>
          <a:off x="3623400" y="20088360"/>
          <a:ext cx="2095200" cy="571320"/>
        </a:xfrm>
        <a:prstGeom prst="rect">
          <a:avLst/>
        </a:prstGeom>
        <a:ln w="0">
          <a:noFill/>
        </a:ln>
      </xdr:spPr>
    </xdr:pic>
    <xdr:clientData/>
  </xdr:twoCellAnchor>
  <xdr:twoCellAnchor editAs="oneCell">
    <xdr:from>
      <xdr:col>4</xdr:col>
      <xdr:colOff>0</xdr:colOff>
      <xdr:row>25</xdr:row>
      <xdr:rowOff>0</xdr:rowOff>
    </xdr:from>
    <xdr:to>
      <xdr:col>4</xdr:col>
      <xdr:colOff>2095200</xdr:colOff>
      <xdr:row>25</xdr:row>
      <xdr:rowOff>571320</xdr:rowOff>
    </xdr:to>
    <xdr:pic>
      <xdr:nvPicPr>
        <xdr:cNvPr id="23" name="Image 23" descr="Picture"/>
        <xdr:cNvPicPr/>
      </xdr:nvPicPr>
      <xdr:blipFill>
        <a:blip r:embed="rId23"/>
        <a:stretch/>
      </xdr:blipFill>
      <xdr:spPr>
        <a:xfrm>
          <a:off x="3623400" y="20973960"/>
          <a:ext cx="2095200" cy="571320"/>
        </a:xfrm>
        <a:prstGeom prst="rect">
          <a:avLst/>
        </a:prstGeom>
        <a:ln w="0">
          <a:noFill/>
        </a:ln>
      </xdr:spPr>
    </xdr:pic>
    <xdr:clientData/>
  </xdr:twoCellAnchor>
  <xdr:twoCellAnchor editAs="oneCell">
    <xdr:from>
      <xdr:col>4</xdr:col>
      <xdr:colOff>0</xdr:colOff>
      <xdr:row>26</xdr:row>
      <xdr:rowOff>0</xdr:rowOff>
    </xdr:from>
    <xdr:to>
      <xdr:col>4</xdr:col>
      <xdr:colOff>2095200</xdr:colOff>
      <xdr:row>26</xdr:row>
      <xdr:rowOff>571320</xdr:rowOff>
    </xdr:to>
    <xdr:pic>
      <xdr:nvPicPr>
        <xdr:cNvPr id="24" name="Image 24" descr="Picture"/>
        <xdr:cNvPicPr/>
      </xdr:nvPicPr>
      <xdr:blipFill>
        <a:blip r:embed="rId24"/>
        <a:stretch/>
      </xdr:blipFill>
      <xdr:spPr>
        <a:xfrm>
          <a:off x="3623400" y="21859920"/>
          <a:ext cx="2095200" cy="571320"/>
        </a:xfrm>
        <a:prstGeom prst="rect">
          <a:avLst/>
        </a:prstGeom>
        <a:ln w="0">
          <a:noFill/>
        </a:ln>
      </xdr:spPr>
    </xdr:pic>
    <xdr:clientData/>
  </xdr:twoCellAnchor>
  <xdr:twoCellAnchor editAs="oneCell">
    <xdr:from>
      <xdr:col>4</xdr:col>
      <xdr:colOff>0</xdr:colOff>
      <xdr:row>27</xdr:row>
      <xdr:rowOff>0</xdr:rowOff>
    </xdr:from>
    <xdr:to>
      <xdr:col>4</xdr:col>
      <xdr:colOff>2095200</xdr:colOff>
      <xdr:row>27</xdr:row>
      <xdr:rowOff>571320</xdr:rowOff>
    </xdr:to>
    <xdr:pic>
      <xdr:nvPicPr>
        <xdr:cNvPr id="25" name="Image 25" descr="Picture"/>
        <xdr:cNvPicPr/>
      </xdr:nvPicPr>
      <xdr:blipFill>
        <a:blip r:embed="rId25"/>
        <a:stretch/>
      </xdr:blipFill>
      <xdr:spPr>
        <a:xfrm>
          <a:off x="3623400" y="22745880"/>
          <a:ext cx="2095200" cy="571320"/>
        </a:xfrm>
        <a:prstGeom prst="rect">
          <a:avLst/>
        </a:prstGeom>
        <a:ln w="0">
          <a:noFill/>
        </a:ln>
      </xdr:spPr>
    </xdr:pic>
    <xdr:clientData/>
  </xdr:twoCellAnchor>
  <xdr:twoCellAnchor editAs="oneCell">
    <xdr:from>
      <xdr:col>4</xdr:col>
      <xdr:colOff>0</xdr:colOff>
      <xdr:row>28</xdr:row>
      <xdr:rowOff>0</xdr:rowOff>
    </xdr:from>
    <xdr:to>
      <xdr:col>4</xdr:col>
      <xdr:colOff>2095200</xdr:colOff>
      <xdr:row>28</xdr:row>
      <xdr:rowOff>571320</xdr:rowOff>
    </xdr:to>
    <xdr:pic>
      <xdr:nvPicPr>
        <xdr:cNvPr id="26" name="Image 26" descr="Picture"/>
        <xdr:cNvPicPr/>
      </xdr:nvPicPr>
      <xdr:blipFill>
        <a:blip r:embed="rId26"/>
        <a:stretch/>
      </xdr:blipFill>
      <xdr:spPr>
        <a:xfrm>
          <a:off x="3623400" y="23631480"/>
          <a:ext cx="2095200" cy="571320"/>
        </a:xfrm>
        <a:prstGeom prst="rect">
          <a:avLst/>
        </a:prstGeom>
        <a:ln w="0">
          <a:noFill/>
        </a:ln>
      </xdr:spPr>
    </xdr:pic>
    <xdr:clientData/>
  </xdr:twoCellAnchor>
  <xdr:twoCellAnchor editAs="oneCell">
    <xdr:from>
      <xdr:col>4</xdr:col>
      <xdr:colOff>0</xdr:colOff>
      <xdr:row>29</xdr:row>
      <xdr:rowOff>0</xdr:rowOff>
    </xdr:from>
    <xdr:to>
      <xdr:col>4</xdr:col>
      <xdr:colOff>2095200</xdr:colOff>
      <xdr:row>29</xdr:row>
      <xdr:rowOff>571320</xdr:rowOff>
    </xdr:to>
    <xdr:pic>
      <xdr:nvPicPr>
        <xdr:cNvPr id="27" name="Image 27" descr="Picture"/>
        <xdr:cNvPicPr/>
      </xdr:nvPicPr>
      <xdr:blipFill>
        <a:blip r:embed="rId27"/>
        <a:stretch/>
      </xdr:blipFill>
      <xdr:spPr>
        <a:xfrm>
          <a:off x="3623400" y="24517440"/>
          <a:ext cx="2095200" cy="571320"/>
        </a:xfrm>
        <a:prstGeom prst="rect">
          <a:avLst/>
        </a:prstGeom>
        <a:ln w="0">
          <a:noFill/>
        </a:ln>
      </xdr:spPr>
    </xdr:pic>
    <xdr:clientData/>
  </xdr:twoCellAnchor>
  <xdr:twoCellAnchor editAs="oneCell">
    <xdr:from>
      <xdr:col>4</xdr:col>
      <xdr:colOff>0</xdr:colOff>
      <xdr:row>30</xdr:row>
      <xdr:rowOff>0</xdr:rowOff>
    </xdr:from>
    <xdr:to>
      <xdr:col>4</xdr:col>
      <xdr:colOff>2095200</xdr:colOff>
      <xdr:row>30</xdr:row>
      <xdr:rowOff>571320</xdr:rowOff>
    </xdr:to>
    <xdr:pic>
      <xdr:nvPicPr>
        <xdr:cNvPr id="28" name="Image 28" descr="Picture"/>
        <xdr:cNvPicPr/>
      </xdr:nvPicPr>
      <xdr:blipFill>
        <a:blip r:embed="rId28"/>
        <a:stretch/>
      </xdr:blipFill>
      <xdr:spPr>
        <a:xfrm>
          <a:off x="3623400" y="25403040"/>
          <a:ext cx="2095200" cy="571320"/>
        </a:xfrm>
        <a:prstGeom prst="rect">
          <a:avLst/>
        </a:prstGeom>
        <a:ln w="0">
          <a:noFill/>
        </a:ln>
      </xdr:spPr>
    </xdr:pic>
    <xdr:clientData/>
  </xdr:twoCellAnchor>
  <xdr:twoCellAnchor editAs="oneCell">
    <xdr:from>
      <xdr:col>4</xdr:col>
      <xdr:colOff>0</xdr:colOff>
      <xdr:row>31</xdr:row>
      <xdr:rowOff>0</xdr:rowOff>
    </xdr:from>
    <xdr:to>
      <xdr:col>4</xdr:col>
      <xdr:colOff>2095200</xdr:colOff>
      <xdr:row>31</xdr:row>
      <xdr:rowOff>571320</xdr:rowOff>
    </xdr:to>
    <xdr:pic>
      <xdr:nvPicPr>
        <xdr:cNvPr id="29" name="Image 29" descr="Picture"/>
        <xdr:cNvPicPr/>
      </xdr:nvPicPr>
      <xdr:blipFill>
        <a:blip r:embed="rId29"/>
        <a:stretch/>
      </xdr:blipFill>
      <xdr:spPr>
        <a:xfrm>
          <a:off x="3623400" y="26289000"/>
          <a:ext cx="2095200" cy="571320"/>
        </a:xfrm>
        <a:prstGeom prst="rect">
          <a:avLst/>
        </a:prstGeom>
        <a:ln w="0">
          <a:noFill/>
        </a:ln>
      </xdr:spPr>
    </xdr:pic>
    <xdr:clientData/>
  </xdr:twoCellAnchor>
  <xdr:twoCellAnchor editAs="oneCell">
    <xdr:from>
      <xdr:col>4</xdr:col>
      <xdr:colOff>0</xdr:colOff>
      <xdr:row>32</xdr:row>
      <xdr:rowOff>0</xdr:rowOff>
    </xdr:from>
    <xdr:to>
      <xdr:col>4</xdr:col>
      <xdr:colOff>2095200</xdr:colOff>
      <xdr:row>32</xdr:row>
      <xdr:rowOff>571320</xdr:rowOff>
    </xdr:to>
    <xdr:pic>
      <xdr:nvPicPr>
        <xdr:cNvPr id="30" name="Image 30" descr="Picture"/>
        <xdr:cNvPicPr/>
      </xdr:nvPicPr>
      <xdr:blipFill>
        <a:blip r:embed="rId30"/>
        <a:stretch/>
      </xdr:blipFill>
      <xdr:spPr>
        <a:xfrm>
          <a:off x="3623400" y="27174960"/>
          <a:ext cx="2095200" cy="571320"/>
        </a:xfrm>
        <a:prstGeom prst="rect">
          <a:avLst/>
        </a:prstGeom>
        <a:ln w="0">
          <a:noFill/>
        </a:ln>
      </xdr:spPr>
    </xdr:pic>
    <xdr:clientData/>
  </xdr:twoCellAnchor>
  <xdr:twoCellAnchor editAs="oneCell">
    <xdr:from>
      <xdr:col>4</xdr:col>
      <xdr:colOff>0</xdr:colOff>
      <xdr:row>33</xdr:row>
      <xdr:rowOff>0</xdr:rowOff>
    </xdr:from>
    <xdr:to>
      <xdr:col>4</xdr:col>
      <xdr:colOff>2095200</xdr:colOff>
      <xdr:row>33</xdr:row>
      <xdr:rowOff>571320</xdr:rowOff>
    </xdr:to>
    <xdr:pic>
      <xdr:nvPicPr>
        <xdr:cNvPr id="31" name="Image 31" descr="Picture"/>
        <xdr:cNvPicPr/>
      </xdr:nvPicPr>
      <xdr:blipFill>
        <a:blip r:embed="rId31"/>
        <a:stretch/>
      </xdr:blipFill>
      <xdr:spPr>
        <a:xfrm>
          <a:off x="3623400" y="28060560"/>
          <a:ext cx="2095200" cy="57132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0</xdr:colOff>
      <xdr:row>3</xdr:row>
      <xdr:rowOff>0</xdr:rowOff>
    </xdr:from>
    <xdr:to>
      <xdr:col>5</xdr:col>
      <xdr:colOff>2095200</xdr:colOff>
      <xdr:row>3</xdr:row>
      <xdr:rowOff>571320</xdr:rowOff>
    </xdr:to>
    <xdr:pic>
      <xdr:nvPicPr>
        <xdr:cNvPr id="32" name="Image 1" descr="Picture"/>
        <xdr:cNvPicPr/>
      </xdr:nvPicPr>
      <xdr:blipFill>
        <a:blip r:embed="rId1"/>
        <a:stretch/>
      </xdr:blipFill>
      <xdr:spPr>
        <a:xfrm>
          <a:off x="4772160" y="1486080"/>
          <a:ext cx="2095200" cy="571320"/>
        </a:xfrm>
        <a:prstGeom prst="rect">
          <a:avLst/>
        </a:prstGeom>
        <a:ln w="0">
          <a:noFill/>
        </a:ln>
      </xdr:spPr>
    </xdr:pic>
    <xdr:clientData/>
  </xdr:twoCellAnchor>
  <xdr:twoCellAnchor editAs="oneCell">
    <xdr:from>
      <xdr:col>5</xdr:col>
      <xdr:colOff>0</xdr:colOff>
      <xdr:row>4</xdr:row>
      <xdr:rowOff>0</xdr:rowOff>
    </xdr:from>
    <xdr:to>
      <xdr:col>5</xdr:col>
      <xdr:colOff>2095200</xdr:colOff>
      <xdr:row>4</xdr:row>
      <xdr:rowOff>571320</xdr:rowOff>
    </xdr:to>
    <xdr:pic>
      <xdr:nvPicPr>
        <xdr:cNvPr id="33" name="Image 2" descr="Picture"/>
        <xdr:cNvPicPr/>
      </xdr:nvPicPr>
      <xdr:blipFill>
        <a:blip r:embed="rId2"/>
        <a:stretch/>
      </xdr:blipFill>
      <xdr:spPr>
        <a:xfrm>
          <a:off x="4772160" y="2371680"/>
          <a:ext cx="2095200" cy="571320"/>
        </a:xfrm>
        <a:prstGeom prst="rect">
          <a:avLst/>
        </a:prstGeom>
        <a:ln w="0">
          <a:noFill/>
        </a:ln>
      </xdr:spPr>
    </xdr:pic>
    <xdr:clientData/>
  </xdr:twoCellAnchor>
  <xdr:twoCellAnchor editAs="oneCell">
    <xdr:from>
      <xdr:col>5</xdr:col>
      <xdr:colOff>0</xdr:colOff>
      <xdr:row>5</xdr:row>
      <xdr:rowOff>0</xdr:rowOff>
    </xdr:from>
    <xdr:to>
      <xdr:col>5</xdr:col>
      <xdr:colOff>2095200</xdr:colOff>
      <xdr:row>5</xdr:row>
      <xdr:rowOff>571320</xdr:rowOff>
    </xdr:to>
    <xdr:pic>
      <xdr:nvPicPr>
        <xdr:cNvPr id="34" name="Image 3" descr="Picture"/>
        <xdr:cNvPicPr/>
      </xdr:nvPicPr>
      <xdr:blipFill>
        <a:blip r:embed="rId3"/>
        <a:stretch/>
      </xdr:blipFill>
      <xdr:spPr>
        <a:xfrm>
          <a:off x="4772160" y="3257640"/>
          <a:ext cx="2095200" cy="571320"/>
        </a:xfrm>
        <a:prstGeom prst="rect">
          <a:avLst/>
        </a:prstGeom>
        <a:ln w="0">
          <a:noFill/>
        </a:ln>
      </xdr:spPr>
    </xdr:pic>
    <xdr:clientData/>
  </xdr:twoCellAnchor>
  <xdr:twoCellAnchor editAs="oneCell">
    <xdr:from>
      <xdr:col>5</xdr:col>
      <xdr:colOff>0</xdr:colOff>
      <xdr:row>6</xdr:row>
      <xdr:rowOff>0</xdr:rowOff>
    </xdr:from>
    <xdr:to>
      <xdr:col>5</xdr:col>
      <xdr:colOff>2095200</xdr:colOff>
      <xdr:row>6</xdr:row>
      <xdr:rowOff>571320</xdr:rowOff>
    </xdr:to>
    <xdr:pic>
      <xdr:nvPicPr>
        <xdr:cNvPr id="35" name="Image 4" descr="Picture"/>
        <xdr:cNvPicPr/>
      </xdr:nvPicPr>
      <xdr:blipFill>
        <a:blip r:embed="rId4"/>
        <a:stretch/>
      </xdr:blipFill>
      <xdr:spPr>
        <a:xfrm>
          <a:off x="4772160" y="4143240"/>
          <a:ext cx="2095200" cy="571320"/>
        </a:xfrm>
        <a:prstGeom prst="rect">
          <a:avLst/>
        </a:prstGeom>
        <a:ln w="0">
          <a:noFill/>
        </a:ln>
      </xdr:spPr>
    </xdr:pic>
    <xdr:clientData/>
  </xdr:twoCellAnchor>
  <xdr:twoCellAnchor editAs="oneCell">
    <xdr:from>
      <xdr:col>5</xdr:col>
      <xdr:colOff>0</xdr:colOff>
      <xdr:row>7</xdr:row>
      <xdr:rowOff>0</xdr:rowOff>
    </xdr:from>
    <xdr:to>
      <xdr:col>5</xdr:col>
      <xdr:colOff>2095200</xdr:colOff>
      <xdr:row>7</xdr:row>
      <xdr:rowOff>571320</xdr:rowOff>
    </xdr:to>
    <xdr:pic>
      <xdr:nvPicPr>
        <xdr:cNvPr id="36" name="Image 5" descr="Picture"/>
        <xdr:cNvPicPr/>
      </xdr:nvPicPr>
      <xdr:blipFill>
        <a:blip r:embed="rId5"/>
        <a:stretch/>
      </xdr:blipFill>
      <xdr:spPr>
        <a:xfrm>
          <a:off x="4772160" y="5029200"/>
          <a:ext cx="2095200" cy="571320"/>
        </a:xfrm>
        <a:prstGeom prst="rect">
          <a:avLst/>
        </a:prstGeom>
        <a:ln w="0">
          <a:noFill/>
        </a:ln>
      </xdr:spPr>
    </xdr:pic>
    <xdr:clientData/>
  </xdr:twoCellAnchor>
  <xdr:twoCellAnchor editAs="oneCell">
    <xdr:from>
      <xdr:col>5</xdr:col>
      <xdr:colOff>0</xdr:colOff>
      <xdr:row>8</xdr:row>
      <xdr:rowOff>0</xdr:rowOff>
    </xdr:from>
    <xdr:to>
      <xdr:col>5</xdr:col>
      <xdr:colOff>2095200</xdr:colOff>
      <xdr:row>8</xdr:row>
      <xdr:rowOff>571320</xdr:rowOff>
    </xdr:to>
    <xdr:pic>
      <xdr:nvPicPr>
        <xdr:cNvPr id="37" name="Image 6" descr="Picture"/>
        <xdr:cNvPicPr/>
      </xdr:nvPicPr>
      <xdr:blipFill>
        <a:blip r:embed="rId6"/>
        <a:stretch/>
      </xdr:blipFill>
      <xdr:spPr>
        <a:xfrm>
          <a:off x="4772160" y="5915160"/>
          <a:ext cx="2095200" cy="571320"/>
        </a:xfrm>
        <a:prstGeom prst="rect">
          <a:avLst/>
        </a:prstGeom>
        <a:ln w="0">
          <a:noFill/>
        </a:ln>
      </xdr:spPr>
    </xdr:pic>
    <xdr:clientData/>
  </xdr:twoCellAnchor>
  <xdr:twoCellAnchor editAs="oneCell">
    <xdr:from>
      <xdr:col>5</xdr:col>
      <xdr:colOff>0</xdr:colOff>
      <xdr:row>9</xdr:row>
      <xdr:rowOff>0</xdr:rowOff>
    </xdr:from>
    <xdr:to>
      <xdr:col>5</xdr:col>
      <xdr:colOff>2095200</xdr:colOff>
      <xdr:row>9</xdr:row>
      <xdr:rowOff>571320</xdr:rowOff>
    </xdr:to>
    <xdr:pic>
      <xdr:nvPicPr>
        <xdr:cNvPr id="38" name="Image 7" descr="Picture"/>
        <xdr:cNvPicPr/>
      </xdr:nvPicPr>
      <xdr:blipFill>
        <a:blip r:embed="rId7"/>
        <a:stretch/>
      </xdr:blipFill>
      <xdr:spPr>
        <a:xfrm>
          <a:off x="4772160" y="6800760"/>
          <a:ext cx="2095200" cy="571320"/>
        </a:xfrm>
        <a:prstGeom prst="rect">
          <a:avLst/>
        </a:prstGeom>
        <a:ln w="0">
          <a:noFill/>
        </a:ln>
      </xdr:spPr>
    </xdr:pic>
    <xdr:clientData/>
  </xdr:twoCellAnchor>
  <xdr:twoCellAnchor editAs="oneCell">
    <xdr:from>
      <xdr:col>5</xdr:col>
      <xdr:colOff>0</xdr:colOff>
      <xdr:row>10</xdr:row>
      <xdr:rowOff>0</xdr:rowOff>
    </xdr:from>
    <xdr:to>
      <xdr:col>5</xdr:col>
      <xdr:colOff>2095200</xdr:colOff>
      <xdr:row>10</xdr:row>
      <xdr:rowOff>571320</xdr:rowOff>
    </xdr:to>
    <xdr:pic>
      <xdr:nvPicPr>
        <xdr:cNvPr id="39" name="Image 8" descr="Picture"/>
        <xdr:cNvPicPr/>
      </xdr:nvPicPr>
      <xdr:blipFill>
        <a:blip r:embed="rId8"/>
        <a:stretch/>
      </xdr:blipFill>
      <xdr:spPr>
        <a:xfrm>
          <a:off x="4772160" y="7686720"/>
          <a:ext cx="2095200" cy="571320"/>
        </a:xfrm>
        <a:prstGeom prst="rect">
          <a:avLst/>
        </a:prstGeom>
        <a:ln w="0">
          <a:noFill/>
        </a:ln>
      </xdr:spPr>
    </xdr:pic>
    <xdr:clientData/>
  </xdr:twoCellAnchor>
  <xdr:twoCellAnchor editAs="oneCell">
    <xdr:from>
      <xdr:col>5</xdr:col>
      <xdr:colOff>0</xdr:colOff>
      <xdr:row>11</xdr:row>
      <xdr:rowOff>0</xdr:rowOff>
    </xdr:from>
    <xdr:to>
      <xdr:col>5</xdr:col>
      <xdr:colOff>2095200</xdr:colOff>
      <xdr:row>11</xdr:row>
      <xdr:rowOff>571320</xdr:rowOff>
    </xdr:to>
    <xdr:pic>
      <xdr:nvPicPr>
        <xdr:cNvPr id="40" name="Image 9" descr="Picture"/>
        <xdr:cNvPicPr/>
      </xdr:nvPicPr>
      <xdr:blipFill>
        <a:blip r:embed="rId9"/>
        <a:stretch/>
      </xdr:blipFill>
      <xdr:spPr>
        <a:xfrm>
          <a:off x="4772160" y="8572680"/>
          <a:ext cx="2095200" cy="571320"/>
        </a:xfrm>
        <a:prstGeom prst="rect">
          <a:avLst/>
        </a:prstGeom>
        <a:ln w="0">
          <a:noFill/>
        </a:ln>
      </xdr:spPr>
    </xdr:pic>
    <xdr:clientData/>
  </xdr:twoCellAnchor>
  <xdr:twoCellAnchor editAs="oneCell">
    <xdr:from>
      <xdr:col>5</xdr:col>
      <xdr:colOff>0</xdr:colOff>
      <xdr:row>12</xdr:row>
      <xdr:rowOff>0</xdr:rowOff>
    </xdr:from>
    <xdr:to>
      <xdr:col>5</xdr:col>
      <xdr:colOff>2095200</xdr:colOff>
      <xdr:row>12</xdr:row>
      <xdr:rowOff>571320</xdr:rowOff>
    </xdr:to>
    <xdr:pic>
      <xdr:nvPicPr>
        <xdr:cNvPr id="41" name="Image 10" descr="Picture"/>
        <xdr:cNvPicPr/>
      </xdr:nvPicPr>
      <xdr:blipFill>
        <a:blip r:embed="rId10"/>
        <a:stretch/>
      </xdr:blipFill>
      <xdr:spPr>
        <a:xfrm>
          <a:off x="4772160" y="9458280"/>
          <a:ext cx="2095200" cy="571320"/>
        </a:xfrm>
        <a:prstGeom prst="rect">
          <a:avLst/>
        </a:prstGeom>
        <a:ln w="0">
          <a:noFill/>
        </a:ln>
      </xdr:spPr>
    </xdr:pic>
    <xdr:clientData/>
  </xdr:twoCellAnchor>
  <xdr:twoCellAnchor editAs="oneCell">
    <xdr:from>
      <xdr:col>5</xdr:col>
      <xdr:colOff>0</xdr:colOff>
      <xdr:row>13</xdr:row>
      <xdr:rowOff>0</xdr:rowOff>
    </xdr:from>
    <xdr:to>
      <xdr:col>5</xdr:col>
      <xdr:colOff>2095200</xdr:colOff>
      <xdr:row>13</xdr:row>
      <xdr:rowOff>571320</xdr:rowOff>
    </xdr:to>
    <xdr:pic>
      <xdr:nvPicPr>
        <xdr:cNvPr id="42" name="Image 11" descr="Picture"/>
        <xdr:cNvPicPr/>
      </xdr:nvPicPr>
      <xdr:blipFill>
        <a:blip r:embed="rId11"/>
        <a:stretch/>
      </xdr:blipFill>
      <xdr:spPr>
        <a:xfrm>
          <a:off x="4772160" y="10344240"/>
          <a:ext cx="2095200" cy="571320"/>
        </a:xfrm>
        <a:prstGeom prst="rect">
          <a:avLst/>
        </a:prstGeom>
        <a:ln w="0">
          <a:noFill/>
        </a:ln>
      </xdr:spPr>
    </xdr:pic>
    <xdr:clientData/>
  </xdr:twoCellAnchor>
  <xdr:twoCellAnchor editAs="oneCell">
    <xdr:from>
      <xdr:col>5</xdr:col>
      <xdr:colOff>0</xdr:colOff>
      <xdr:row>14</xdr:row>
      <xdr:rowOff>0</xdr:rowOff>
    </xdr:from>
    <xdr:to>
      <xdr:col>5</xdr:col>
      <xdr:colOff>2095200</xdr:colOff>
      <xdr:row>14</xdr:row>
      <xdr:rowOff>571320</xdr:rowOff>
    </xdr:to>
    <xdr:pic>
      <xdr:nvPicPr>
        <xdr:cNvPr id="43" name="Image 12" descr="Picture"/>
        <xdr:cNvPicPr/>
      </xdr:nvPicPr>
      <xdr:blipFill>
        <a:blip r:embed="rId12"/>
        <a:stretch/>
      </xdr:blipFill>
      <xdr:spPr>
        <a:xfrm>
          <a:off x="4772160" y="11229840"/>
          <a:ext cx="2095200" cy="57132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3</xdr:row>
      <xdr:rowOff>0</xdr:rowOff>
    </xdr:from>
    <xdr:to>
      <xdr:col>4</xdr:col>
      <xdr:colOff>2095200</xdr:colOff>
      <xdr:row>3</xdr:row>
      <xdr:rowOff>571320</xdr:rowOff>
    </xdr:to>
    <xdr:pic>
      <xdr:nvPicPr>
        <xdr:cNvPr id="44" name="Image 1" descr="Picture"/>
        <xdr:cNvPicPr/>
      </xdr:nvPicPr>
      <xdr:blipFill>
        <a:blip r:embed="rId1"/>
        <a:stretch/>
      </xdr:blipFill>
      <xdr:spPr>
        <a:xfrm>
          <a:off x="4390920" y="1486080"/>
          <a:ext cx="2095200" cy="571320"/>
        </a:xfrm>
        <a:prstGeom prst="rect">
          <a:avLst/>
        </a:prstGeom>
        <a:ln w="0">
          <a:noFill/>
        </a:ln>
      </xdr:spPr>
    </xdr:pic>
    <xdr:clientData/>
  </xdr:twoCellAnchor>
  <xdr:twoCellAnchor editAs="oneCell">
    <xdr:from>
      <xdr:col>4</xdr:col>
      <xdr:colOff>0</xdr:colOff>
      <xdr:row>4</xdr:row>
      <xdr:rowOff>0</xdr:rowOff>
    </xdr:from>
    <xdr:to>
      <xdr:col>4</xdr:col>
      <xdr:colOff>2095200</xdr:colOff>
      <xdr:row>4</xdr:row>
      <xdr:rowOff>571320</xdr:rowOff>
    </xdr:to>
    <xdr:pic>
      <xdr:nvPicPr>
        <xdr:cNvPr id="45" name="Image 2" descr="Picture"/>
        <xdr:cNvPicPr/>
      </xdr:nvPicPr>
      <xdr:blipFill>
        <a:blip r:embed="rId2"/>
        <a:stretch/>
      </xdr:blipFill>
      <xdr:spPr>
        <a:xfrm>
          <a:off x="4390920" y="2371680"/>
          <a:ext cx="2095200" cy="571320"/>
        </a:xfrm>
        <a:prstGeom prst="rect">
          <a:avLst/>
        </a:prstGeom>
        <a:ln w="0">
          <a:noFill/>
        </a:ln>
      </xdr:spPr>
    </xdr:pic>
    <xdr:clientData/>
  </xdr:twoCellAnchor>
  <xdr:twoCellAnchor editAs="oneCell">
    <xdr:from>
      <xdr:col>4</xdr:col>
      <xdr:colOff>0</xdr:colOff>
      <xdr:row>5</xdr:row>
      <xdr:rowOff>0</xdr:rowOff>
    </xdr:from>
    <xdr:to>
      <xdr:col>4</xdr:col>
      <xdr:colOff>2095200</xdr:colOff>
      <xdr:row>5</xdr:row>
      <xdr:rowOff>571320</xdr:rowOff>
    </xdr:to>
    <xdr:pic>
      <xdr:nvPicPr>
        <xdr:cNvPr id="46" name="Image 3" descr="Picture"/>
        <xdr:cNvPicPr/>
      </xdr:nvPicPr>
      <xdr:blipFill>
        <a:blip r:embed="rId3"/>
        <a:stretch/>
      </xdr:blipFill>
      <xdr:spPr>
        <a:xfrm>
          <a:off x="4390920" y="3257640"/>
          <a:ext cx="2095200" cy="571320"/>
        </a:xfrm>
        <a:prstGeom prst="rect">
          <a:avLst/>
        </a:prstGeom>
        <a:ln w="0">
          <a:noFill/>
        </a:ln>
      </xdr:spPr>
    </xdr:pic>
    <xdr:clientData/>
  </xdr:twoCellAnchor>
  <xdr:twoCellAnchor editAs="oneCell">
    <xdr:from>
      <xdr:col>4</xdr:col>
      <xdr:colOff>0</xdr:colOff>
      <xdr:row>6</xdr:row>
      <xdr:rowOff>0</xdr:rowOff>
    </xdr:from>
    <xdr:to>
      <xdr:col>4</xdr:col>
      <xdr:colOff>2095200</xdr:colOff>
      <xdr:row>6</xdr:row>
      <xdr:rowOff>571320</xdr:rowOff>
    </xdr:to>
    <xdr:pic>
      <xdr:nvPicPr>
        <xdr:cNvPr id="47" name="Image 4" descr="Picture"/>
        <xdr:cNvPicPr/>
      </xdr:nvPicPr>
      <xdr:blipFill>
        <a:blip r:embed="rId4"/>
        <a:stretch/>
      </xdr:blipFill>
      <xdr:spPr>
        <a:xfrm>
          <a:off x="4390920" y="4143240"/>
          <a:ext cx="2095200" cy="571320"/>
        </a:xfrm>
        <a:prstGeom prst="rect">
          <a:avLst/>
        </a:prstGeom>
        <a:ln w="0">
          <a:noFill/>
        </a:ln>
      </xdr:spPr>
    </xdr:pic>
    <xdr:clientData/>
  </xdr:twoCellAnchor>
  <xdr:twoCellAnchor editAs="oneCell">
    <xdr:from>
      <xdr:col>4</xdr:col>
      <xdr:colOff>0</xdr:colOff>
      <xdr:row>7</xdr:row>
      <xdr:rowOff>0</xdr:rowOff>
    </xdr:from>
    <xdr:to>
      <xdr:col>4</xdr:col>
      <xdr:colOff>2095200</xdr:colOff>
      <xdr:row>7</xdr:row>
      <xdr:rowOff>571320</xdr:rowOff>
    </xdr:to>
    <xdr:pic>
      <xdr:nvPicPr>
        <xdr:cNvPr id="48" name="Image 5" descr="Picture"/>
        <xdr:cNvPicPr/>
      </xdr:nvPicPr>
      <xdr:blipFill>
        <a:blip r:embed="rId5"/>
        <a:stretch/>
      </xdr:blipFill>
      <xdr:spPr>
        <a:xfrm>
          <a:off x="4390920" y="5029200"/>
          <a:ext cx="2095200" cy="571320"/>
        </a:xfrm>
        <a:prstGeom prst="rect">
          <a:avLst/>
        </a:prstGeom>
        <a:ln w="0">
          <a:noFill/>
        </a:ln>
      </xdr:spPr>
    </xdr:pic>
    <xdr:clientData/>
  </xdr:twoCellAnchor>
  <xdr:twoCellAnchor editAs="oneCell">
    <xdr:from>
      <xdr:col>4</xdr:col>
      <xdr:colOff>0</xdr:colOff>
      <xdr:row>8</xdr:row>
      <xdr:rowOff>0</xdr:rowOff>
    </xdr:from>
    <xdr:to>
      <xdr:col>4</xdr:col>
      <xdr:colOff>2095200</xdr:colOff>
      <xdr:row>8</xdr:row>
      <xdr:rowOff>571320</xdr:rowOff>
    </xdr:to>
    <xdr:pic>
      <xdr:nvPicPr>
        <xdr:cNvPr id="49" name="Image 6" descr="Picture"/>
        <xdr:cNvPicPr/>
      </xdr:nvPicPr>
      <xdr:blipFill>
        <a:blip r:embed="rId6"/>
        <a:stretch/>
      </xdr:blipFill>
      <xdr:spPr>
        <a:xfrm>
          <a:off x="4390920" y="5915160"/>
          <a:ext cx="2095200" cy="571320"/>
        </a:xfrm>
        <a:prstGeom prst="rect">
          <a:avLst/>
        </a:prstGeom>
        <a:ln w="0">
          <a:noFill/>
        </a:ln>
      </xdr:spPr>
    </xdr:pic>
    <xdr:clientData/>
  </xdr:twoCellAnchor>
  <xdr:twoCellAnchor editAs="oneCell">
    <xdr:from>
      <xdr:col>4</xdr:col>
      <xdr:colOff>0</xdr:colOff>
      <xdr:row>9</xdr:row>
      <xdr:rowOff>0</xdr:rowOff>
    </xdr:from>
    <xdr:to>
      <xdr:col>4</xdr:col>
      <xdr:colOff>2095200</xdr:colOff>
      <xdr:row>9</xdr:row>
      <xdr:rowOff>571320</xdr:rowOff>
    </xdr:to>
    <xdr:pic>
      <xdr:nvPicPr>
        <xdr:cNvPr id="50" name="Image 7" descr="Picture"/>
        <xdr:cNvPicPr/>
      </xdr:nvPicPr>
      <xdr:blipFill>
        <a:blip r:embed="rId7"/>
        <a:stretch/>
      </xdr:blipFill>
      <xdr:spPr>
        <a:xfrm>
          <a:off x="4390920" y="6800760"/>
          <a:ext cx="2095200" cy="571320"/>
        </a:xfrm>
        <a:prstGeom prst="rect">
          <a:avLst/>
        </a:prstGeom>
        <a:ln w="0">
          <a:noFill/>
        </a:ln>
      </xdr:spPr>
    </xdr:pic>
    <xdr:clientData/>
  </xdr:twoCellAnchor>
  <xdr:twoCellAnchor editAs="oneCell">
    <xdr:from>
      <xdr:col>4</xdr:col>
      <xdr:colOff>0</xdr:colOff>
      <xdr:row>10</xdr:row>
      <xdr:rowOff>0</xdr:rowOff>
    </xdr:from>
    <xdr:to>
      <xdr:col>4</xdr:col>
      <xdr:colOff>2095200</xdr:colOff>
      <xdr:row>10</xdr:row>
      <xdr:rowOff>571320</xdr:rowOff>
    </xdr:to>
    <xdr:pic>
      <xdr:nvPicPr>
        <xdr:cNvPr id="51" name="Image 8" descr="Picture"/>
        <xdr:cNvPicPr/>
      </xdr:nvPicPr>
      <xdr:blipFill>
        <a:blip r:embed="rId8"/>
        <a:stretch/>
      </xdr:blipFill>
      <xdr:spPr>
        <a:xfrm>
          <a:off x="4390920" y="7686720"/>
          <a:ext cx="2095200" cy="571320"/>
        </a:xfrm>
        <a:prstGeom prst="rect">
          <a:avLst/>
        </a:prstGeom>
        <a:ln w="0">
          <a:noFill/>
        </a:ln>
      </xdr:spPr>
    </xdr:pic>
    <xdr:clientData/>
  </xdr:twoCellAnchor>
  <xdr:twoCellAnchor editAs="oneCell">
    <xdr:from>
      <xdr:col>4</xdr:col>
      <xdr:colOff>0</xdr:colOff>
      <xdr:row>11</xdr:row>
      <xdr:rowOff>0</xdr:rowOff>
    </xdr:from>
    <xdr:to>
      <xdr:col>4</xdr:col>
      <xdr:colOff>2095200</xdr:colOff>
      <xdr:row>11</xdr:row>
      <xdr:rowOff>571320</xdr:rowOff>
    </xdr:to>
    <xdr:pic>
      <xdr:nvPicPr>
        <xdr:cNvPr id="52" name="Image 9" descr="Picture"/>
        <xdr:cNvPicPr/>
      </xdr:nvPicPr>
      <xdr:blipFill>
        <a:blip r:embed="rId9"/>
        <a:stretch/>
      </xdr:blipFill>
      <xdr:spPr>
        <a:xfrm>
          <a:off x="4390920" y="8572680"/>
          <a:ext cx="2095200" cy="571320"/>
        </a:xfrm>
        <a:prstGeom prst="rect">
          <a:avLst/>
        </a:prstGeom>
        <a:ln w="0">
          <a:noFill/>
        </a:ln>
      </xdr:spPr>
    </xdr:pic>
    <xdr:clientData/>
  </xdr:twoCellAnchor>
  <xdr:twoCellAnchor editAs="oneCell">
    <xdr:from>
      <xdr:col>4</xdr:col>
      <xdr:colOff>0</xdr:colOff>
      <xdr:row>12</xdr:row>
      <xdr:rowOff>0</xdr:rowOff>
    </xdr:from>
    <xdr:to>
      <xdr:col>4</xdr:col>
      <xdr:colOff>2095200</xdr:colOff>
      <xdr:row>12</xdr:row>
      <xdr:rowOff>571320</xdr:rowOff>
    </xdr:to>
    <xdr:pic>
      <xdr:nvPicPr>
        <xdr:cNvPr id="53" name="Image 10" descr="Picture"/>
        <xdr:cNvPicPr/>
      </xdr:nvPicPr>
      <xdr:blipFill>
        <a:blip r:embed="rId10"/>
        <a:stretch/>
      </xdr:blipFill>
      <xdr:spPr>
        <a:xfrm>
          <a:off x="4390920" y="9458280"/>
          <a:ext cx="2095200" cy="571320"/>
        </a:xfrm>
        <a:prstGeom prst="rect">
          <a:avLst/>
        </a:prstGeom>
        <a:ln w="0">
          <a:noFill/>
        </a:ln>
      </xdr:spPr>
    </xdr:pic>
    <xdr:clientData/>
  </xdr:twoCellAnchor>
  <xdr:twoCellAnchor editAs="oneCell">
    <xdr:from>
      <xdr:col>4</xdr:col>
      <xdr:colOff>0</xdr:colOff>
      <xdr:row>13</xdr:row>
      <xdr:rowOff>0</xdr:rowOff>
    </xdr:from>
    <xdr:to>
      <xdr:col>4</xdr:col>
      <xdr:colOff>2095200</xdr:colOff>
      <xdr:row>13</xdr:row>
      <xdr:rowOff>571320</xdr:rowOff>
    </xdr:to>
    <xdr:pic>
      <xdr:nvPicPr>
        <xdr:cNvPr id="54" name="Image 11" descr="Picture"/>
        <xdr:cNvPicPr/>
      </xdr:nvPicPr>
      <xdr:blipFill>
        <a:blip r:embed="rId11"/>
        <a:stretch/>
      </xdr:blipFill>
      <xdr:spPr>
        <a:xfrm>
          <a:off x="4390920" y="10344240"/>
          <a:ext cx="2095200" cy="571320"/>
        </a:xfrm>
        <a:prstGeom prst="rect">
          <a:avLst/>
        </a:prstGeom>
        <a:ln w="0">
          <a:noFill/>
        </a:ln>
      </xdr:spPr>
    </xdr:pic>
    <xdr:clientData/>
  </xdr:twoCellAnchor>
  <xdr:twoCellAnchor editAs="oneCell">
    <xdr:from>
      <xdr:col>4</xdr:col>
      <xdr:colOff>0</xdr:colOff>
      <xdr:row>14</xdr:row>
      <xdr:rowOff>0</xdr:rowOff>
    </xdr:from>
    <xdr:to>
      <xdr:col>4</xdr:col>
      <xdr:colOff>2095200</xdr:colOff>
      <xdr:row>14</xdr:row>
      <xdr:rowOff>571320</xdr:rowOff>
    </xdr:to>
    <xdr:pic>
      <xdr:nvPicPr>
        <xdr:cNvPr id="55" name="Image 12" descr="Picture"/>
        <xdr:cNvPicPr/>
      </xdr:nvPicPr>
      <xdr:blipFill>
        <a:blip r:embed="rId12"/>
        <a:stretch/>
      </xdr:blipFill>
      <xdr:spPr>
        <a:xfrm>
          <a:off x="4390920" y="11229840"/>
          <a:ext cx="2095200" cy="571320"/>
        </a:xfrm>
        <a:prstGeom prst="rect">
          <a:avLst/>
        </a:prstGeom>
        <a:ln w="0">
          <a:noFill/>
        </a:ln>
      </xdr:spPr>
    </xdr:pic>
    <xdr:clientData/>
  </xdr:twoCellAnchor>
  <xdr:twoCellAnchor editAs="oneCell">
    <xdr:from>
      <xdr:col>4</xdr:col>
      <xdr:colOff>0</xdr:colOff>
      <xdr:row>15</xdr:row>
      <xdr:rowOff>0</xdr:rowOff>
    </xdr:from>
    <xdr:to>
      <xdr:col>4</xdr:col>
      <xdr:colOff>2095200</xdr:colOff>
      <xdr:row>15</xdr:row>
      <xdr:rowOff>571320</xdr:rowOff>
    </xdr:to>
    <xdr:pic>
      <xdr:nvPicPr>
        <xdr:cNvPr id="56" name="Image 13" descr="Picture"/>
        <xdr:cNvPicPr/>
      </xdr:nvPicPr>
      <xdr:blipFill>
        <a:blip r:embed="rId13"/>
        <a:stretch/>
      </xdr:blipFill>
      <xdr:spPr>
        <a:xfrm>
          <a:off x="4390920" y="12115800"/>
          <a:ext cx="2095200" cy="571320"/>
        </a:xfrm>
        <a:prstGeom prst="rect">
          <a:avLst/>
        </a:prstGeom>
        <a:ln w="0">
          <a:noFill/>
        </a:ln>
      </xdr:spPr>
    </xdr:pic>
    <xdr:clientData/>
  </xdr:twoCellAnchor>
  <xdr:twoCellAnchor editAs="oneCell">
    <xdr:from>
      <xdr:col>4</xdr:col>
      <xdr:colOff>0</xdr:colOff>
      <xdr:row>16</xdr:row>
      <xdr:rowOff>0</xdr:rowOff>
    </xdr:from>
    <xdr:to>
      <xdr:col>4</xdr:col>
      <xdr:colOff>2095200</xdr:colOff>
      <xdr:row>16</xdr:row>
      <xdr:rowOff>571320</xdr:rowOff>
    </xdr:to>
    <xdr:pic>
      <xdr:nvPicPr>
        <xdr:cNvPr id="57" name="Image 14" descr="Picture"/>
        <xdr:cNvPicPr/>
      </xdr:nvPicPr>
      <xdr:blipFill>
        <a:blip r:embed="rId14"/>
        <a:stretch/>
      </xdr:blipFill>
      <xdr:spPr>
        <a:xfrm>
          <a:off x="4390920" y="13001760"/>
          <a:ext cx="2095200" cy="571320"/>
        </a:xfrm>
        <a:prstGeom prst="rect">
          <a:avLst/>
        </a:prstGeom>
        <a:ln w="0">
          <a:noFill/>
        </a:ln>
      </xdr:spPr>
    </xdr:pic>
    <xdr:clientData/>
  </xdr:twoCellAnchor>
  <xdr:twoCellAnchor editAs="oneCell">
    <xdr:from>
      <xdr:col>4</xdr:col>
      <xdr:colOff>0</xdr:colOff>
      <xdr:row>17</xdr:row>
      <xdr:rowOff>0</xdr:rowOff>
    </xdr:from>
    <xdr:to>
      <xdr:col>4</xdr:col>
      <xdr:colOff>2095200</xdr:colOff>
      <xdr:row>17</xdr:row>
      <xdr:rowOff>571320</xdr:rowOff>
    </xdr:to>
    <xdr:pic>
      <xdr:nvPicPr>
        <xdr:cNvPr id="58" name="Image 15" descr="Picture"/>
        <xdr:cNvPicPr/>
      </xdr:nvPicPr>
      <xdr:blipFill>
        <a:blip r:embed="rId15"/>
        <a:stretch/>
      </xdr:blipFill>
      <xdr:spPr>
        <a:xfrm>
          <a:off x="4390920" y="13887360"/>
          <a:ext cx="2095200" cy="571320"/>
        </a:xfrm>
        <a:prstGeom prst="rect">
          <a:avLst/>
        </a:prstGeom>
        <a:ln w="0">
          <a:noFill/>
        </a:ln>
      </xdr:spPr>
    </xdr:pic>
    <xdr:clientData/>
  </xdr:twoCellAnchor>
  <xdr:twoCellAnchor editAs="oneCell">
    <xdr:from>
      <xdr:col>4</xdr:col>
      <xdr:colOff>0</xdr:colOff>
      <xdr:row>18</xdr:row>
      <xdr:rowOff>0</xdr:rowOff>
    </xdr:from>
    <xdr:to>
      <xdr:col>4</xdr:col>
      <xdr:colOff>2095200</xdr:colOff>
      <xdr:row>18</xdr:row>
      <xdr:rowOff>571320</xdr:rowOff>
    </xdr:to>
    <xdr:pic>
      <xdr:nvPicPr>
        <xdr:cNvPr id="59" name="Image 16" descr="Picture"/>
        <xdr:cNvPicPr/>
      </xdr:nvPicPr>
      <xdr:blipFill>
        <a:blip r:embed="rId16"/>
        <a:stretch/>
      </xdr:blipFill>
      <xdr:spPr>
        <a:xfrm>
          <a:off x="4390920" y="14773320"/>
          <a:ext cx="2095200" cy="571320"/>
        </a:xfrm>
        <a:prstGeom prst="rect">
          <a:avLst/>
        </a:prstGeom>
        <a:ln w="0">
          <a:noFill/>
        </a:ln>
      </xdr:spPr>
    </xdr:pic>
    <xdr:clientData/>
  </xdr:twoCellAnchor>
  <xdr:twoCellAnchor editAs="oneCell">
    <xdr:from>
      <xdr:col>4</xdr:col>
      <xdr:colOff>0</xdr:colOff>
      <xdr:row>19</xdr:row>
      <xdr:rowOff>0</xdr:rowOff>
    </xdr:from>
    <xdr:to>
      <xdr:col>4</xdr:col>
      <xdr:colOff>2095200</xdr:colOff>
      <xdr:row>19</xdr:row>
      <xdr:rowOff>571320</xdr:rowOff>
    </xdr:to>
    <xdr:pic>
      <xdr:nvPicPr>
        <xdr:cNvPr id="60" name="Image 17" descr="Picture"/>
        <xdr:cNvPicPr/>
      </xdr:nvPicPr>
      <xdr:blipFill>
        <a:blip r:embed="rId17"/>
        <a:stretch/>
      </xdr:blipFill>
      <xdr:spPr>
        <a:xfrm>
          <a:off x="4390920" y="15659280"/>
          <a:ext cx="2095200" cy="571320"/>
        </a:xfrm>
        <a:prstGeom prst="rect">
          <a:avLst/>
        </a:prstGeom>
        <a:ln w="0">
          <a:noFill/>
        </a:ln>
      </xdr:spPr>
    </xdr:pic>
    <xdr:clientData/>
  </xdr:twoCellAnchor>
  <xdr:twoCellAnchor editAs="oneCell">
    <xdr:from>
      <xdr:col>4</xdr:col>
      <xdr:colOff>0</xdr:colOff>
      <xdr:row>20</xdr:row>
      <xdr:rowOff>0</xdr:rowOff>
    </xdr:from>
    <xdr:to>
      <xdr:col>4</xdr:col>
      <xdr:colOff>2095200</xdr:colOff>
      <xdr:row>20</xdr:row>
      <xdr:rowOff>571320</xdr:rowOff>
    </xdr:to>
    <xdr:pic>
      <xdr:nvPicPr>
        <xdr:cNvPr id="61" name="Image 18" descr="Picture"/>
        <xdr:cNvPicPr/>
      </xdr:nvPicPr>
      <xdr:blipFill>
        <a:blip r:embed="rId18"/>
        <a:stretch/>
      </xdr:blipFill>
      <xdr:spPr>
        <a:xfrm>
          <a:off x="4390920" y="16544880"/>
          <a:ext cx="2095200" cy="571320"/>
        </a:xfrm>
        <a:prstGeom prst="rect">
          <a:avLst/>
        </a:prstGeom>
        <a:ln w="0">
          <a:noFill/>
        </a:ln>
      </xdr:spPr>
    </xdr:pic>
    <xdr:clientData/>
  </xdr:twoCellAnchor>
  <xdr:twoCellAnchor editAs="oneCell">
    <xdr:from>
      <xdr:col>4</xdr:col>
      <xdr:colOff>0</xdr:colOff>
      <xdr:row>21</xdr:row>
      <xdr:rowOff>0</xdr:rowOff>
    </xdr:from>
    <xdr:to>
      <xdr:col>4</xdr:col>
      <xdr:colOff>2095200</xdr:colOff>
      <xdr:row>21</xdr:row>
      <xdr:rowOff>571320</xdr:rowOff>
    </xdr:to>
    <xdr:pic>
      <xdr:nvPicPr>
        <xdr:cNvPr id="62" name="Image 19" descr="Picture"/>
        <xdr:cNvPicPr/>
      </xdr:nvPicPr>
      <xdr:blipFill>
        <a:blip r:embed="rId19"/>
        <a:stretch/>
      </xdr:blipFill>
      <xdr:spPr>
        <a:xfrm>
          <a:off x="4390920" y="17430840"/>
          <a:ext cx="2095200" cy="571320"/>
        </a:xfrm>
        <a:prstGeom prst="rect">
          <a:avLst/>
        </a:prstGeom>
        <a:ln w="0">
          <a:noFill/>
        </a:ln>
      </xdr:spPr>
    </xdr:pic>
    <xdr:clientData/>
  </xdr:twoCellAnchor>
  <xdr:twoCellAnchor editAs="oneCell">
    <xdr:from>
      <xdr:col>4</xdr:col>
      <xdr:colOff>0</xdr:colOff>
      <xdr:row>22</xdr:row>
      <xdr:rowOff>0</xdr:rowOff>
    </xdr:from>
    <xdr:to>
      <xdr:col>4</xdr:col>
      <xdr:colOff>2095200</xdr:colOff>
      <xdr:row>22</xdr:row>
      <xdr:rowOff>571320</xdr:rowOff>
    </xdr:to>
    <xdr:pic>
      <xdr:nvPicPr>
        <xdr:cNvPr id="63" name="Image 20" descr="Picture"/>
        <xdr:cNvPicPr/>
      </xdr:nvPicPr>
      <xdr:blipFill>
        <a:blip r:embed="rId20"/>
        <a:stretch/>
      </xdr:blipFill>
      <xdr:spPr>
        <a:xfrm>
          <a:off x="4390920" y="18316440"/>
          <a:ext cx="2095200" cy="571320"/>
        </a:xfrm>
        <a:prstGeom prst="rect">
          <a:avLst/>
        </a:prstGeom>
        <a:ln w="0">
          <a:noFill/>
        </a:ln>
      </xdr:spPr>
    </xdr:pic>
    <xdr:clientData/>
  </xdr:twoCellAnchor>
  <xdr:twoCellAnchor editAs="oneCell">
    <xdr:from>
      <xdr:col>4</xdr:col>
      <xdr:colOff>0</xdr:colOff>
      <xdr:row>23</xdr:row>
      <xdr:rowOff>0</xdr:rowOff>
    </xdr:from>
    <xdr:to>
      <xdr:col>4</xdr:col>
      <xdr:colOff>2095200</xdr:colOff>
      <xdr:row>23</xdr:row>
      <xdr:rowOff>571320</xdr:rowOff>
    </xdr:to>
    <xdr:pic>
      <xdr:nvPicPr>
        <xdr:cNvPr id="64" name="Image 21" descr="Picture"/>
        <xdr:cNvPicPr/>
      </xdr:nvPicPr>
      <xdr:blipFill>
        <a:blip r:embed="rId21"/>
        <a:stretch/>
      </xdr:blipFill>
      <xdr:spPr>
        <a:xfrm>
          <a:off x="4390920" y="19202400"/>
          <a:ext cx="2095200" cy="571320"/>
        </a:xfrm>
        <a:prstGeom prst="rect">
          <a:avLst/>
        </a:prstGeom>
        <a:ln w="0">
          <a:noFill/>
        </a:ln>
      </xdr:spPr>
    </xdr:pic>
    <xdr:clientData/>
  </xdr:twoCellAnchor>
  <xdr:twoCellAnchor editAs="oneCell">
    <xdr:from>
      <xdr:col>4</xdr:col>
      <xdr:colOff>0</xdr:colOff>
      <xdr:row>24</xdr:row>
      <xdr:rowOff>0</xdr:rowOff>
    </xdr:from>
    <xdr:to>
      <xdr:col>4</xdr:col>
      <xdr:colOff>2095200</xdr:colOff>
      <xdr:row>24</xdr:row>
      <xdr:rowOff>571320</xdr:rowOff>
    </xdr:to>
    <xdr:pic>
      <xdr:nvPicPr>
        <xdr:cNvPr id="65" name="Image 22" descr="Picture"/>
        <xdr:cNvPicPr/>
      </xdr:nvPicPr>
      <xdr:blipFill>
        <a:blip r:embed="rId22"/>
        <a:stretch/>
      </xdr:blipFill>
      <xdr:spPr>
        <a:xfrm>
          <a:off x="4390920" y="20088360"/>
          <a:ext cx="2095200" cy="571320"/>
        </a:xfrm>
        <a:prstGeom prst="rect">
          <a:avLst/>
        </a:prstGeom>
        <a:ln w="0">
          <a:noFill/>
        </a:ln>
      </xdr:spPr>
    </xdr:pic>
    <xdr:clientData/>
  </xdr:twoCellAnchor>
  <xdr:twoCellAnchor editAs="oneCell">
    <xdr:from>
      <xdr:col>4</xdr:col>
      <xdr:colOff>0</xdr:colOff>
      <xdr:row>25</xdr:row>
      <xdr:rowOff>0</xdr:rowOff>
    </xdr:from>
    <xdr:to>
      <xdr:col>4</xdr:col>
      <xdr:colOff>2095200</xdr:colOff>
      <xdr:row>25</xdr:row>
      <xdr:rowOff>571320</xdr:rowOff>
    </xdr:to>
    <xdr:pic>
      <xdr:nvPicPr>
        <xdr:cNvPr id="66" name="Image 23" descr="Picture"/>
        <xdr:cNvPicPr/>
      </xdr:nvPicPr>
      <xdr:blipFill>
        <a:blip r:embed="rId23"/>
        <a:stretch/>
      </xdr:blipFill>
      <xdr:spPr>
        <a:xfrm>
          <a:off x="4390920" y="20973960"/>
          <a:ext cx="2095200" cy="571320"/>
        </a:xfrm>
        <a:prstGeom prst="rect">
          <a:avLst/>
        </a:prstGeom>
        <a:ln w="0">
          <a:noFill/>
        </a:ln>
      </xdr:spPr>
    </xdr:pic>
    <xdr:clientData/>
  </xdr:twoCellAnchor>
  <xdr:twoCellAnchor editAs="oneCell">
    <xdr:from>
      <xdr:col>4</xdr:col>
      <xdr:colOff>0</xdr:colOff>
      <xdr:row>26</xdr:row>
      <xdr:rowOff>0</xdr:rowOff>
    </xdr:from>
    <xdr:to>
      <xdr:col>4</xdr:col>
      <xdr:colOff>2095200</xdr:colOff>
      <xdr:row>26</xdr:row>
      <xdr:rowOff>571320</xdr:rowOff>
    </xdr:to>
    <xdr:pic>
      <xdr:nvPicPr>
        <xdr:cNvPr id="67" name="Image 24" descr="Picture"/>
        <xdr:cNvPicPr/>
      </xdr:nvPicPr>
      <xdr:blipFill>
        <a:blip r:embed="rId24"/>
        <a:stretch/>
      </xdr:blipFill>
      <xdr:spPr>
        <a:xfrm>
          <a:off x="4390920" y="21859920"/>
          <a:ext cx="2095200" cy="571320"/>
        </a:xfrm>
        <a:prstGeom prst="rect">
          <a:avLst/>
        </a:prstGeom>
        <a:ln w="0">
          <a:noFill/>
        </a:ln>
      </xdr:spPr>
    </xdr:pic>
    <xdr:clientData/>
  </xdr:twoCellAnchor>
  <xdr:twoCellAnchor editAs="oneCell">
    <xdr:from>
      <xdr:col>4</xdr:col>
      <xdr:colOff>0</xdr:colOff>
      <xdr:row>27</xdr:row>
      <xdr:rowOff>0</xdr:rowOff>
    </xdr:from>
    <xdr:to>
      <xdr:col>4</xdr:col>
      <xdr:colOff>2095200</xdr:colOff>
      <xdr:row>27</xdr:row>
      <xdr:rowOff>571320</xdr:rowOff>
    </xdr:to>
    <xdr:pic>
      <xdr:nvPicPr>
        <xdr:cNvPr id="68" name="Image 25" descr="Picture"/>
        <xdr:cNvPicPr/>
      </xdr:nvPicPr>
      <xdr:blipFill>
        <a:blip r:embed="rId25"/>
        <a:stretch/>
      </xdr:blipFill>
      <xdr:spPr>
        <a:xfrm>
          <a:off x="4390920" y="22745880"/>
          <a:ext cx="2095200" cy="571320"/>
        </a:xfrm>
        <a:prstGeom prst="rect">
          <a:avLst/>
        </a:prstGeom>
        <a:ln w="0">
          <a:noFill/>
        </a:ln>
      </xdr:spPr>
    </xdr:pic>
    <xdr:clientData/>
  </xdr:twoCellAnchor>
  <xdr:twoCellAnchor editAs="oneCell">
    <xdr:from>
      <xdr:col>4</xdr:col>
      <xdr:colOff>0</xdr:colOff>
      <xdr:row>28</xdr:row>
      <xdr:rowOff>0</xdr:rowOff>
    </xdr:from>
    <xdr:to>
      <xdr:col>4</xdr:col>
      <xdr:colOff>2095200</xdr:colOff>
      <xdr:row>28</xdr:row>
      <xdr:rowOff>571320</xdr:rowOff>
    </xdr:to>
    <xdr:pic>
      <xdr:nvPicPr>
        <xdr:cNvPr id="69" name="Image 26" descr="Picture"/>
        <xdr:cNvPicPr/>
      </xdr:nvPicPr>
      <xdr:blipFill>
        <a:blip r:embed="rId26"/>
        <a:stretch/>
      </xdr:blipFill>
      <xdr:spPr>
        <a:xfrm>
          <a:off x="4390920" y="23631480"/>
          <a:ext cx="2095200" cy="571320"/>
        </a:xfrm>
        <a:prstGeom prst="rect">
          <a:avLst/>
        </a:prstGeom>
        <a:ln w="0">
          <a:noFill/>
        </a:ln>
      </xdr:spPr>
    </xdr:pic>
    <xdr:clientData/>
  </xdr:twoCellAnchor>
  <xdr:twoCellAnchor editAs="oneCell">
    <xdr:from>
      <xdr:col>4</xdr:col>
      <xdr:colOff>0</xdr:colOff>
      <xdr:row>29</xdr:row>
      <xdr:rowOff>0</xdr:rowOff>
    </xdr:from>
    <xdr:to>
      <xdr:col>4</xdr:col>
      <xdr:colOff>2095200</xdr:colOff>
      <xdr:row>29</xdr:row>
      <xdr:rowOff>571320</xdr:rowOff>
    </xdr:to>
    <xdr:pic>
      <xdr:nvPicPr>
        <xdr:cNvPr id="70" name="Image 27" descr="Picture"/>
        <xdr:cNvPicPr/>
      </xdr:nvPicPr>
      <xdr:blipFill>
        <a:blip r:embed="rId27"/>
        <a:stretch/>
      </xdr:blipFill>
      <xdr:spPr>
        <a:xfrm>
          <a:off x="4390920" y="24517440"/>
          <a:ext cx="2095200" cy="571320"/>
        </a:xfrm>
        <a:prstGeom prst="rect">
          <a:avLst/>
        </a:prstGeom>
        <a:ln w="0">
          <a:noFill/>
        </a:ln>
      </xdr:spPr>
    </xdr:pic>
    <xdr:clientData/>
  </xdr:twoCellAnchor>
  <xdr:twoCellAnchor editAs="oneCell">
    <xdr:from>
      <xdr:col>4</xdr:col>
      <xdr:colOff>0</xdr:colOff>
      <xdr:row>30</xdr:row>
      <xdr:rowOff>0</xdr:rowOff>
    </xdr:from>
    <xdr:to>
      <xdr:col>4</xdr:col>
      <xdr:colOff>2095200</xdr:colOff>
      <xdr:row>30</xdr:row>
      <xdr:rowOff>571320</xdr:rowOff>
    </xdr:to>
    <xdr:pic>
      <xdr:nvPicPr>
        <xdr:cNvPr id="71" name="Image 28" descr="Picture"/>
        <xdr:cNvPicPr/>
      </xdr:nvPicPr>
      <xdr:blipFill>
        <a:blip r:embed="rId28"/>
        <a:stretch/>
      </xdr:blipFill>
      <xdr:spPr>
        <a:xfrm>
          <a:off x="4390920" y="25403040"/>
          <a:ext cx="2095200" cy="571320"/>
        </a:xfrm>
        <a:prstGeom prst="rect">
          <a:avLst/>
        </a:prstGeom>
        <a:ln w="0">
          <a:noFill/>
        </a:ln>
      </xdr:spPr>
    </xdr:pic>
    <xdr:clientData/>
  </xdr:twoCellAnchor>
  <xdr:twoCellAnchor editAs="oneCell">
    <xdr:from>
      <xdr:col>4</xdr:col>
      <xdr:colOff>0</xdr:colOff>
      <xdr:row>31</xdr:row>
      <xdr:rowOff>0</xdr:rowOff>
    </xdr:from>
    <xdr:to>
      <xdr:col>4</xdr:col>
      <xdr:colOff>2095200</xdr:colOff>
      <xdr:row>31</xdr:row>
      <xdr:rowOff>571320</xdr:rowOff>
    </xdr:to>
    <xdr:pic>
      <xdr:nvPicPr>
        <xdr:cNvPr id="72" name="Image 29" descr="Picture"/>
        <xdr:cNvPicPr/>
      </xdr:nvPicPr>
      <xdr:blipFill>
        <a:blip r:embed="rId29"/>
        <a:stretch/>
      </xdr:blipFill>
      <xdr:spPr>
        <a:xfrm>
          <a:off x="4390920" y="26289000"/>
          <a:ext cx="2095200" cy="571320"/>
        </a:xfrm>
        <a:prstGeom prst="rect">
          <a:avLst/>
        </a:prstGeom>
        <a:ln w="0">
          <a:noFill/>
        </a:ln>
      </xdr:spPr>
    </xdr:pic>
    <xdr:clientData/>
  </xdr:twoCellAnchor>
  <xdr:twoCellAnchor editAs="oneCell">
    <xdr:from>
      <xdr:col>4</xdr:col>
      <xdr:colOff>0</xdr:colOff>
      <xdr:row>32</xdr:row>
      <xdr:rowOff>0</xdr:rowOff>
    </xdr:from>
    <xdr:to>
      <xdr:col>4</xdr:col>
      <xdr:colOff>2095200</xdr:colOff>
      <xdr:row>32</xdr:row>
      <xdr:rowOff>571320</xdr:rowOff>
    </xdr:to>
    <xdr:pic>
      <xdr:nvPicPr>
        <xdr:cNvPr id="73" name="Image 30" descr="Picture"/>
        <xdr:cNvPicPr/>
      </xdr:nvPicPr>
      <xdr:blipFill>
        <a:blip r:embed="rId30"/>
        <a:stretch/>
      </xdr:blipFill>
      <xdr:spPr>
        <a:xfrm>
          <a:off x="4390920" y="27174960"/>
          <a:ext cx="2095200" cy="571320"/>
        </a:xfrm>
        <a:prstGeom prst="rect">
          <a:avLst/>
        </a:prstGeom>
        <a:ln w="0">
          <a:noFill/>
        </a:ln>
      </xdr:spPr>
    </xdr:pic>
    <xdr:clientData/>
  </xdr:twoCellAnchor>
  <xdr:twoCellAnchor editAs="oneCell">
    <xdr:from>
      <xdr:col>4</xdr:col>
      <xdr:colOff>0</xdr:colOff>
      <xdr:row>33</xdr:row>
      <xdr:rowOff>0</xdr:rowOff>
    </xdr:from>
    <xdr:to>
      <xdr:col>4</xdr:col>
      <xdr:colOff>2095200</xdr:colOff>
      <xdr:row>33</xdr:row>
      <xdr:rowOff>571320</xdr:rowOff>
    </xdr:to>
    <xdr:pic>
      <xdr:nvPicPr>
        <xdr:cNvPr id="74" name="Image 31" descr="Picture"/>
        <xdr:cNvPicPr/>
      </xdr:nvPicPr>
      <xdr:blipFill>
        <a:blip r:embed="rId31"/>
        <a:stretch/>
      </xdr:blipFill>
      <xdr:spPr>
        <a:xfrm>
          <a:off x="4390920" y="28060560"/>
          <a:ext cx="2095200" cy="57132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37</xdr:row>
      <xdr:rowOff>0</xdr:rowOff>
    </xdr:from>
    <xdr:to>
      <xdr:col>2</xdr:col>
      <xdr:colOff>1145880</xdr:colOff>
      <xdr:row>47</xdr:row>
      <xdr:rowOff>47520</xdr:rowOff>
    </xdr:to>
    <xdr:pic>
      <xdr:nvPicPr>
        <xdr:cNvPr id="75" name="Image 1" descr="Picture"/>
        <xdr:cNvPicPr/>
      </xdr:nvPicPr>
      <xdr:blipFill>
        <a:blip r:embed="rId1"/>
        <a:stretch/>
      </xdr:blipFill>
      <xdr:spPr>
        <a:xfrm>
          <a:off x="570960" y="19421640"/>
          <a:ext cx="4381200" cy="5000400"/>
        </a:xfrm>
        <a:prstGeom prst="rect">
          <a:avLst/>
        </a:prstGeom>
        <a:ln w="0">
          <a:noFill/>
        </a:ln>
      </xdr:spPr>
    </xdr:pic>
    <xdr:clientData/>
  </xdr:twoCellAnchor>
  <xdr:twoCellAnchor editAs="oneCell">
    <xdr:from>
      <xdr:col>1</xdr:col>
      <xdr:colOff>0</xdr:colOff>
      <xdr:row>84</xdr:row>
      <xdr:rowOff>0</xdr:rowOff>
    </xdr:from>
    <xdr:to>
      <xdr:col>2</xdr:col>
      <xdr:colOff>1145880</xdr:colOff>
      <xdr:row>94</xdr:row>
      <xdr:rowOff>47520</xdr:rowOff>
    </xdr:to>
    <xdr:pic>
      <xdr:nvPicPr>
        <xdr:cNvPr id="76" name="Image 2" descr="Picture"/>
        <xdr:cNvPicPr/>
      </xdr:nvPicPr>
      <xdr:blipFill>
        <a:blip r:embed="rId2"/>
        <a:stretch/>
      </xdr:blipFill>
      <xdr:spPr>
        <a:xfrm>
          <a:off x="570960" y="43091280"/>
          <a:ext cx="4381200" cy="5000400"/>
        </a:xfrm>
        <a:prstGeom prst="rect">
          <a:avLst/>
        </a:prstGeom>
        <a:ln w="0">
          <a:noFill/>
        </a:ln>
      </xdr:spPr>
    </xdr:pic>
    <xdr:clientData/>
  </xdr:twoCellAnchor>
  <xdr:twoCellAnchor editAs="oneCell">
    <xdr:from>
      <xdr:col>1</xdr:col>
      <xdr:colOff>0</xdr:colOff>
      <xdr:row>126</xdr:row>
      <xdr:rowOff>0</xdr:rowOff>
    </xdr:from>
    <xdr:to>
      <xdr:col>2</xdr:col>
      <xdr:colOff>1145880</xdr:colOff>
      <xdr:row>136</xdr:row>
      <xdr:rowOff>47520</xdr:rowOff>
    </xdr:to>
    <xdr:pic>
      <xdr:nvPicPr>
        <xdr:cNvPr id="77" name="Image 3" descr="Picture"/>
        <xdr:cNvPicPr/>
      </xdr:nvPicPr>
      <xdr:blipFill>
        <a:blip r:embed="rId3"/>
        <a:stretch/>
      </xdr:blipFill>
      <xdr:spPr>
        <a:xfrm>
          <a:off x="570960" y="65998800"/>
          <a:ext cx="4381200" cy="5000400"/>
        </a:xfrm>
        <a:prstGeom prst="rect">
          <a:avLst/>
        </a:prstGeom>
        <a:ln w="0">
          <a:noFill/>
        </a:ln>
      </xdr:spPr>
    </xdr:pic>
    <xdr:clientData/>
  </xdr:twoCellAnchor>
  <xdr:twoCellAnchor editAs="oneCell">
    <xdr:from>
      <xdr:col>1</xdr:col>
      <xdr:colOff>0</xdr:colOff>
      <xdr:row>174</xdr:row>
      <xdr:rowOff>0</xdr:rowOff>
    </xdr:from>
    <xdr:to>
      <xdr:col>2</xdr:col>
      <xdr:colOff>1145880</xdr:colOff>
      <xdr:row>184</xdr:row>
      <xdr:rowOff>47160</xdr:rowOff>
    </xdr:to>
    <xdr:pic>
      <xdr:nvPicPr>
        <xdr:cNvPr id="78" name="Image 4" descr="Picture"/>
        <xdr:cNvPicPr/>
      </xdr:nvPicPr>
      <xdr:blipFill>
        <a:blip r:embed="rId4"/>
        <a:stretch/>
      </xdr:blipFill>
      <xdr:spPr>
        <a:xfrm>
          <a:off x="570960" y="92735280"/>
          <a:ext cx="4381200" cy="5000400"/>
        </a:xfrm>
        <a:prstGeom prst="rect">
          <a:avLst/>
        </a:prstGeom>
        <a:ln w="0">
          <a:noFill/>
        </a:ln>
      </xdr:spPr>
    </xdr:pic>
    <xdr:clientData/>
  </xdr:twoCellAnchor>
  <xdr:twoCellAnchor editAs="oneCell">
    <xdr:from>
      <xdr:col>1</xdr:col>
      <xdr:colOff>0</xdr:colOff>
      <xdr:row>215</xdr:row>
      <xdr:rowOff>0</xdr:rowOff>
    </xdr:from>
    <xdr:to>
      <xdr:col>2</xdr:col>
      <xdr:colOff>1145880</xdr:colOff>
      <xdr:row>223</xdr:row>
      <xdr:rowOff>209160</xdr:rowOff>
    </xdr:to>
    <xdr:pic>
      <xdr:nvPicPr>
        <xdr:cNvPr id="79" name="Image 5" descr="Picture"/>
        <xdr:cNvPicPr/>
      </xdr:nvPicPr>
      <xdr:blipFill>
        <a:blip r:embed="rId5"/>
        <a:stretch/>
      </xdr:blipFill>
      <xdr:spPr>
        <a:xfrm>
          <a:off x="570960" y="114861960"/>
          <a:ext cx="4381200" cy="4171680"/>
        </a:xfrm>
        <a:prstGeom prst="rect">
          <a:avLst/>
        </a:prstGeom>
        <a:ln w="0">
          <a:noFill/>
        </a:ln>
      </xdr:spPr>
    </xdr:pic>
    <xdr:clientData/>
  </xdr:twoCellAnchor>
  <xdr:twoCellAnchor editAs="oneCell">
    <xdr:from>
      <xdr:col>1</xdr:col>
      <xdr:colOff>0</xdr:colOff>
      <xdr:row>261</xdr:row>
      <xdr:rowOff>0</xdr:rowOff>
    </xdr:from>
    <xdr:to>
      <xdr:col>2</xdr:col>
      <xdr:colOff>1145880</xdr:colOff>
      <xdr:row>271</xdr:row>
      <xdr:rowOff>47160</xdr:rowOff>
    </xdr:to>
    <xdr:pic>
      <xdr:nvPicPr>
        <xdr:cNvPr id="80" name="Image 6" descr="Picture"/>
        <xdr:cNvPicPr/>
      </xdr:nvPicPr>
      <xdr:blipFill>
        <a:blip r:embed="rId6"/>
        <a:stretch/>
      </xdr:blipFill>
      <xdr:spPr>
        <a:xfrm>
          <a:off x="570960" y="140322240"/>
          <a:ext cx="4381200" cy="5000400"/>
        </a:xfrm>
        <a:prstGeom prst="rect">
          <a:avLst/>
        </a:prstGeom>
        <a:ln w="0">
          <a:noFill/>
        </a:ln>
      </xdr:spPr>
    </xdr:pic>
    <xdr:clientData/>
  </xdr:twoCellAnchor>
  <xdr:twoCellAnchor editAs="oneCell">
    <xdr:from>
      <xdr:col>1</xdr:col>
      <xdr:colOff>0</xdr:colOff>
      <xdr:row>307</xdr:row>
      <xdr:rowOff>0</xdr:rowOff>
    </xdr:from>
    <xdr:to>
      <xdr:col>2</xdr:col>
      <xdr:colOff>1145880</xdr:colOff>
      <xdr:row>317</xdr:row>
      <xdr:rowOff>47520</xdr:rowOff>
    </xdr:to>
    <xdr:pic>
      <xdr:nvPicPr>
        <xdr:cNvPr id="81" name="Image 7" descr="Picture"/>
        <xdr:cNvPicPr/>
      </xdr:nvPicPr>
      <xdr:blipFill>
        <a:blip r:embed="rId7"/>
        <a:stretch/>
      </xdr:blipFill>
      <xdr:spPr>
        <a:xfrm>
          <a:off x="570960" y="165687480"/>
          <a:ext cx="4381200" cy="5000400"/>
        </a:xfrm>
        <a:prstGeom prst="rect">
          <a:avLst/>
        </a:prstGeom>
        <a:ln w="0">
          <a:noFill/>
        </a:ln>
      </xdr:spPr>
    </xdr:pic>
    <xdr:clientData/>
  </xdr:twoCellAnchor>
  <xdr:twoCellAnchor editAs="oneCell">
    <xdr:from>
      <xdr:col>1</xdr:col>
      <xdr:colOff>0</xdr:colOff>
      <xdr:row>353</xdr:row>
      <xdr:rowOff>0</xdr:rowOff>
    </xdr:from>
    <xdr:to>
      <xdr:col>2</xdr:col>
      <xdr:colOff>1145880</xdr:colOff>
      <xdr:row>363</xdr:row>
      <xdr:rowOff>47160</xdr:rowOff>
    </xdr:to>
    <xdr:pic>
      <xdr:nvPicPr>
        <xdr:cNvPr id="82" name="Image 8" descr="Picture"/>
        <xdr:cNvPicPr/>
      </xdr:nvPicPr>
      <xdr:blipFill>
        <a:blip r:embed="rId8"/>
        <a:stretch/>
      </xdr:blipFill>
      <xdr:spPr>
        <a:xfrm>
          <a:off x="570960" y="191052360"/>
          <a:ext cx="4381200" cy="5000400"/>
        </a:xfrm>
        <a:prstGeom prst="rect">
          <a:avLst/>
        </a:prstGeom>
        <a:ln w="0">
          <a:noFill/>
        </a:ln>
      </xdr:spPr>
    </xdr:pic>
    <xdr:clientData/>
  </xdr:twoCellAnchor>
  <xdr:twoCellAnchor editAs="oneCell">
    <xdr:from>
      <xdr:col>1</xdr:col>
      <xdr:colOff>0</xdr:colOff>
      <xdr:row>400</xdr:row>
      <xdr:rowOff>0</xdr:rowOff>
    </xdr:from>
    <xdr:to>
      <xdr:col>2</xdr:col>
      <xdr:colOff>1145880</xdr:colOff>
      <xdr:row>408</xdr:row>
      <xdr:rowOff>209160</xdr:rowOff>
    </xdr:to>
    <xdr:pic>
      <xdr:nvPicPr>
        <xdr:cNvPr id="83" name="Image 9" descr="Picture"/>
        <xdr:cNvPicPr/>
      </xdr:nvPicPr>
      <xdr:blipFill>
        <a:blip r:embed="rId9"/>
        <a:stretch/>
      </xdr:blipFill>
      <xdr:spPr>
        <a:xfrm>
          <a:off x="570960" y="217008000"/>
          <a:ext cx="4381200" cy="4171680"/>
        </a:xfrm>
        <a:prstGeom prst="rect">
          <a:avLst/>
        </a:prstGeom>
        <a:ln w="0">
          <a:noFill/>
        </a:ln>
      </xdr:spPr>
    </xdr:pic>
    <xdr:clientData/>
  </xdr:twoCellAnchor>
  <xdr:twoCellAnchor editAs="oneCell">
    <xdr:from>
      <xdr:col>1</xdr:col>
      <xdr:colOff>0</xdr:colOff>
      <xdr:row>444</xdr:row>
      <xdr:rowOff>0</xdr:rowOff>
    </xdr:from>
    <xdr:to>
      <xdr:col>2</xdr:col>
      <xdr:colOff>1145880</xdr:colOff>
      <xdr:row>452</xdr:row>
      <xdr:rowOff>209160</xdr:rowOff>
    </xdr:to>
    <xdr:pic>
      <xdr:nvPicPr>
        <xdr:cNvPr id="84" name="Image 10" descr="Picture"/>
        <xdr:cNvPicPr/>
      </xdr:nvPicPr>
      <xdr:blipFill>
        <a:blip r:embed="rId10"/>
        <a:stretch/>
      </xdr:blipFill>
      <xdr:spPr>
        <a:xfrm>
          <a:off x="570960" y="240906240"/>
          <a:ext cx="4381200" cy="4171680"/>
        </a:xfrm>
        <a:prstGeom prst="rect">
          <a:avLst/>
        </a:prstGeom>
        <a:ln w="0">
          <a:noFill/>
        </a:ln>
      </xdr:spPr>
    </xdr:pic>
    <xdr:clientData/>
  </xdr:twoCellAnchor>
  <xdr:twoCellAnchor editAs="oneCell">
    <xdr:from>
      <xdr:col>1</xdr:col>
      <xdr:colOff>0</xdr:colOff>
      <xdr:row>488</xdr:row>
      <xdr:rowOff>0</xdr:rowOff>
    </xdr:from>
    <xdr:to>
      <xdr:col>2</xdr:col>
      <xdr:colOff>1145880</xdr:colOff>
      <xdr:row>496</xdr:row>
      <xdr:rowOff>209160</xdr:rowOff>
    </xdr:to>
    <xdr:pic>
      <xdr:nvPicPr>
        <xdr:cNvPr id="85" name="Image 11" descr="Picture"/>
        <xdr:cNvPicPr/>
      </xdr:nvPicPr>
      <xdr:blipFill>
        <a:blip r:embed="rId11"/>
        <a:stretch/>
      </xdr:blipFill>
      <xdr:spPr>
        <a:xfrm>
          <a:off x="570960" y="264804480"/>
          <a:ext cx="4381200" cy="4171680"/>
        </a:xfrm>
        <a:prstGeom prst="rect">
          <a:avLst/>
        </a:prstGeom>
        <a:ln w="0">
          <a:noFill/>
        </a:ln>
      </xdr:spPr>
    </xdr:pic>
    <xdr:clientData/>
  </xdr:twoCellAnchor>
  <xdr:twoCellAnchor editAs="oneCell">
    <xdr:from>
      <xdr:col>1</xdr:col>
      <xdr:colOff>0</xdr:colOff>
      <xdr:row>532</xdr:row>
      <xdr:rowOff>0</xdr:rowOff>
    </xdr:from>
    <xdr:to>
      <xdr:col>2</xdr:col>
      <xdr:colOff>1145880</xdr:colOff>
      <xdr:row>540</xdr:row>
      <xdr:rowOff>209160</xdr:rowOff>
    </xdr:to>
    <xdr:pic>
      <xdr:nvPicPr>
        <xdr:cNvPr id="86" name="Image 12" descr="Picture"/>
        <xdr:cNvPicPr/>
      </xdr:nvPicPr>
      <xdr:blipFill>
        <a:blip r:embed="rId12"/>
        <a:stretch/>
      </xdr:blipFill>
      <xdr:spPr>
        <a:xfrm>
          <a:off x="570960" y="288893160"/>
          <a:ext cx="4381200" cy="417168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9.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2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35.1"/>
    <col collapsed="false" customWidth="true" hidden="false" outlineLevel="0" max="3" min="2" style="0" width="12.2"/>
    <col collapsed="false" customWidth="true" hidden="false" outlineLevel="0" max="4" min="4" style="0" width="13.5"/>
    <col collapsed="false" customWidth="true" hidden="false" outlineLevel="0" max="5" min="5" style="0" width="10.8"/>
    <col collapsed="false" customWidth="true" hidden="false" outlineLevel="0" max="7" min="6" style="0" width="16.2"/>
    <col collapsed="false" customWidth="true" hidden="false" outlineLevel="0" max="8" min="8" style="0" width="10.8"/>
    <col collapsed="false" customWidth="true" hidden="false" outlineLevel="0" max="10" min="9" style="0" width="16.2"/>
    <col collapsed="false" customWidth="true" hidden="false" outlineLevel="0" max="11" min="11" style="0" width="18.9"/>
    <col collapsed="false" customWidth="true" hidden="false" outlineLevel="0" max="12" min="12" style="0" width="54"/>
  </cols>
  <sheetData>
    <row r="1" customFormat="false" ht="39" hidden="false" customHeight="true" outlineLevel="0" collapsed="false">
      <c r="A1" s="1" t="s">
        <v>0</v>
      </c>
      <c r="B1" s="1"/>
      <c r="C1" s="1"/>
      <c r="D1" s="1"/>
      <c r="E1" s="1"/>
      <c r="F1" s="1"/>
      <c r="G1" s="1"/>
      <c r="H1" s="1"/>
      <c r="I1" s="1"/>
      <c r="J1" s="1"/>
      <c r="K1" s="1"/>
      <c r="L1" s="1"/>
    </row>
    <row r="2" customFormat="false" ht="39" hidden="false" customHeight="true" outlineLevel="0" collapsed="false">
      <c r="A2" s="2" t="s">
        <v>1</v>
      </c>
      <c r="B2" s="2" t="s">
        <v>2</v>
      </c>
      <c r="C2" s="2" t="s">
        <v>3</v>
      </c>
      <c r="D2" s="2" t="s">
        <v>4</v>
      </c>
      <c r="E2" s="2" t="s">
        <v>5</v>
      </c>
      <c r="F2" s="2"/>
      <c r="G2" s="2"/>
      <c r="H2" s="2" t="s">
        <v>6</v>
      </c>
      <c r="I2" s="2"/>
      <c r="J2" s="2"/>
      <c r="K2" s="2" t="s">
        <v>7</v>
      </c>
      <c r="L2" s="2" t="s">
        <v>8</v>
      </c>
    </row>
    <row r="3" customFormat="false" ht="39" hidden="false" customHeight="true" outlineLevel="0" collapsed="false">
      <c r="A3" s="2"/>
      <c r="B3" s="2"/>
      <c r="C3" s="2"/>
      <c r="D3" s="2"/>
      <c r="E3" s="3" t="s">
        <v>9</v>
      </c>
      <c r="F3" s="3" t="s">
        <v>10</v>
      </c>
      <c r="G3" s="3" t="s">
        <v>11</v>
      </c>
      <c r="H3" s="3" t="s">
        <v>9</v>
      </c>
      <c r="I3" s="3" t="s">
        <v>10</v>
      </c>
      <c r="J3" s="3" t="s">
        <v>11</v>
      </c>
      <c r="K3" s="2"/>
      <c r="L3" s="2"/>
    </row>
    <row r="4" customFormat="false" ht="39" hidden="false" customHeight="true" outlineLevel="0" collapsed="false">
      <c r="A4" s="4" t="s">
        <v>12</v>
      </c>
      <c r="B4" s="4"/>
      <c r="C4" s="4"/>
      <c r="D4" s="4"/>
      <c r="E4" s="4"/>
      <c r="F4" s="4"/>
      <c r="G4" s="4"/>
      <c r="H4" s="4"/>
      <c r="I4" s="4"/>
      <c r="J4" s="4"/>
      <c r="K4" s="4"/>
      <c r="L4" s="4"/>
    </row>
    <row r="5" customFormat="false" ht="69.75" hidden="false" customHeight="true" outlineLevel="0" collapsed="false">
      <c r="A5" s="5" t="s">
        <v>13</v>
      </c>
      <c r="B5" s="6" t="n">
        <v>7.63</v>
      </c>
      <c r="C5" s="6" t="n">
        <v>3.56</v>
      </c>
      <c r="D5" s="7" t="n">
        <f aca="false">B5*C5</f>
        <v>27.1628</v>
      </c>
      <c r="E5" s="8" t="n">
        <v>9</v>
      </c>
      <c r="F5" s="7" t="n">
        <f aca="false">D5/E5</f>
        <v>3.01808888888889</v>
      </c>
      <c r="G5" s="7" t="n">
        <v>16.95</v>
      </c>
      <c r="H5" s="8" t="s">
        <v>14</v>
      </c>
      <c r="I5" s="7" t="n">
        <f aca="false">F5/3</f>
        <v>1.00602962962963</v>
      </c>
      <c r="J5" s="7" t="n">
        <v>8.48</v>
      </c>
      <c r="K5" s="9" t="str">
        <f aca="false">IF(OR(G5="COND",J5="COND"),"COND",IF(AND(G5&gt;=F5,J5&gt;=I5),"CUMPLE","NO CUMPLE"))</f>
        <v>CUMPLE</v>
      </c>
      <c r="L5" s="8"/>
    </row>
    <row r="6" customFormat="false" ht="46.5" hidden="false" customHeight="true" outlineLevel="0" collapsed="false">
      <c r="A6" s="5" t="s">
        <v>15</v>
      </c>
      <c r="B6" s="7" t="n">
        <v>3.8</v>
      </c>
      <c r="C6" s="7" t="n">
        <v>3.1</v>
      </c>
      <c r="D6" s="7" t="n">
        <f aca="false">B6*C6</f>
        <v>11.78</v>
      </c>
      <c r="E6" s="8" t="s">
        <v>16</v>
      </c>
      <c r="F6" s="7" t="s">
        <v>16</v>
      </c>
      <c r="G6" s="7" t="s">
        <v>16</v>
      </c>
      <c r="H6" s="8" t="s">
        <v>16</v>
      </c>
      <c r="I6" s="7" t="s">
        <v>16</v>
      </c>
      <c r="J6" s="7" t="s">
        <v>16</v>
      </c>
      <c r="K6" s="9" t="s">
        <v>17</v>
      </c>
      <c r="L6" s="10" t="s">
        <v>18</v>
      </c>
    </row>
    <row r="7" customFormat="false" ht="69.75" hidden="false" customHeight="true" outlineLevel="0" collapsed="false">
      <c r="A7" s="5" t="s">
        <v>19</v>
      </c>
      <c r="B7" s="7" t="n">
        <v>3.5</v>
      </c>
      <c r="C7" s="7" t="n">
        <v>1.7</v>
      </c>
      <c r="D7" s="7" t="n">
        <f aca="false">B7*C7</f>
        <v>5.95</v>
      </c>
      <c r="E7" s="8" t="n">
        <v>9</v>
      </c>
      <c r="F7" s="7" t="n">
        <f aca="false">D7/E7</f>
        <v>0.661111111111111</v>
      </c>
      <c r="G7" s="7" t="n">
        <v>10.5</v>
      </c>
      <c r="H7" s="8" t="s">
        <v>14</v>
      </c>
      <c r="I7" s="7" t="n">
        <f aca="false">F7/3</f>
        <v>0.22037037037037</v>
      </c>
      <c r="J7" s="7" t="n">
        <v>1.6</v>
      </c>
      <c r="K7" s="9" t="str">
        <f aca="false">IF(OR(G7="COND",J7="COND"),"COND",IF(AND(G7&gt;=F7,J7&gt;=I7),"CUMPLE","NO CUMPLE"))</f>
        <v>CUMPLE</v>
      </c>
      <c r="L7" s="8"/>
    </row>
    <row r="8" customFormat="false" ht="69.75" hidden="false" customHeight="true" outlineLevel="0" collapsed="false">
      <c r="A8" s="5" t="s">
        <v>20</v>
      </c>
      <c r="B8" s="6" t="n">
        <v>8.66</v>
      </c>
      <c r="C8" s="6" t="n">
        <v>4.06</v>
      </c>
      <c r="D8" s="7" t="n">
        <f aca="false">B8*C8</f>
        <v>35.1596</v>
      </c>
      <c r="E8" s="8" t="n">
        <v>9</v>
      </c>
      <c r="F8" s="7" t="n">
        <f aca="false">D8/E8</f>
        <v>3.90662222222222</v>
      </c>
      <c r="G8" s="7" t="n">
        <v>34.05</v>
      </c>
      <c r="H8" s="8" t="s">
        <v>14</v>
      </c>
      <c r="I8" s="7" t="n">
        <f aca="false">F8/3</f>
        <v>1.30220740740741</v>
      </c>
      <c r="J8" s="7" t="n">
        <v>15</v>
      </c>
      <c r="K8" s="9" t="str">
        <f aca="false">IF(OR(G8="COND",J8="COND"),"COND",IF(AND(G8&gt;=F8,J8&gt;=I8),"CUMPLE","NO CUMPLE"))</f>
        <v>CUMPLE</v>
      </c>
      <c r="L8" s="8"/>
    </row>
    <row r="9" customFormat="false" ht="69.75" hidden="false" customHeight="true" outlineLevel="0" collapsed="false">
      <c r="A9" s="5" t="s">
        <v>21</v>
      </c>
      <c r="B9" s="6" t="n">
        <v>4</v>
      </c>
      <c r="C9" s="7" t="n">
        <v>2.15</v>
      </c>
      <c r="D9" s="7" t="n">
        <f aca="false">B9*C9</f>
        <v>8.6</v>
      </c>
      <c r="E9" s="8" t="n">
        <v>9</v>
      </c>
      <c r="F9" s="7" t="n">
        <f aca="false">D9/E9</f>
        <v>0.955555555555556</v>
      </c>
      <c r="G9" s="7" t="n">
        <v>10.5</v>
      </c>
      <c r="H9" s="8" t="s">
        <v>14</v>
      </c>
      <c r="I9" s="7" t="n">
        <f aca="false">F9/3</f>
        <v>0.318518518518519</v>
      </c>
      <c r="J9" s="7" t="n">
        <v>1.6</v>
      </c>
      <c r="K9" s="9" t="str">
        <f aca="false">IF(OR(G9="COND",J9="COND"),"COND",IF(AND(G9&gt;=F9,J9&gt;=I9),"CUMPLE","NO CUMPLE"))</f>
        <v>CUMPLE</v>
      </c>
      <c r="L9" s="10" t="s">
        <v>22</v>
      </c>
    </row>
    <row r="10" customFormat="false" ht="69.75" hidden="false" customHeight="true" outlineLevel="0" collapsed="false">
      <c r="A10" s="5" t="s">
        <v>23</v>
      </c>
      <c r="B10" s="7" t="n">
        <v>3.5</v>
      </c>
      <c r="C10" s="7" t="n">
        <v>3.5</v>
      </c>
      <c r="D10" s="7" t="n">
        <f aca="false">B10*C10</f>
        <v>12.25</v>
      </c>
      <c r="E10" s="8" t="n">
        <v>9</v>
      </c>
      <c r="F10" s="7" t="n">
        <f aca="false">D10/E10</f>
        <v>1.36111111111111</v>
      </c>
      <c r="G10" s="7" t="n">
        <v>6</v>
      </c>
      <c r="H10" s="8" t="s">
        <v>14</v>
      </c>
      <c r="I10" s="7" t="n">
        <f aca="false">F10/3</f>
        <v>0.453703703703704</v>
      </c>
      <c r="J10" s="7" t="n">
        <v>3</v>
      </c>
      <c r="K10" s="9" t="str">
        <f aca="false">IF(OR(G10="COND",J10="COND"),"COND",IF(AND(G10&gt;=F10,J10&gt;=I10),"CUMPLE","NO CUMPLE"))</f>
        <v>CUMPLE</v>
      </c>
      <c r="L10" s="8"/>
    </row>
    <row r="11" customFormat="false" ht="69.75" hidden="false" customHeight="true" outlineLevel="0" collapsed="false">
      <c r="A11" s="5" t="s">
        <v>24</v>
      </c>
      <c r="B11" s="6" t="n">
        <v>3.38</v>
      </c>
      <c r="C11" s="6" t="n">
        <v>1.72</v>
      </c>
      <c r="D11" s="7" t="n">
        <f aca="false">B11*C11</f>
        <v>5.8136</v>
      </c>
      <c r="E11" s="8" t="n">
        <v>9</v>
      </c>
      <c r="F11" s="7" t="n">
        <f aca="false">D11/E11</f>
        <v>0.645955555555556</v>
      </c>
      <c r="G11" s="7" t="s">
        <v>25</v>
      </c>
      <c r="H11" s="8" t="s">
        <v>14</v>
      </c>
      <c r="I11" s="7" t="n">
        <f aca="false">F11/3</f>
        <v>0.215318518518519</v>
      </c>
      <c r="J11" s="7" t="s">
        <v>25</v>
      </c>
      <c r="K11" s="9" t="str">
        <f aca="false">IF(OR(G11="COND",J11="COND"),"COND",IF(AND(G11&gt;=F11,J11&gt;=I11),"CUMPLE","NO CUMPLE"))</f>
        <v>COND</v>
      </c>
      <c r="L11" s="10" t="s">
        <v>26</v>
      </c>
    </row>
    <row r="12" customFormat="false" ht="69.75" hidden="false" customHeight="true" outlineLevel="0" collapsed="false">
      <c r="A12" s="5" t="s">
        <v>27</v>
      </c>
      <c r="B12" s="7" t="n">
        <v>2.4</v>
      </c>
      <c r="C12" s="7" t="n">
        <v>1.3</v>
      </c>
      <c r="D12" s="7" t="n">
        <f aca="false">B12*C12</f>
        <v>3.12</v>
      </c>
      <c r="E12" s="8" t="n">
        <v>9</v>
      </c>
      <c r="F12" s="7" t="n">
        <f aca="false">D12/E12</f>
        <v>0.346666666666667</v>
      </c>
      <c r="G12" s="7" t="s">
        <v>25</v>
      </c>
      <c r="H12" s="8" t="s">
        <v>14</v>
      </c>
      <c r="I12" s="7" t="n">
        <f aca="false">F12/3</f>
        <v>0.115555555555556</v>
      </c>
      <c r="J12" s="7" t="s">
        <v>25</v>
      </c>
      <c r="K12" s="9" t="str">
        <f aca="false">IF(OR(G12="COND",J12="COND"),"COND",IF(AND(G12&gt;=F12,J12&gt;=I12),"CUMPLE","NO CUMPLE"))</f>
        <v>COND</v>
      </c>
      <c r="L12" s="10" t="s">
        <v>26</v>
      </c>
    </row>
    <row r="13" customFormat="false" ht="69.75" hidden="false" customHeight="true" outlineLevel="0" collapsed="false">
      <c r="A13" s="11" t="s">
        <v>28</v>
      </c>
      <c r="B13" s="12" t="n">
        <v>1.9</v>
      </c>
      <c r="C13" s="12" t="n">
        <v>0.95</v>
      </c>
      <c r="D13" s="12" t="n">
        <f aca="false">B13*C13</f>
        <v>1.805</v>
      </c>
      <c r="E13" s="13" t="n">
        <v>9</v>
      </c>
      <c r="F13" s="12" t="n">
        <f aca="false">D13/E13</f>
        <v>0.200555555555556</v>
      </c>
      <c r="G13" s="12" t="s">
        <v>25</v>
      </c>
      <c r="H13" s="13" t="s">
        <v>14</v>
      </c>
      <c r="I13" s="12" t="n">
        <f aca="false">F13/3</f>
        <v>0.0668518518518518</v>
      </c>
      <c r="J13" s="12" t="s">
        <v>25</v>
      </c>
      <c r="K13" s="14" t="str">
        <f aca="false">IF(OR(G13="COND",J13="COND"),"COND",IF(AND(G13&gt;=F13,J13&gt;=I13),"CUMPLE","NO CUMPLE"))</f>
        <v>COND</v>
      </c>
      <c r="L13" s="15" t="s">
        <v>26</v>
      </c>
    </row>
    <row r="14" customFormat="false" ht="39" hidden="false" customHeight="true" outlineLevel="0" collapsed="false">
      <c r="A14" s="4" t="s">
        <v>29</v>
      </c>
      <c r="B14" s="4"/>
      <c r="C14" s="4"/>
      <c r="D14" s="4"/>
      <c r="E14" s="4"/>
      <c r="F14" s="4"/>
      <c r="G14" s="4"/>
      <c r="H14" s="4"/>
      <c r="I14" s="4"/>
      <c r="J14" s="4"/>
      <c r="K14" s="4"/>
      <c r="L14" s="4"/>
    </row>
    <row r="15" customFormat="false" ht="69.75" hidden="false" customHeight="true" outlineLevel="0" collapsed="false">
      <c r="A15" s="5" t="s">
        <v>30</v>
      </c>
      <c r="B15" s="7" t="n">
        <v>4.25</v>
      </c>
      <c r="C15" s="7" t="n">
        <v>4</v>
      </c>
      <c r="D15" s="7" t="n">
        <f aca="false">B15*C15</f>
        <v>17</v>
      </c>
      <c r="E15" s="8" t="n">
        <v>9</v>
      </c>
      <c r="F15" s="7" t="n">
        <f aca="false">D15/E15</f>
        <v>1.88888888888889</v>
      </c>
      <c r="G15" s="7" t="n">
        <v>8.75</v>
      </c>
      <c r="H15" s="8" t="s">
        <v>14</v>
      </c>
      <c r="I15" s="7" t="n">
        <f aca="false">F15/3</f>
        <v>0.62962962962963</v>
      </c>
      <c r="J15" s="7" t="n">
        <v>4.38</v>
      </c>
      <c r="K15" s="9" t="str">
        <f aca="false">IF(OR(G15="COND",J15="COND"),"COND",IF(AND(G15&gt;=F15,J15&gt;=I15),"CUMPLE","NO CUMPLE"))</f>
        <v>CUMPLE</v>
      </c>
      <c r="L15" s="8"/>
    </row>
    <row r="16" customFormat="false" ht="69.75" hidden="false" customHeight="true" outlineLevel="0" collapsed="false">
      <c r="A16" s="5" t="s">
        <v>31</v>
      </c>
      <c r="B16" s="6" t="n">
        <v>4.13</v>
      </c>
      <c r="C16" s="6" t="n">
        <v>4.08</v>
      </c>
      <c r="D16" s="7" t="n">
        <f aca="false">B16*C16</f>
        <v>16.8504</v>
      </c>
      <c r="E16" s="8" t="n">
        <v>9</v>
      </c>
      <c r="F16" s="7" t="n">
        <f aca="false">D16/E16</f>
        <v>1.87226666666667</v>
      </c>
      <c r="G16" s="7" t="n">
        <v>5</v>
      </c>
      <c r="H16" s="8" t="s">
        <v>14</v>
      </c>
      <c r="I16" s="7" t="n">
        <f aca="false">F16/3</f>
        <v>0.624088888888889</v>
      </c>
      <c r="J16" s="7" t="n">
        <v>5</v>
      </c>
      <c r="K16" s="9" t="str">
        <f aca="false">IF(OR(G16="COND",J16="COND"),"COND",IF(AND(G16&gt;=F16,J16&gt;=I16),"CUMPLE","NO CUMPLE"))</f>
        <v>CUMPLE</v>
      </c>
      <c r="L16" s="10" t="s">
        <v>32</v>
      </c>
    </row>
    <row r="17" customFormat="false" ht="69.75" hidden="false" customHeight="true" outlineLevel="0" collapsed="false">
      <c r="A17" s="5" t="s">
        <v>33</v>
      </c>
      <c r="B17" s="7" t="n">
        <v>3.5</v>
      </c>
      <c r="C17" s="7" t="n">
        <v>4.05</v>
      </c>
      <c r="D17" s="7" t="n">
        <f aca="false">B17*C17</f>
        <v>14.175</v>
      </c>
      <c r="E17" s="8" t="n">
        <v>9</v>
      </c>
      <c r="F17" s="7" t="n">
        <f aca="false">D17/E17</f>
        <v>1.575</v>
      </c>
      <c r="G17" s="7" t="n">
        <v>3.75</v>
      </c>
      <c r="H17" s="8" t="s">
        <v>14</v>
      </c>
      <c r="I17" s="7" t="n">
        <f aca="false">F17/3</f>
        <v>0.525</v>
      </c>
      <c r="J17" s="7" t="n">
        <v>1.88</v>
      </c>
      <c r="K17" s="9" t="str">
        <f aca="false">IF(OR(G17="COND",J17="COND"),"COND",IF(AND(G17&gt;=F17,J17&gt;=I17),"CUMPLE","NO CUMPLE"))</f>
        <v>CUMPLE</v>
      </c>
      <c r="L17" s="8"/>
    </row>
    <row r="18" customFormat="false" ht="69.75" hidden="false" customHeight="true" outlineLevel="0" collapsed="false">
      <c r="A18" s="11" t="s">
        <v>34</v>
      </c>
      <c r="B18" s="12" t="n">
        <v>2.2</v>
      </c>
      <c r="C18" s="12" t="n">
        <v>1.6</v>
      </c>
      <c r="D18" s="12" t="n">
        <f aca="false">B18*C18</f>
        <v>3.52</v>
      </c>
      <c r="E18" s="13" t="n">
        <v>9</v>
      </c>
      <c r="F18" s="12" t="n">
        <f aca="false">D18/E18</f>
        <v>0.391111111111111</v>
      </c>
      <c r="G18" s="12" t="n">
        <v>1.875</v>
      </c>
      <c r="H18" s="13" t="s">
        <v>14</v>
      </c>
      <c r="I18" s="12" t="n">
        <f aca="false">F18/3</f>
        <v>0.13037037037037</v>
      </c>
      <c r="J18" s="12" t="n">
        <v>0.94</v>
      </c>
      <c r="K18" s="14" t="str">
        <f aca="false">IF(OR(G18="COND",J18="COND"),"COND",IF(AND(G18&gt;=F18,J18&gt;=I18),"CUMPLE","NO CUMPLE"))</f>
        <v>CUMPLE</v>
      </c>
      <c r="L18" s="13"/>
    </row>
    <row r="20" customFormat="false" ht="15" hidden="false" customHeight="false" outlineLevel="0" collapsed="false">
      <c r="A20" s="16" t="s">
        <v>35</v>
      </c>
    </row>
  </sheetData>
  <mergeCells count="11">
    <mergeCell ref="A1:L1"/>
    <mergeCell ref="A2:A3"/>
    <mergeCell ref="B2:B3"/>
    <mergeCell ref="C2:C3"/>
    <mergeCell ref="D2:D3"/>
    <mergeCell ref="E2:G2"/>
    <mergeCell ref="H2:J2"/>
    <mergeCell ref="K2:K3"/>
    <mergeCell ref="L2:L3"/>
    <mergeCell ref="A4:L4"/>
    <mergeCell ref="A14:L14"/>
  </mergeCells>
  <conditionalFormatting sqref="K4:K18">
    <cfRule type="cellIs" priority="2" operator="equal" aboveAverage="0" equalAverage="0" bottom="0" percent="0" rank="0" text="" dxfId="0">
      <formula>"CUMPLE"</formula>
    </cfRule>
    <cfRule type="cellIs" priority="3" operator="equal" aboveAverage="0" equalAverage="0" bottom="0" percent="0" rank="0" text="" dxfId="1">
      <formula>"NO CUMPLE"</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9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1.6"/>
    <col collapsed="false" customWidth="true" hidden="false" outlineLevel="0" max="3" min="2" style="0" width="13.5"/>
    <col collapsed="false" customWidth="true" hidden="false" outlineLevel="0" max="4" min="4" style="0" width="14.9"/>
    <col collapsed="false" customWidth="true" hidden="false" outlineLevel="0" max="7" min="5" style="0" width="16.2"/>
    <col collapsed="false" customWidth="true" hidden="false" outlineLevel="0" max="8" min="8" style="0" width="45.9"/>
    <col collapsed="false" customWidth="true" hidden="false" outlineLevel="0" max="9" min="9" style="0" width="32.4"/>
    <col collapsed="false" customWidth="true" hidden="false" outlineLevel="0" max="12" min="10" style="0" width="14.9"/>
    <col collapsed="false" customWidth="true" hidden="false" outlineLevel="0" max="13" min="13" style="0" width="17.61"/>
  </cols>
  <sheetData>
    <row r="1" customFormat="false" ht="39" hidden="false" customHeight="true" outlineLevel="0" collapsed="false">
      <c r="A1" s="17"/>
      <c r="B1" s="18" t="s">
        <v>36</v>
      </c>
      <c r="C1" s="18"/>
      <c r="D1" s="18"/>
      <c r="E1" s="18"/>
      <c r="F1" s="18"/>
      <c r="G1" s="18"/>
      <c r="H1" s="18"/>
      <c r="I1" s="18"/>
      <c r="J1" s="18"/>
      <c r="K1" s="18"/>
      <c r="L1" s="18"/>
      <c r="M1" s="19" t="s">
        <v>37</v>
      </c>
    </row>
    <row r="2" customFormat="false" ht="39" hidden="false" customHeight="true" outlineLevel="0" collapsed="false">
      <c r="A2" s="17"/>
      <c r="B2" s="5" t="s">
        <v>38</v>
      </c>
      <c r="C2" s="5"/>
      <c r="D2" s="5"/>
      <c r="E2" s="5"/>
      <c r="F2" s="5"/>
      <c r="G2" s="5"/>
      <c r="H2" s="5"/>
      <c r="I2" s="5"/>
      <c r="J2" s="5"/>
      <c r="K2" s="5"/>
      <c r="L2" s="5"/>
      <c r="M2" s="19"/>
    </row>
    <row r="3" customFormat="false" ht="39" hidden="false" customHeight="true" outlineLevel="0" collapsed="false">
      <c r="A3" s="17"/>
      <c r="B3" s="5" t="s">
        <v>39</v>
      </c>
      <c r="C3" s="5"/>
      <c r="D3" s="5"/>
      <c r="E3" s="5"/>
      <c r="F3" s="5"/>
      <c r="G3" s="5"/>
      <c r="H3" s="5"/>
      <c r="I3" s="5"/>
      <c r="J3" s="5"/>
      <c r="K3" s="5"/>
      <c r="L3" s="5"/>
      <c r="M3" s="19"/>
    </row>
    <row r="4" customFormat="false" ht="39" hidden="false" customHeight="true" outlineLevel="0" collapsed="false">
      <c r="A4" s="20" t="s">
        <v>40</v>
      </c>
      <c r="B4" s="20"/>
      <c r="C4" s="20"/>
      <c r="D4" s="20"/>
      <c r="E4" s="20"/>
      <c r="F4" s="20"/>
      <c r="G4" s="20"/>
      <c r="H4" s="20"/>
      <c r="I4" s="20"/>
      <c r="J4" s="20"/>
      <c r="K4" s="20"/>
      <c r="L4" s="20"/>
      <c r="M4" s="20"/>
    </row>
    <row r="5" customFormat="false" ht="39" hidden="false" customHeight="true" outlineLevel="0" collapsed="false">
      <c r="A5" s="2" t="s">
        <v>41</v>
      </c>
      <c r="B5" s="2" t="s">
        <v>42</v>
      </c>
      <c r="C5" s="2" t="s">
        <v>43</v>
      </c>
      <c r="D5" s="2" t="s">
        <v>44</v>
      </c>
      <c r="E5" s="2" t="s">
        <v>45</v>
      </c>
      <c r="F5" s="2" t="s">
        <v>46</v>
      </c>
      <c r="G5" s="2" t="s">
        <v>47</v>
      </c>
      <c r="H5" s="2" t="s">
        <v>48</v>
      </c>
      <c r="I5" s="2" t="s">
        <v>49</v>
      </c>
      <c r="J5" s="2" t="s">
        <v>50</v>
      </c>
      <c r="K5" s="2" t="s">
        <v>51</v>
      </c>
      <c r="L5" s="2" t="s">
        <v>52</v>
      </c>
      <c r="M5" s="2" t="s">
        <v>7</v>
      </c>
    </row>
    <row r="6" customFormat="false" ht="39" hidden="false" customHeight="true" outlineLevel="0" collapsed="false">
      <c r="A6" s="3" t="s">
        <v>53</v>
      </c>
      <c r="B6" s="3"/>
      <c r="C6" s="3"/>
      <c r="D6" s="3"/>
      <c r="E6" s="3"/>
      <c r="F6" s="3"/>
      <c r="G6" s="3"/>
      <c r="H6" s="3"/>
      <c r="I6" s="3"/>
      <c r="J6" s="3"/>
      <c r="K6" s="3"/>
      <c r="L6" s="3"/>
      <c r="M6" s="3"/>
    </row>
    <row r="7" customFormat="false" ht="69.75" hidden="false" customHeight="true" outlineLevel="0" collapsed="false">
      <c r="A7" s="8" t="s">
        <v>54</v>
      </c>
      <c r="B7" s="7" t="n">
        <v>3</v>
      </c>
      <c r="C7" s="7" t="n">
        <v>0.75</v>
      </c>
      <c r="D7" s="7" t="n">
        <f aca="false">IF(COUNT(B7,C7)&lt;2,"",B7*C7)</f>
        <v>2.25</v>
      </c>
      <c r="E7" s="21" t="n">
        <f aca="false">SUM(D7:D13)</f>
        <v>12.9225</v>
      </c>
      <c r="F7" s="22" t="n">
        <f aca="false">IF(OR(D7="",$E$7=""),"",D7/$E$7)</f>
        <v>0.174114915844457</v>
      </c>
      <c r="G7" s="7" t="n">
        <f aca="false">IF(A7="","",Datos_higro!$B$4)</f>
        <v>2.9</v>
      </c>
      <c r="H7" s="8" t="s">
        <v>55</v>
      </c>
      <c r="I7" s="8" t="s">
        <v>56</v>
      </c>
      <c r="J7" s="7" t="n">
        <v>2.8</v>
      </c>
      <c r="K7" s="8" t="s">
        <v>57</v>
      </c>
      <c r="L7" s="7" t="n">
        <f aca="false">IF(I7="","",IFERROR(VLOOKUP(I7,Datos_higro!$A$21:$B$28,2,0),""))</f>
        <v>0.88</v>
      </c>
      <c r="M7" s="9" t="str">
        <f aca="false">IF(OR(D7="",J7=""),"",IF(J7&lt;=G7,"CUMPLE","NO CUMPLE"))</f>
        <v>CUMPLE</v>
      </c>
    </row>
    <row r="8" customFormat="false" ht="69.75" hidden="false" customHeight="true" outlineLevel="0" collapsed="false">
      <c r="A8" s="8" t="s">
        <v>58</v>
      </c>
      <c r="B8" s="7" t="n">
        <v>2.15</v>
      </c>
      <c r="C8" s="7" t="n">
        <v>0.75</v>
      </c>
      <c r="D8" s="7" t="n">
        <f aca="false">IF(COUNT(B8,C8)&lt;2,"",B8*C8)</f>
        <v>1.6125</v>
      </c>
      <c r="E8" s="21"/>
      <c r="F8" s="22" t="n">
        <f aca="false">IF(OR(D8="",$E$7=""),"",D8/$E$7)</f>
        <v>0.124782356355194</v>
      </c>
      <c r="G8" s="7" t="n">
        <f aca="false">IF(A8="","",Datos_higro!$B$4)</f>
        <v>2.9</v>
      </c>
      <c r="H8" s="8" t="s">
        <v>55</v>
      </c>
      <c r="I8" s="8" t="s">
        <v>56</v>
      </c>
      <c r="J8" s="7" t="n">
        <v>2.8</v>
      </c>
      <c r="K8" s="8" t="s">
        <v>57</v>
      </c>
      <c r="L8" s="7" t="n">
        <f aca="false">IF(I8="","",IFERROR(VLOOKUP(I8,Datos_higro!$A$21:$B$28,2,0),""))</f>
        <v>0.88</v>
      </c>
      <c r="M8" s="9" t="str">
        <f aca="false">IF(OR(D8="",J8=""),"",IF(J8&lt;=G8,"CUMPLE","NO CUMPLE"))</f>
        <v>CUMPLE</v>
      </c>
    </row>
    <row r="9" customFormat="false" ht="69.75" hidden="false" customHeight="true" outlineLevel="0" collapsed="false">
      <c r="A9" s="8" t="s">
        <v>59</v>
      </c>
      <c r="B9" s="7" t="n">
        <v>3</v>
      </c>
      <c r="C9" s="7" t="n">
        <v>1.76</v>
      </c>
      <c r="D9" s="7" t="n">
        <f aca="false">IF(COUNT(B9,C9)&lt;2,"",B9*C9)</f>
        <v>5.28</v>
      </c>
      <c r="E9" s="21"/>
      <c r="F9" s="22" t="n">
        <f aca="false">IF(OR(D9="",$E$7=""),"",D9/$E$7)</f>
        <v>0.40858966918166</v>
      </c>
      <c r="G9" s="7" t="n">
        <f aca="false">IF(A9="","",Datos_higro!$B$4)</f>
        <v>2.9</v>
      </c>
      <c r="H9" s="8" t="s">
        <v>55</v>
      </c>
      <c r="I9" s="8" t="s">
        <v>56</v>
      </c>
      <c r="J9" s="7" t="n">
        <v>2.8</v>
      </c>
      <c r="K9" s="8" t="s">
        <v>57</v>
      </c>
      <c r="L9" s="7" t="n">
        <f aca="false">IF(I9="","",IFERROR(VLOOKUP(I9,Datos_higro!$A$21:$B$28,2,0),""))</f>
        <v>0.88</v>
      </c>
      <c r="M9" s="9" t="str">
        <f aca="false">IF(OR(D9="",J9=""),"",IF(J9&lt;=G9,"CUMPLE","NO CUMPLE"))</f>
        <v>CUMPLE</v>
      </c>
    </row>
    <row r="10" customFormat="false" ht="69.75" hidden="false" customHeight="true" outlineLevel="0" collapsed="false">
      <c r="A10" s="8" t="s">
        <v>60</v>
      </c>
      <c r="B10" s="7" t="n">
        <v>2.52</v>
      </c>
      <c r="C10" s="7" t="n">
        <v>0.75</v>
      </c>
      <c r="D10" s="7" t="n">
        <f aca="false">IF(COUNT(B10,C10)&lt;2,"",B10*C10)</f>
        <v>1.89</v>
      </c>
      <c r="E10" s="21"/>
      <c r="F10" s="22" t="n">
        <f aca="false">IF(OR(D10="",$E$7=""),"",D10/$E$7)</f>
        <v>0.146256529309344</v>
      </c>
      <c r="G10" s="7" t="n">
        <f aca="false">IF(A10="","",Datos_higro!$B$4)</f>
        <v>2.9</v>
      </c>
      <c r="H10" s="8" t="s">
        <v>55</v>
      </c>
      <c r="I10" s="8" t="s">
        <v>56</v>
      </c>
      <c r="J10" s="7" t="n">
        <v>2.8</v>
      </c>
      <c r="K10" s="8" t="s">
        <v>57</v>
      </c>
      <c r="L10" s="7" t="n">
        <f aca="false">IF(I10="","",IFERROR(VLOOKUP(I10,Datos_higro!$A$21:$B$28,2,0),""))</f>
        <v>0.88</v>
      </c>
      <c r="M10" s="9" t="str">
        <f aca="false">IF(OR(D10="",J10=""),"",IF(J10&lt;=G10,"CUMPLE","NO CUMPLE"))</f>
        <v>CUMPLE</v>
      </c>
    </row>
    <row r="11" customFormat="false" ht="69.75" hidden="false" customHeight="true" outlineLevel="0" collapsed="false">
      <c r="A11" s="8" t="s">
        <v>61</v>
      </c>
      <c r="B11" s="7" t="n">
        <v>2.52</v>
      </c>
      <c r="C11" s="7" t="n">
        <v>0.75</v>
      </c>
      <c r="D11" s="7" t="n">
        <f aca="false">IF(COUNT(B11,C11)&lt;2,"",B11*C11)</f>
        <v>1.89</v>
      </c>
      <c r="E11" s="21"/>
      <c r="F11" s="22" t="n">
        <f aca="false">IF(OR(D11="",$E$7=""),"",D11/$E$7)</f>
        <v>0.146256529309344</v>
      </c>
      <c r="G11" s="7" t="n">
        <f aca="false">IF(A11="","",Datos_higro!$B$4)</f>
        <v>2.9</v>
      </c>
      <c r="H11" s="8" t="s">
        <v>55</v>
      </c>
      <c r="I11" s="8" t="s">
        <v>56</v>
      </c>
      <c r="J11" s="7" t="n">
        <v>2.8</v>
      </c>
      <c r="K11" s="8" t="s">
        <v>57</v>
      </c>
      <c r="L11" s="7" t="n">
        <f aca="false">IF(I11="","",IFERROR(VLOOKUP(I11,Datos_higro!$A$21:$B$28,2,0),""))</f>
        <v>0.88</v>
      </c>
      <c r="M11" s="9" t="str">
        <f aca="false">IF(OR(D11="",J11=""),"",IF(J11&lt;=G11,"CUMPLE","NO CUMPLE"))</f>
        <v>CUMPLE</v>
      </c>
    </row>
    <row r="12" customFormat="false" ht="69.75" hidden="false" customHeight="true" outlineLevel="0" collapsed="false">
      <c r="A12" s="8"/>
      <c r="B12" s="7"/>
      <c r="C12" s="7"/>
      <c r="D12" s="7" t="str">
        <f aca="false">IF(COUNT(B12,C12)&lt;2,"",B12*C12)</f>
        <v/>
      </c>
      <c r="E12" s="21"/>
      <c r="F12" s="22" t="str">
        <f aca="false">IF(OR(D12="",$E$7=""),"",D12/$E$7)</f>
        <v/>
      </c>
      <c r="G12" s="7" t="str">
        <f aca="false">IF(A12="","",Datos_higro!$B$4)</f>
        <v/>
      </c>
      <c r="H12" s="8"/>
      <c r="I12" s="8"/>
      <c r="J12" s="7"/>
      <c r="K12" s="8"/>
      <c r="L12" s="7" t="str">
        <f aca="false">IF(I12="","",IFERROR(VLOOKUP(I12,Datos_higro!$A$21:$B$28,2,0),""))</f>
        <v/>
      </c>
      <c r="M12" s="9" t="str">
        <f aca="false">IF(OR(D12="",J12=""),"",IF(J12&lt;=G12,"CUMPLE","NO CUMPLE"))</f>
        <v/>
      </c>
    </row>
    <row r="13" customFormat="false" ht="69.75" hidden="false" customHeight="true" outlineLevel="0" collapsed="false">
      <c r="A13" s="13"/>
      <c r="B13" s="12"/>
      <c r="C13" s="12"/>
      <c r="D13" s="12" t="str">
        <f aca="false">IF(COUNT(B13,C13)&lt;2,"",B13*C13)</f>
        <v/>
      </c>
      <c r="E13" s="21"/>
      <c r="F13" s="23" t="str">
        <f aca="false">IF(OR(D13="",$E$7=""),"",D13/$E$7)</f>
        <v/>
      </c>
      <c r="G13" s="12" t="str">
        <f aca="false">IF(A13="","",Datos_higro!$B$4)</f>
        <v/>
      </c>
      <c r="H13" s="13"/>
      <c r="I13" s="13"/>
      <c r="J13" s="12"/>
      <c r="K13" s="13"/>
      <c r="L13" s="12" t="str">
        <f aca="false">IF(I13="","",IFERROR(VLOOKUP(I13,Datos_higro!$A$21:$B$28,2,0),""))</f>
        <v/>
      </c>
      <c r="M13" s="14" t="str">
        <f aca="false">IF(OR(D13="",J13=""),"",IF(J13&lt;=G13,"CUMPLE","NO CUMPLE"))</f>
        <v/>
      </c>
    </row>
    <row r="14" customFormat="false" ht="39" hidden="false" customHeight="true" outlineLevel="0" collapsed="false">
      <c r="A14" s="3" t="s">
        <v>62</v>
      </c>
      <c r="B14" s="3"/>
      <c r="C14" s="3"/>
      <c r="D14" s="3"/>
      <c r="E14" s="3"/>
      <c r="F14" s="3"/>
      <c r="G14" s="3"/>
      <c r="H14" s="3"/>
      <c r="I14" s="3"/>
      <c r="J14" s="3"/>
      <c r="K14" s="3"/>
      <c r="L14" s="3"/>
      <c r="M14" s="3"/>
    </row>
    <row r="15" customFormat="false" ht="69.75" hidden="false" customHeight="true" outlineLevel="0" collapsed="false">
      <c r="A15" s="8" t="s">
        <v>63</v>
      </c>
      <c r="B15" s="7" t="n">
        <v>3</v>
      </c>
      <c r="C15" s="7" t="n">
        <v>1</v>
      </c>
      <c r="D15" s="7" t="n">
        <f aca="false">IF(COUNT(B15,C15)&lt;2,"",B15*C15)</f>
        <v>3</v>
      </c>
      <c r="E15" s="21" t="n">
        <f aca="false">SUM(D15:D21)</f>
        <v>19.77</v>
      </c>
      <c r="F15" s="22" t="n">
        <f aca="false">IF(OR(D15="",$E$15=""),"",D15/$E$15)</f>
        <v>0.151745068285281</v>
      </c>
      <c r="G15" s="7" t="n">
        <f aca="false">IF(A15="","",Datos_higro!$B$4)</f>
        <v>2.9</v>
      </c>
      <c r="H15" s="8" t="s">
        <v>55</v>
      </c>
      <c r="I15" s="8" t="s">
        <v>56</v>
      </c>
      <c r="J15" s="7" t="n">
        <v>2.8</v>
      </c>
      <c r="K15" s="8" t="s">
        <v>64</v>
      </c>
      <c r="L15" s="7" t="n">
        <f aca="false">IF(I15="","",IFERROR(VLOOKUP(I15,Datos_higro!$A$21:$B$28,2,0),""))</f>
        <v>0.88</v>
      </c>
      <c r="M15" s="9" t="str">
        <f aca="false">IF(OR(D15="",J15=""),"",IF(J15&lt;=G15,"CUMPLE","NO CUMPLE"))</f>
        <v>CUMPLE</v>
      </c>
    </row>
    <row r="16" customFormat="false" ht="69.75" hidden="false" customHeight="true" outlineLevel="0" collapsed="false">
      <c r="A16" s="8" t="s">
        <v>65</v>
      </c>
      <c r="B16" s="7" t="n">
        <v>3</v>
      </c>
      <c r="C16" s="7" t="n">
        <v>3.55</v>
      </c>
      <c r="D16" s="7" t="n">
        <f aca="false">IF(COUNT(B16,C16)&lt;2,"",B16*C16)</f>
        <v>10.65</v>
      </c>
      <c r="E16" s="21"/>
      <c r="F16" s="22" t="n">
        <f aca="false">IF(OR(D16="",$E$15=""),"",D16/$E$15)</f>
        <v>0.538694992412747</v>
      </c>
      <c r="G16" s="7" t="n">
        <f aca="false">IF(A16="","",Datos_higro!$B$4)</f>
        <v>2.9</v>
      </c>
      <c r="H16" s="8" t="s">
        <v>55</v>
      </c>
      <c r="I16" s="8" t="s">
        <v>56</v>
      </c>
      <c r="J16" s="7" t="n">
        <v>2.8</v>
      </c>
      <c r="K16" s="8" t="s">
        <v>64</v>
      </c>
      <c r="L16" s="7" t="n">
        <f aca="false">IF(I16="","",IFERROR(VLOOKUP(I16,Datos_higro!$A$21:$B$28,2,0),""))</f>
        <v>0.88</v>
      </c>
      <c r="M16" s="9" t="str">
        <f aca="false">IF(OR(D16="",J16=""),"",IF(J16&lt;=G16,"CUMPLE","NO CUMPLE"))</f>
        <v>CUMPLE</v>
      </c>
    </row>
    <row r="17" customFormat="false" ht="69.75" hidden="false" customHeight="true" outlineLevel="0" collapsed="false">
      <c r="A17" s="8" t="s">
        <v>66</v>
      </c>
      <c r="B17" s="7" t="n">
        <v>0.6</v>
      </c>
      <c r="C17" s="7" t="n">
        <v>2.7</v>
      </c>
      <c r="D17" s="7" t="n">
        <f aca="false">IF(COUNT(B17,C17)&lt;2,"",B17*C17)</f>
        <v>1.62</v>
      </c>
      <c r="E17" s="21"/>
      <c r="F17" s="22" t="n">
        <f aca="false">IF(OR(D17="",$E$15=""),"",D17/$E$15)</f>
        <v>0.0819423368740516</v>
      </c>
      <c r="G17" s="7" t="n">
        <f aca="false">IF(A17="","",Datos_higro!$B$4)</f>
        <v>2.9</v>
      </c>
      <c r="H17" s="8" t="s">
        <v>55</v>
      </c>
      <c r="I17" s="8" t="s">
        <v>56</v>
      </c>
      <c r="J17" s="7" t="n">
        <v>2.8</v>
      </c>
      <c r="K17" s="8" t="s">
        <v>64</v>
      </c>
      <c r="L17" s="7" t="n">
        <f aca="false">IF(I17="","",IFERROR(VLOOKUP(I17,Datos_higro!$A$21:$B$28,2,0),""))</f>
        <v>0.88</v>
      </c>
      <c r="M17" s="9" t="str">
        <f aca="false">IF(OR(D17="",J17=""),"",IF(J17&lt;=G17,"CUMPLE","NO CUMPLE"))</f>
        <v>CUMPLE</v>
      </c>
    </row>
    <row r="18" customFormat="false" ht="69.75" hidden="false" customHeight="true" outlineLevel="0" collapsed="false">
      <c r="A18" s="8" t="s">
        <v>67</v>
      </c>
      <c r="B18" s="7" t="n">
        <v>3</v>
      </c>
      <c r="C18" s="7" t="n">
        <v>0.75</v>
      </c>
      <c r="D18" s="7" t="n">
        <f aca="false">IF(COUNT(B18,C18)&lt;2,"",B18*C18)</f>
        <v>2.25</v>
      </c>
      <c r="E18" s="21"/>
      <c r="F18" s="22" t="n">
        <f aca="false">IF(OR(D18="",$E$15=""),"",D18/$E$15)</f>
        <v>0.113808801213961</v>
      </c>
      <c r="G18" s="7" t="n">
        <f aca="false">IF(A18="","",Datos_higro!$B$4)</f>
        <v>2.9</v>
      </c>
      <c r="H18" s="8" t="s">
        <v>55</v>
      </c>
      <c r="I18" s="8" t="s">
        <v>56</v>
      </c>
      <c r="J18" s="7" t="n">
        <v>2.8</v>
      </c>
      <c r="K18" s="8" t="s">
        <v>64</v>
      </c>
      <c r="L18" s="7" t="n">
        <f aca="false">IF(I18="","",IFERROR(VLOOKUP(I18,Datos_higro!$A$21:$B$28,2,0),""))</f>
        <v>0.88</v>
      </c>
      <c r="M18" s="9" t="str">
        <f aca="false">IF(OR(D18="",J18=""),"",IF(J18&lt;=G18,"CUMPLE","NO CUMPLE"))</f>
        <v>CUMPLE</v>
      </c>
    </row>
    <row r="19" customFormat="false" ht="69.75" hidden="false" customHeight="true" outlineLevel="0" collapsed="false">
      <c r="A19" s="8" t="s">
        <v>67</v>
      </c>
      <c r="B19" s="7" t="n">
        <v>3</v>
      </c>
      <c r="C19" s="7" t="n">
        <v>0.75</v>
      </c>
      <c r="D19" s="7" t="n">
        <f aca="false">IF(COUNT(B19,C19)&lt;2,"",B19*C19)</f>
        <v>2.25</v>
      </c>
      <c r="E19" s="21"/>
      <c r="F19" s="22" t="n">
        <f aca="false">IF(OR(D19="",$E$15=""),"",D19/$E$15)</f>
        <v>0.113808801213961</v>
      </c>
      <c r="G19" s="7" t="n">
        <f aca="false">IF(A19="","",Datos_higro!$B$4)</f>
        <v>2.9</v>
      </c>
      <c r="H19" s="8" t="s">
        <v>55</v>
      </c>
      <c r="I19" s="8" t="s">
        <v>56</v>
      </c>
      <c r="J19" s="7" t="n">
        <v>2.8</v>
      </c>
      <c r="K19" s="8" t="s">
        <v>64</v>
      </c>
      <c r="L19" s="7" t="n">
        <f aca="false">IF(I19="","",IFERROR(VLOOKUP(I19,Datos_higro!$A$21:$B$28,2,0),""))</f>
        <v>0.88</v>
      </c>
      <c r="M19" s="9" t="str">
        <f aca="false">IF(OR(D19="",J19=""),"",IF(J19&lt;=G19,"CUMPLE","NO CUMPLE"))</f>
        <v>CUMPLE</v>
      </c>
    </row>
    <row r="20" customFormat="false" ht="69.75" hidden="false" customHeight="true" outlineLevel="0" collapsed="false">
      <c r="A20" s="8"/>
      <c r="B20" s="7"/>
      <c r="C20" s="7"/>
      <c r="D20" s="7" t="str">
        <f aca="false">IF(COUNT(B20,C20)&lt;2,"",B20*C20)</f>
        <v/>
      </c>
      <c r="E20" s="21"/>
      <c r="F20" s="22" t="str">
        <f aca="false">IF(OR(D20="",$E$15=""),"",D20/$E$15)</f>
        <v/>
      </c>
      <c r="G20" s="7" t="str">
        <f aca="false">IF(A20="","",Datos_higro!$B$4)</f>
        <v/>
      </c>
      <c r="H20" s="8"/>
      <c r="I20" s="8"/>
      <c r="J20" s="7"/>
      <c r="K20" s="8"/>
      <c r="L20" s="7" t="str">
        <f aca="false">IF(I20="","",IFERROR(VLOOKUP(I20,Datos_higro!$A$21:$B$28,2,0),""))</f>
        <v/>
      </c>
      <c r="M20" s="9" t="str">
        <f aca="false">IF(OR(D20="",J20=""),"",IF(J20&lt;=G20,"CUMPLE","NO CUMPLE"))</f>
        <v/>
      </c>
    </row>
    <row r="21" customFormat="false" ht="69.75" hidden="false" customHeight="true" outlineLevel="0" collapsed="false">
      <c r="A21" s="13"/>
      <c r="B21" s="12"/>
      <c r="C21" s="12"/>
      <c r="D21" s="12" t="str">
        <f aca="false">IF(COUNT(B21,C21)&lt;2,"",B21*C21)</f>
        <v/>
      </c>
      <c r="E21" s="21"/>
      <c r="F21" s="23" t="str">
        <f aca="false">IF(OR(D21="",$E$15=""),"",D21/$E$15)</f>
        <v/>
      </c>
      <c r="G21" s="12" t="str">
        <f aca="false">IF(A21="","",Datos_higro!$B$4)</f>
        <v/>
      </c>
      <c r="H21" s="13"/>
      <c r="I21" s="13"/>
      <c r="J21" s="12"/>
      <c r="K21" s="13"/>
      <c r="L21" s="12" t="str">
        <f aca="false">IF(I21="","",IFERROR(VLOOKUP(I21,Datos_higro!$A$21:$B$28,2,0),""))</f>
        <v/>
      </c>
      <c r="M21" s="14" t="str">
        <f aca="false">IF(OR(D21="",J21=""),"",IF(J21&lt;=G21,"CUMPLE","NO CUMPLE"))</f>
        <v/>
      </c>
    </row>
    <row r="22" customFormat="false" ht="39" hidden="false" customHeight="true" outlineLevel="0" collapsed="false">
      <c r="A22" s="3" t="s">
        <v>68</v>
      </c>
      <c r="B22" s="3"/>
      <c r="C22" s="3"/>
      <c r="D22" s="3"/>
      <c r="E22" s="3"/>
      <c r="F22" s="3"/>
      <c r="G22" s="3"/>
      <c r="H22" s="3"/>
      <c r="I22" s="3"/>
      <c r="J22" s="3"/>
      <c r="K22" s="3"/>
      <c r="L22" s="3"/>
      <c r="M22" s="3"/>
    </row>
    <row r="23" customFormat="false" ht="69.75" hidden="false" customHeight="true" outlineLevel="0" collapsed="false">
      <c r="A23" s="8" t="s">
        <v>69</v>
      </c>
      <c r="B23" s="7" t="n">
        <v>3</v>
      </c>
      <c r="C23" s="7" t="n">
        <v>3.75</v>
      </c>
      <c r="D23" s="7" t="n">
        <f aca="false">IF(COUNT(B23,C23)&lt;2,"",B23*C23)</f>
        <v>11.25</v>
      </c>
      <c r="E23" s="21" t="n">
        <f aca="false">SUM(D23:D27)</f>
        <v>20.958</v>
      </c>
      <c r="F23" s="22" t="n">
        <f aca="false">IF(OR(D23="",$E$23=""),"",D23/$E$23)</f>
        <v>0.53678786143716</v>
      </c>
      <c r="G23" s="7" t="n">
        <f aca="false">IF(A23="","",Datos_higro!$B$4)</f>
        <v>2.9</v>
      </c>
      <c r="H23" s="8" t="s">
        <v>55</v>
      </c>
      <c r="I23" s="8" t="s">
        <v>56</v>
      </c>
      <c r="J23" s="7" t="n">
        <v>2.8</v>
      </c>
      <c r="K23" s="8" t="s">
        <v>70</v>
      </c>
      <c r="L23" s="7" t="n">
        <f aca="false">IF(I23="","",IFERROR(VLOOKUP(I23,Datos_higro!$A$21:$B$28,2,0),""))</f>
        <v>0.88</v>
      </c>
      <c r="M23" s="9" t="str">
        <f aca="false">IF(OR(D23="",J23=""),"",IF(J23&lt;=G23,"CUMPLE","NO CUMPLE"))</f>
        <v>CUMPLE</v>
      </c>
    </row>
    <row r="24" customFormat="false" ht="69.75" hidden="false" customHeight="true" outlineLevel="0" collapsed="false">
      <c r="A24" s="8" t="s">
        <v>71</v>
      </c>
      <c r="B24" s="7" t="n">
        <v>3</v>
      </c>
      <c r="C24" s="7" t="n">
        <v>2.06</v>
      </c>
      <c r="D24" s="7" t="n">
        <f aca="false">IF(COUNT(B24,C24)&lt;2,"",B24*C24)</f>
        <v>6.18</v>
      </c>
      <c r="E24" s="21"/>
      <c r="F24" s="22" t="n">
        <f aca="false">IF(OR(D24="",$E$23=""),"",D24/$E$23)</f>
        <v>0.294875465216147</v>
      </c>
      <c r="G24" s="7" t="n">
        <f aca="false">IF(A24="","",Datos_higro!$B$4)</f>
        <v>2.9</v>
      </c>
      <c r="H24" s="8" t="s">
        <v>55</v>
      </c>
      <c r="I24" s="8" t="s">
        <v>56</v>
      </c>
      <c r="J24" s="7" t="n">
        <v>2.8</v>
      </c>
      <c r="K24" s="8" t="s">
        <v>70</v>
      </c>
      <c r="L24" s="7" t="n">
        <f aca="false">IF(I24="","",IFERROR(VLOOKUP(I24,Datos_higro!$A$21:$B$28,2,0),""))</f>
        <v>0.88</v>
      </c>
      <c r="M24" s="9" t="str">
        <f aca="false">IF(OR(D24="",J24=""),"",IF(J24&lt;=G24,"CUMPLE","NO CUMPLE"))</f>
        <v>CUMPLE</v>
      </c>
    </row>
    <row r="25" customFormat="false" ht="69.75" hidden="false" customHeight="true" outlineLevel="0" collapsed="false">
      <c r="A25" s="8" t="s">
        <v>72</v>
      </c>
      <c r="B25" s="7" t="n">
        <v>2.52</v>
      </c>
      <c r="C25" s="7" t="n">
        <v>1.4</v>
      </c>
      <c r="D25" s="7" t="n">
        <f aca="false">IF(COUNT(B25,C25)&lt;2,"",B25*C25)</f>
        <v>3.528</v>
      </c>
      <c r="E25" s="21"/>
      <c r="F25" s="22" t="n">
        <f aca="false">IF(OR(D25="",$E$23=""),"",D25/$E$23)</f>
        <v>0.168336673346693</v>
      </c>
      <c r="G25" s="7" t="n">
        <f aca="false">IF(A25="","",Datos_higro!$B$4)</f>
        <v>2.9</v>
      </c>
      <c r="H25" s="8" t="s">
        <v>55</v>
      </c>
      <c r="I25" s="8" t="s">
        <v>56</v>
      </c>
      <c r="J25" s="7" t="n">
        <v>2.8</v>
      </c>
      <c r="K25" s="8" t="s">
        <v>70</v>
      </c>
      <c r="L25" s="7" t="n">
        <f aca="false">IF(I25="","",IFERROR(VLOOKUP(I25,Datos_higro!$A$21:$B$28,2,0),""))</f>
        <v>0.88</v>
      </c>
      <c r="M25" s="9" t="str">
        <f aca="false">IF(OR(D25="",J25=""),"",IF(J25&lt;=G25,"CUMPLE","NO CUMPLE"))</f>
        <v>CUMPLE</v>
      </c>
    </row>
    <row r="26" customFormat="false" ht="69.75" hidden="false" customHeight="true" outlineLevel="0" collapsed="false">
      <c r="A26" s="8"/>
      <c r="B26" s="7"/>
      <c r="C26" s="7"/>
      <c r="D26" s="7" t="str">
        <f aca="false">IF(COUNT(B26,C26)&lt;2,"",B26*C26)</f>
        <v/>
      </c>
      <c r="E26" s="21"/>
      <c r="F26" s="22" t="str">
        <f aca="false">IF(OR(D26="",$E$23=""),"",D26/$E$23)</f>
        <v/>
      </c>
      <c r="G26" s="7" t="str">
        <f aca="false">IF(A26="","",Datos_higro!$B$4)</f>
        <v/>
      </c>
      <c r="H26" s="8"/>
      <c r="I26" s="8"/>
      <c r="J26" s="7"/>
      <c r="K26" s="8"/>
      <c r="L26" s="7" t="str">
        <f aca="false">IF(I26="","",IFERROR(VLOOKUP(I26,Datos_higro!$A$21:$B$28,2,0),""))</f>
        <v/>
      </c>
      <c r="M26" s="9" t="str">
        <f aca="false">IF(OR(D26="",J26=""),"",IF(J26&lt;=G26,"CUMPLE","NO CUMPLE"))</f>
        <v/>
      </c>
    </row>
    <row r="27" customFormat="false" ht="69.75" hidden="false" customHeight="true" outlineLevel="0" collapsed="false">
      <c r="A27" s="13"/>
      <c r="B27" s="12"/>
      <c r="C27" s="12"/>
      <c r="D27" s="12" t="str">
        <f aca="false">IF(COUNT(B27,C27)&lt;2,"",B27*C27)</f>
        <v/>
      </c>
      <c r="E27" s="21"/>
      <c r="F27" s="23" t="str">
        <f aca="false">IF(OR(D27="",$E$23=""),"",D27/$E$23)</f>
        <v/>
      </c>
      <c r="G27" s="12" t="str">
        <f aca="false">IF(A27="","",Datos_higro!$B$4)</f>
        <v/>
      </c>
      <c r="H27" s="13"/>
      <c r="I27" s="13"/>
      <c r="J27" s="12"/>
      <c r="K27" s="13"/>
      <c r="L27" s="12" t="str">
        <f aca="false">IF(I27="","",IFERROR(VLOOKUP(I27,Datos_higro!$A$21:$B$28,2,0),""))</f>
        <v/>
      </c>
      <c r="M27" s="14" t="str">
        <f aca="false">IF(OR(D27="",J27=""),"",IF(J27&lt;=G27,"CUMPLE","NO CUMPLE"))</f>
        <v/>
      </c>
    </row>
    <row r="28" customFormat="false" ht="39" hidden="false" customHeight="true" outlineLevel="0" collapsed="false">
      <c r="A28" s="3" t="s">
        <v>73</v>
      </c>
      <c r="B28" s="3"/>
      <c r="C28" s="3"/>
      <c r="D28" s="3"/>
      <c r="E28" s="3"/>
      <c r="F28" s="3"/>
      <c r="G28" s="3"/>
      <c r="H28" s="3"/>
      <c r="I28" s="3"/>
      <c r="J28" s="3"/>
      <c r="K28" s="3"/>
      <c r="L28" s="3"/>
      <c r="M28" s="3"/>
    </row>
    <row r="29" customFormat="false" ht="69.75" hidden="false" customHeight="true" outlineLevel="0" collapsed="false">
      <c r="A29" s="8" t="s">
        <v>74</v>
      </c>
      <c r="B29" s="7" t="n">
        <v>3</v>
      </c>
      <c r="C29" s="7" t="n">
        <v>2.88</v>
      </c>
      <c r="D29" s="7" t="n">
        <f aca="false">IF(COUNT(B29,C29)&lt;2,"",B29*C29)</f>
        <v>8.64</v>
      </c>
      <c r="E29" s="21" t="n">
        <f aca="false">SUM(D29:D36)</f>
        <v>59.91</v>
      </c>
      <c r="F29" s="22" t="n">
        <f aca="false">IF(OR(D29="",$E$29=""),"",D29/$E$29)</f>
        <v>0.14421632448673</v>
      </c>
      <c r="G29" s="7" t="n">
        <f aca="false">IF(A29="","",Datos_higro!$B$4)</f>
        <v>2.9</v>
      </c>
      <c r="H29" s="8" t="s">
        <v>55</v>
      </c>
      <c r="I29" s="8" t="s">
        <v>56</v>
      </c>
      <c r="J29" s="7" t="n">
        <v>2.8</v>
      </c>
      <c r="K29" s="8" t="s">
        <v>75</v>
      </c>
      <c r="L29" s="7" t="n">
        <f aca="false">IF(I29="","",IFERROR(VLOOKUP(I29,Datos_higro!$A$21:$B$28,2,0),""))</f>
        <v>0.88</v>
      </c>
      <c r="M29" s="9" t="str">
        <f aca="false">IF(OR(D29="",J29=""),"",IF(J29&lt;=G29,"CUMPLE","NO CUMPLE"))</f>
        <v>CUMPLE</v>
      </c>
    </row>
    <row r="30" customFormat="false" ht="69.75" hidden="false" customHeight="true" outlineLevel="0" collapsed="false">
      <c r="A30" s="8" t="s">
        <v>65</v>
      </c>
      <c r="B30" s="7" t="n">
        <v>3</v>
      </c>
      <c r="C30" s="7" t="n">
        <v>3.55</v>
      </c>
      <c r="D30" s="7" t="n">
        <f aca="false">IF(COUNT(B30,C30)&lt;2,"",B30*C30)</f>
        <v>10.65</v>
      </c>
      <c r="E30" s="21"/>
      <c r="F30" s="22" t="n">
        <f aca="false">IF(OR(D30="",$E$29=""),"",D30/$E$29)</f>
        <v>0.177766649974962</v>
      </c>
      <c r="G30" s="7" t="n">
        <f aca="false">IF(A30="","",Datos_higro!$B$4)</f>
        <v>2.9</v>
      </c>
      <c r="H30" s="8" t="s">
        <v>55</v>
      </c>
      <c r="I30" s="8" t="s">
        <v>56</v>
      </c>
      <c r="J30" s="7" t="n">
        <v>2.8</v>
      </c>
      <c r="K30" s="8" t="s">
        <v>75</v>
      </c>
      <c r="L30" s="7" t="n">
        <f aca="false">IF(I30="","",IFERROR(VLOOKUP(I30,Datos_higro!$A$21:$B$28,2,0),""))</f>
        <v>0.88</v>
      </c>
      <c r="M30" s="9" t="str">
        <f aca="false">IF(OR(D30="",J30=""),"",IF(J30&lt;=G30,"CUMPLE","NO CUMPLE"))</f>
        <v>CUMPLE</v>
      </c>
    </row>
    <row r="31" customFormat="false" ht="69.75" hidden="false" customHeight="true" outlineLevel="0" collapsed="false">
      <c r="A31" s="8" t="s">
        <v>76</v>
      </c>
      <c r="B31" s="7" t="n">
        <v>3</v>
      </c>
      <c r="C31" s="7" t="n">
        <v>7.7</v>
      </c>
      <c r="D31" s="7" t="n">
        <f aca="false">IF(COUNT(B31,C31)&lt;2,"",B31*C31)</f>
        <v>23.1</v>
      </c>
      <c r="E31" s="21"/>
      <c r="F31" s="22" t="n">
        <f aca="false">IF(OR(D31="",$E$29=""),"",D31/$E$29)</f>
        <v>0.385578367551327</v>
      </c>
      <c r="G31" s="7" t="n">
        <f aca="false">IF(A31="","",Datos_higro!$B$4)</f>
        <v>2.9</v>
      </c>
      <c r="H31" s="8" t="s">
        <v>55</v>
      </c>
      <c r="I31" s="8" t="s">
        <v>56</v>
      </c>
      <c r="J31" s="7" t="n">
        <v>2.8</v>
      </c>
      <c r="K31" s="8" t="s">
        <v>75</v>
      </c>
      <c r="L31" s="7" t="n">
        <f aca="false">IF(I31="","",IFERROR(VLOOKUP(I31,Datos_higro!$A$21:$B$28,2,0),""))</f>
        <v>0.88</v>
      </c>
      <c r="M31" s="9" t="str">
        <f aca="false">IF(OR(D31="",J31=""),"",IF(J31&lt;=G31,"CUMPLE","NO CUMPLE"))</f>
        <v>CUMPLE</v>
      </c>
    </row>
    <row r="32" customFormat="false" ht="69.75" hidden="false" customHeight="true" outlineLevel="0" collapsed="false">
      <c r="A32" s="8" t="s">
        <v>77</v>
      </c>
      <c r="B32" s="7" t="n">
        <v>3</v>
      </c>
      <c r="C32" s="7" t="n">
        <v>2.48</v>
      </c>
      <c r="D32" s="7" t="n">
        <f aca="false">IF(COUNT(B32,C32)&lt;2,"",B32*C32)</f>
        <v>7.44</v>
      </c>
      <c r="E32" s="21"/>
      <c r="F32" s="22" t="n">
        <f aca="false">IF(OR(D32="",$E$29=""),"",D32/$E$29)</f>
        <v>0.124186279419129</v>
      </c>
      <c r="G32" s="7" t="n">
        <f aca="false">IF(A32="","",Datos_higro!$B$4)</f>
        <v>2.9</v>
      </c>
      <c r="H32" s="8" t="s">
        <v>55</v>
      </c>
      <c r="I32" s="8" t="s">
        <v>56</v>
      </c>
      <c r="J32" s="7" t="n">
        <v>2.8</v>
      </c>
      <c r="K32" s="8" t="s">
        <v>75</v>
      </c>
      <c r="L32" s="7" t="n">
        <f aca="false">IF(I32="","",IFERROR(VLOOKUP(I32,Datos_higro!$A$21:$B$28,2,0),""))</f>
        <v>0.88</v>
      </c>
      <c r="M32" s="9" t="str">
        <f aca="false">IF(OR(D32="",J32=""),"",IF(J32&lt;=G32,"CUMPLE","NO CUMPLE"))</f>
        <v>CUMPLE</v>
      </c>
    </row>
    <row r="33" customFormat="false" ht="69.75" hidden="false" customHeight="true" outlineLevel="0" collapsed="false">
      <c r="A33" s="8" t="s">
        <v>78</v>
      </c>
      <c r="B33" s="7" t="n">
        <v>2.52</v>
      </c>
      <c r="C33" s="7" t="n">
        <v>2</v>
      </c>
      <c r="D33" s="7" t="n">
        <f aca="false">IF(COUNT(B33,C33)&lt;2,"",B33*C33)</f>
        <v>5.04</v>
      </c>
      <c r="E33" s="21"/>
      <c r="F33" s="22" t="n">
        <f aca="false">IF(OR(D33="",$E$29=""),"",D33/$E$29)</f>
        <v>0.0841261892839259</v>
      </c>
      <c r="G33" s="7" t="n">
        <f aca="false">IF(A33="","",Datos_higro!$B$4)</f>
        <v>2.9</v>
      </c>
      <c r="H33" s="8" t="s">
        <v>55</v>
      </c>
      <c r="I33" s="8" t="s">
        <v>56</v>
      </c>
      <c r="J33" s="7" t="n">
        <v>2.8</v>
      </c>
      <c r="K33" s="8" t="s">
        <v>75</v>
      </c>
      <c r="L33" s="7" t="n">
        <f aca="false">IF(I33="","",IFERROR(VLOOKUP(I33,Datos_higro!$A$21:$B$28,2,0),""))</f>
        <v>0.88</v>
      </c>
      <c r="M33" s="9" t="str">
        <f aca="false">IF(OR(D33="",J33=""),"",IF(J33&lt;=G33,"CUMPLE","NO CUMPLE"))</f>
        <v>CUMPLE</v>
      </c>
    </row>
    <row r="34" customFormat="false" ht="69.75" hidden="false" customHeight="true" outlineLevel="0" collapsed="false">
      <c r="A34" s="8" t="s">
        <v>78</v>
      </c>
      <c r="B34" s="7" t="n">
        <v>2.52</v>
      </c>
      <c r="C34" s="7" t="n">
        <v>2</v>
      </c>
      <c r="D34" s="7" t="n">
        <f aca="false">IF(COUNT(B34,C34)&lt;2,"",B34*C34)</f>
        <v>5.04</v>
      </c>
      <c r="E34" s="21"/>
      <c r="F34" s="22" t="n">
        <f aca="false">IF(OR(D34="",$E$29=""),"",D34/$E$29)</f>
        <v>0.0841261892839259</v>
      </c>
      <c r="G34" s="7" t="n">
        <f aca="false">IF(A34="","",Datos_higro!$B$4)</f>
        <v>2.9</v>
      </c>
      <c r="H34" s="8" t="s">
        <v>55</v>
      </c>
      <c r="I34" s="8" t="s">
        <v>56</v>
      </c>
      <c r="J34" s="7" t="n">
        <v>2.8</v>
      </c>
      <c r="K34" s="8" t="s">
        <v>75</v>
      </c>
      <c r="L34" s="7" t="n">
        <f aca="false">IF(I34="","",IFERROR(VLOOKUP(I34,Datos_higro!$A$21:$B$28,2,0),""))</f>
        <v>0.88</v>
      </c>
      <c r="M34" s="9" t="str">
        <f aca="false">IF(OR(D34="",J34=""),"",IF(J34&lt;=G34,"CUMPLE","NO CUMPLE"))</f>
        <v>CUMPLE</v>
      </c>
    </row>
    <row r="35" customFormat="false" ht="69.75" hidden="false" customHeight="true" outlineLevel="0" collapsed="false">
      <c r="A35" s="8"/>
      <c r="B35" s="7"/>
      <c r="C35" s="7"/>
      <c r="D35" s="7" t="str">
        <f aca="false">IF(COUNT(B35,C35)&lt;2,"",B35*C35)</f>
        <v/>
      </c>
      <c r="E35" s="21"/>
      <c r="F35" s="22" t="str">
        <f aca="false">IF(OR(D35="",$E$29=""),"",D35/$E$29)</f>
        <v/>
      </c>
      <c r="G35" s="7" t="str">
        <f aca="false">IF(A35="","",Datos_higro!$B$4)</f>
        <v/>
      </c>
      <c r="H35" s="8"/>
      <c r="I35" s="8"/>
      <c r="J35" s="7"/>
      <c r="K35" s="8"/>
      <c r="L35" s="7" t="str">
        <f aca="false">IF(I35="","",IFERROR(VLOOKUP(I35,Datos_higro!$A$21:$B$28,2,0),""))</f>
        <v/>
      </c>
      <c r="M35" s="9" t="str">
        <f aca="false">IF(OR(D35="",J35=""),"",IF(J35&lt;=G35,"CUMPLE","NO CUMPLE"))</f>
        <v/>
      </c>
    </row>
    <row r="36" customFormat="false" ht="69.75" hidden="false" customHeight="true" outlineLevel="0" collapsed="false">
      <c r="A36" s="13"/>
      <c r="B36" s="12"/>
      <c r="C36" s="12"/>
      <c r="D36" s="12" t="str">
        <f aca="false">IF(COUNT(B36,C36)&lt;2,"",B36*C36)</f>
        <v/>
      </c>
      <c r="E36" s="21"/>
      <c r="F36" s="23" t="str">
        <f aca="false">IF(OR(D36="",$E$29=""),"",D36/$E$29)</f>
        <v/>
      </c>
      <c r="G36" s="12" t="str">
        <f aca="false">IF(A36="","",Datos_higro!$B$4)</f>
        <v/>
      </c>
      <c r="H36" s="13"/>
      <c r="I36" s="13"/>
      <c r="J36" s="12"/>
      <c r="K36" s="13"/>
      <c r="L36" s="12" t="str">
        <f aca="false">IF(I36="","",IFERROR(VLOOKUP(I36,Datos_higro!$A$21:$B$28,2,0),""))</f>
        <v/>
      </c>
      <c r="M36" s="14" t="str">
        <f aca="false">IF(OR(D36="",J36=""),"",IF(J36&lt;=G36,"CUMPLE","NO CUMPLE"))</f>
        <v/>
      </c>
    </row>
    <row r="37" customFormat="false" ht="15" hidden="false" customHeight="false" outlineLevel="0" collapsed="false">
      <c r="A37" s="16" t="s">
        <v>79</v>
      </c>
      <c r="B37" s="24"/>
      <c r="C37" s="24"/>
      <c r="D37" s="24"/>
      <c r="E37" s="24"/>
      <c r="F37" s="24"/>
      <c r="G37" s="24"/>
      <c r="H37" s="24"/>
      <c r="I37" s="24"/>
      <c r="J37" s="24"/>
      <c r="K37" s="24"/>
      <c r="L37" s="24"/>
      <c r="M37" s="24"/>
    </row>
    <row r="38" customFormat="false" ht="39" hidden="false" customHeight="true" outlineLevel="0" collapsed="false">
      <c r="A38" s="25" t="s">
        <v>80</v>
      </c>
      <c r="B38" s="24"/>
      <c r="C38" s="24"/>
      <c r="D38" s="24"/>
      <c r="E38" s="24"/>
      <c r="F38" s="24"/>
      <c r="G38" s="24"/>
      <c r="H38" s="24"/>
      <c r="I38" s="24"/>
      <c r="J38" s="24"/>
      <c r="K38" s="24"/>
      <c r="L38" s="24"/>
      <c r="M38" s="24"/>
    </row>
    <row r="39" customFormat="false" ht="39" hidden="false" customHeight="true" outlineLevel="0" collapsed="false">
      <c r="A39" s="26" t="s">
        <v>81</v>
      </c>
      <c r="B39" s="24"/>
      <c r="C39" s="24"/>
      <c r="D39" s="24"/>
      <c r="E39" s="24"/>
      <c r="F39" s="24"/>
      <c r="G39" s="24"/>
      <c r="H39" s="24"/>
      <c r="I39" s="24"/>
      <c r="J39" s="24"/>
      <c r="K39" s="24"/>
      <c r="L39" s="24"/>
      <c r="M39" s="24"/>
    </row>
    <row r="40" customFormat="false" ht="39" hidden="false" customHeight="true" outlineLevel="0" collapsed="false">
      <c r="A40" s="26" t="s">
        <v>82</v>
      </c>
      <c r="B40" s="24"/>
      <c r="C40" s="24"/>
      <c r="D40" s="24"/>
      <c r="E40" s="24"/>
      <c r="F40" s="24"/>
      <c r="G40" s="24"/>
      <c r="H40" s="24"/>
      <c r="I40" s="24"/>
      <c r="J40" s="24"/>
      <c r="K40" s="24"/>
      <c r="L40" s="24"/>
      <c r="M40" s="24"/>
    </row>
    <row r="41" customFormat="false" ht="39" hidden="false" customHeight="true" outlineLevel="0" collapsed="false">
      <c r="A41" s="26" t="s">
        <v>83</v>
      </c>
      <c r="B41" s="24"/>
      <c r="C41" s="24"/>
      <c r="D41" s="24"/>
      <c r="E41" s="24"/>
      <c r="F41" s="24"/>
      <c r="G41" s="24"/>
      <c r="H41" s="24"/>
      <c r="I41" s="24"/>
      <c r="J41" s="24"/>
      <c r="K41" s="24"/>
      <c r="L41" s="24"/>
      <c r="M41" s="24"/>
    </row>
    <row r="42" customFormat="false" ht="39" hidden="false" customHeight="true" outlineLevel="0" collapsed="false">
      <c r="A42" s="26" t="s">
        <v>84</v>
      </c>
      <c r="B42" s="24"/>
      <c r="C42" s="24"/>
      <c r="D42" s="24"/>
      <c r="E42" s="24"/>
      <c r="F42" s="24"/>
      <c r="G42" s="24"/>
      <c r="H42" s="24"/>
      <c r="I42" s="24"/>
      <c r="J42" s="24"/>
      <c r="K42" s="24"/>
      <c r="L42" s="24"/>
      <c r="M42" s="24"/>
    </row>
    <row r="43" customFormat="false" ht="39" hidden="false" customHeight="true" outlineLevel="0" collapsed="false">
      <c r="A43" s="26" t="s">
        <v>85</v>
      </c>
      <c r="B43" s="24"/>
      <c r="C43" s="24"/>
      <c r="D43" s="24"/>
      <c r="E43" s="24"/>
      <c r="F43" s="24"/>
      <c r="G43" s="24"/>
      <c r="H43" s="24"/>
      <c r="I43" s="24"/>
      <c r="J43" s="24"/>
      <c r="K43" s="24"/>
      <c r="L43" s="24"/>
      <c r="M43" s="24"/>
    </row>
    <row r="44" customFormat="false" ht="39" hidden="false" customHeight="true" outlineLevel="0" collapsed="false">
      <c r="A44" s="26" t="s">
        <v>86</v>
      </c>
      <c r="B44" s="24"/>
      <c r="C44" s="24"/>
      <c r="D44" s="24"/>
      <c r="E44" s="24"/>
      <c r="F44" s="24"/>
      <c r="G44" s="24"/>
      <c r="H44" s="24"/>
      <c r="I44" s="24"/>
      <c r="J44" s="24"/>
      <c r="K44" s="24"/>
      <c r="L44" s="24"/>
      <c r="M44" s="24"/>
    </row>
    <row r="45" customFormat="false" ht="39" hidden="false" customHeight="true" outlineLevel="0" collapsed="false">
      <c r="A45" s="26" t="s">
        <v>87</v>
      </c>
      <c r="B45" s="24"/>
      <c r="C45" s="24"/>
      <c r="D45" s="24"/>
      <c r="E45" s="24"/>
      <c r="F45" s="24"/>
      <c r="G45" s="24"/>
      <c r="H45" s="24"/>
      <c r="I45" s="24"/>
      <c r="J45" s="24"/>
      <c r="K45" s="24"/>
      <c r="L45" s="24"/>
      <c r="M45" s="24"/>
    </row>
    <row r="46" customFormat="false" ht="39" hidden="false" customHeight="true" outlineLevel="0" collapsed="false">
      <c r="A46" s="26" t="s">
        <v>88</v>
      </c>
      <c r="B46" s="24"/>
      <c r="C46" s="24"/>
      <c r="D46" s="24"/>
      <c r="E46" s="24"/>
      <c r="F46" s="24"/>
      <c r="G46" s="24"/>
      <c r="H46" s="24"/>
      <c r="I46" s="24"/>
      <c r="J46" s="24"/>
      <c r="K46" s="24"/>
      <c r="L46" s="24"/>
      <c r="M46" s="24"/>
    </row>
    <row r="47" customFormat="false" ht="15" hidden="false" customHeight="false" outlineLevel="0" collapsed="false">
      <c r="A47" s="26"/>
      <c r="B47" s="24"/>
      <c r="C47" s="24"/>
      <c r="D47" s="24"/>
      <c r="E47" s="24"/>
      <c r="F47" s="24"/>
      <c r="G47" s="24"/>
      <c r="H47" s="24"/>
      <c r="I47" s="24"/>
      <c r="J47" s="24"/>
      <c r="K47" s="24"/>
      <c r="L47" s="24"/>
      <c r="M47" s="24"/>
    </row>
    <row r="48" customFormat="false" ht="39" hidden="false" customHeight="true" outlineLevel="0" collapsed="false">
      <c r="A48" s="26" t="s">
        <v>89</v>
      </c>
      <c r="B48" s="24"/>
      <c r="C48" s="24"/>
      <c r="D48" s="24"/>
      <c r="E48" s="24"/>
      <c r="F48" s="24"/>
      <c r="G48" s="24"/>
      <c r="H48" s="24"/>
      <c r="I48" s="24"/>
      <c r="J48" s="24"/>
      <c r="K48" s="24"/>
      <c r="L48" s="24"/>
      <c r="M48" s="24"/>
    </row>
    <row r="49" customFormat="false" ht="39" hidden="false" customHeight="true" outlineLevel="0" collapsed="false">
      <c r="A49" s="26" t="s">
        <v>90</v>
      </c>
      <c r="B49" s="24"/>
      <c r="C49" s="24"/>
      <c r="D49" s="24"/>
      <c r="E49" s="24"/>
      <c r="F49" s="24"/>
      <c r="G49" s="24"/>
      <c r="H49" s="24"/>
      <c r="I49" s="24"/>
      <c r="J49" s="24"/>
      <c r="K49" s="24"/>
      <c r="L49" s="24"/>
      <c r="M49" s="24"/>
    </row>
    <row r="50" customFormat="false" ht="39" hidden="false" customHeight="true" outlineLevel="0" collapsed="false">
      <c r="A50" s="26" t="s">
        <v>91</v>
      </c>
      <c r="B50" s="24"/>
      <c r="C50" s="24"/>
      <c r="D50" s="24"/>
      <c r="E50" s="24"/>
      <c r="F50" s="24"/>
      <c r="G50" s="24"/>
      <c r="H50" s="24"/>
      <c r="I50" s="24"/>
      <c r="J50" s="24"/>
      <c r="K50" s="24"/>
      <c r="L50" s="24"/>
      <c r="M50" s="24"/>
    </row>
    <row r="51" customFormat="false" ht="39" hidden="false" customHeight="true" outlineLevel="0" collapsed="false">
      <c r="A51" s="26" t="s">
        <v>92</v>
      </c>
      <c r="B51" s="24"/>
      <c r="C51" s="24"/>
      <c r="D51" s="24"/>
      <c r="E51" s="24"/>
      <c r="F51" s="24"/>
      <c r="G51" s="24"/>
      <c r="H51" s="24"/>
      <c r="I51" s="24"/>
      <c r="J51" s="24"/>
      <c r="K51" s="24"/>
      <c r="L51" s="24"/>
      <c r="M51" s="24"/>
    </row>
    <row r="52" customFormat="false" ht="39" hidden="false" customHeight="true" outlineLevel="0" collapsed="false">
      <c r="A52" s="26" t="s">
        <v>93</v>
      </c>
      <c r="B52" s="24"/>
      <c r="C52" s="24"/>
      <c r="D52" s="24"/>
      <c r="E52" s="24"/>
      <c r="F52" s="24"/>
      <c r="G52" s="24"/>
      <c r="H52" s="24"/>
      <c r="I52" s="24"/>
      <c r="J52" s="24"/>
      <c r="K52" s="24"/>
      <c r="L52" s="24"/>
      <c r="M52" s="24"/>
    </row>
    <row r="53" customFormat="false" ht="39" hidden="false" customHeight="true" outlineLevel="0" collapsed="false">
      <c r="A53" s="26" t="s">
        <v>94</v>
      </c>
      <c r="B53" s="24"/>
      <c r="C53" s="24"/>
      <c r="D53" s="24"/>
      <c r="E53" s="24"/>
      <c r="F53" s="24"/>
      <c r="G53" s="24"/>
      <c r="H53" s="24"/>
      <c r="I53" s="24"/>
      <c r="J53" s="24"/>
      <c r="K53" s="24"/>
      <c r="L53" s="24"/>
      <c r="M53" s="24"/>
    </row>
    <row r="54" customFormat="false" ht="39" hidden="false" customHeight="true" outlineLevel="0" collapsed="false">
      <c r="A54" s="26" t="s">
        <v>95</v>
      </c>
      <c r="B54" s="24"/>
      <c r="C54" s="24"/>
      <c r="D54" s="24"/>
      <c r="E54" s="24"/>
      <c r="F54" s="24"/>
      <c r="G54" s="24"/>
      <c r="H54" s="24"/>
      <c r="I54" s="24"/>
      <c r="J54" s="24"/>
      <c r="K54" s="24"/>
      <c r="L54" s="24"/>
      <c r="M54" s="24"/>
    </row>
    <row r="55" customFormat="false" ht="15" hidden="false" customHeight="false" outlineLevel="0" collapsed="false">
      <c r="A55" s="26"/>
      <c r="B55" s="24"/>
      <c r="C55" s="24"/>
      <c r="D55" s="24"/>
      <c r="E55" s="24"/>
      <c r="F55" s="24"/>
      <c r="G55" s="24"/>
      <c r="H55" s="24"/>
      <c r="I55" s="24"/>
      <c r="J55" s="24"/>
      <c r="K55" s="24"/>
      <c r="L55" s="24"/>
      <c r="M55" s="24"/>
    </row>
    <row r="56" customFormat="false" ht="39" hidden="false" customHeight="true" outlineLevel="0" collapsed="false">
      <c r="A56" s="26" t="s">
        <v>96</v>
      </c>
      <c r="B56" s="24"/>
      <c r="C56" s="24"/>
      <c r="D56" s="24"/>
      <c r="E56" s="24"/>
      <c r="F56" s="24"/>
      <c r="G56" s="24"/>
      <c r="H56" s="24"/>
      <c r="I56" s="24"/>
      <c r="J56" s="24"/>
      <c r="K56" s="24"/>
      <c r="L56" s="24"/>
      <c r="M56" s="24"/>
    </row>
    <row r="57" customFormat="false" ht="39" hidden="false" customHeight="true" outlineLevel="0" collapsed="false">
      <c r="A57" s="26" t="s">
        <v>97</v>
      </c>
      <c r="B57" s="24"/>
      <c r="C57" s="24"/>
      <c r="D57" s="24"/>
      <c r="E57" s="24"/>
      <c r="F57" s="24"/>
      <c r="G57" s="24"/>
      <c r="H57" s="24"/>
      <c r="I57" s="24"/>
      <c r="J57" s="24"/>
      <c r="K57" s="24"/>
      <c r="L57" s="24"/>
      <c r="M57" s="24"/>
    </row>
    <row r="58" customFormat="false" ht="39" hidden="false" customHeight="true" outlineLevel="0" collapsed="false">
      <c r="A58" s="26" t="s">
        <v>98</v>
      </c>
      <c r="B58" s="24"/>
      <c r="C58" s="24"/>
      <c r="D58" s="24"/>
      <c r="E58" s="24"/>
      <c r="F58" s="24"/>
      <c r="G58" s="24"/>
      <c r="H58" s="24"/>
      <c r="I58" s="24"/>
      <c r="J58" s="24"/>
      <c r="K58" s="24"/>
      <c r="L58" s="24"/>
      <c r="M58" s="24"/>
    </row>
    <row r="59" customFormat="false" ht="39" hidden="false" customHeight="true" outlineLevel="0" collapsed="false">
      <c r="A59" s="26" t="s">
        <v>99</v>
      </c>
      <c r="B59" s="24"/>
      <c r="C59" s="24"/>
      <c r="D59" s="24"/>
      <c r="E59" s="24"/>
      <c r="F59" s="24"/>
      <c r="G59" s="24"/>
      <c r="H59" s="24"/>
      <c r="I59" s="24"/>
      <c r="J59" s="24"/>
      <c r="K59" s="24"/>
      <c r="L59" s="24"/>
      <c r="M59" s="24"/>
    </row>
    <row r="60" customFormat="false" ht="39" hidden="false" customHeight="true" outlineLevel="0" collapsed="false">
      <c r="A60" s="26" t="s">
        <v>100</v>
      </c>
      <c r="B60" s="24"/>
      <c r="C60" s="24"/>
      <c r="D60" s="24"/>
      <c r="E60" s="24"/>
      <c r="F60" s="24"/>
      <c r="G60" s="24"/>
      <c r="H60" s="24"/>
      <c r="I60" s="24"/>
      <c r="J60" s="24"/>
      <c r="K60" s="24"/>
      <c r="L60" s="24"/>
      <c r="M60" s="24"/>
    </row>
    <row r="61" customFormat="false" ht="15" hidden="false" customHeight="false" outlineLevel="0" collapsed="false">
      <c r="A61" s="26"/>
      <c r="B61" s="24"/>
      <c r="C61" s="24"/>
      <c r="D61" s="24"/>
      <c r="E61" s="24"/>
      <c r="F61" s="24"/>
      <c r="G61" s="24"/>
      <c r="H61" s="24"/>
      <c r="I61" s="24"/>
      <c r="J61" s="24"/>
      <c r="K61" s="24"/>
      <c r="L61" s="24"/>
      <c r="M61" s="24"/>
    </row>
    <row r="62" customFormat="false" ht="39" hidden="false" customHeight="true" outlineLevel="0" collapsed="false">
      <c r="A62" s="26" t="s">
        <v>101</v>
      </c>
      <c r="B62" s="24"/>
      <c r="C62" s="24"/>
      <c r="D62" s="24"/>
      <c r="E62" s="24"/>
      <c r="F62" s="24"/>
      <c r="G62" s="24"/>
      <c r="H62" s="24"/>
      <c r="I62" s="24"/>
      <c r="J62" s="24"/>
      <c r="K62" s="24"/>
      <c r="L62" s="24"/>
      <c r="M62" s="24"/>
    </row>
    <row r="63" customFormat="false" ht="39" hidden="false" customHeight="true" outlineLevel="0" collapsed="false">
      <c r="A63" s="26" t="s">
        <v>102</v>
      </c>
      <c r="B63" s="24"/>
      <c r="C63" s="24"/>
      <c r="D63" s="24"/>
      <c r="E63" s="24"/>
      <c r="F63" s="24"/>
      <c r="G63" s="24"/>
      <c r="H63" s="24"/>
      <c r="I63" s="24"/>
      <c r="J63" s="24"/>
      <c r="K63" s="24"/>
      <c r="L63" s="24"/>
      <c r="M63" s="24"/>
    </row>
    <row r="64" customFormat="false" ht="15" hidden="false" customHeight="false" outlineLevel="0" collapsed="false">
      <c r="A64" s="26"/>
      <c r="B64" s="24"/>
      <c r="C64" s="24"/>
      <c r="D64" s="24"/>
      <c r="E64" s="24"/>
      <c r="F64" s="24"/>
      <c r="G64" s="24"/>
      <c r="H64" s="24"/>
      <c r="I64" s="24"/>
      <c r="J64" s="24"/>
      <c r="K64" s="24"/>
      <c r="L64" s="24"/>
      <c r="M64" s="24"/>
    </row>
    <row r="65" customFormat="false" ht="39" hidden="false" customHeight="true" outlineLevel="0" collapsed="false">
      <c r="A65" s="26" t="s">
        <v>103</v>
      </c>
      <c r="B65" s="24"/>
      <c r="C65" s="24"/>
      <c r="D65" s="24"/>
      <c r="E65" s="24"/>
      <c r="F65" s="24"/>
      <c r="G65" s="24"/>
      <c r="H65" s="24"/>
      <c r="I65" s="24"/>
      <c r="J65" s="24"/>
      <c r="K65" s="24"/>
      <c r="L65" s="24"/>
      <c r="M65" s="24"/>
    </row>
    <row r="66" customFormat="false" ht="39" hidden="false" customHeight="true" outlineLevel="0" collapsed="false">
      <c r="A66" s="26" t="s">
        <v>104</v>
      </c>
      <c r="B66" s="24"/>
      <c r="C66" s="24"/>
      <c r="D66" s="24"/>
      <c r="E66" s="24"/>
      <c r="F66" s="24"/>
      <c r="G66" s="24"/>
      <c r="H66" s="24"/>
      <c r="I66" s="24"/>
      <c r="J66" s="24"/>
      <c r="K66" s="24"/>
      <c r="L66" s="24"/>
      <c r="M66" s="24"/>
    </row>
    <row r="67" customFormat="false" ht="39" hidden="false" customHeight="true" outlineLevel="0" collapsed="false">
      <c r="A67" s="26" t="s">
        <v>105</v>
      </c>
      <c r="B67" s="24"/>
      <c r="C67" s="24"/>
      <c r="D67" s="24"/>
      <c r="E67" s="24"/>
      <c r="F67" s="24"/>
      <c r="G67" s="24"/>
      <c r="H67" s="24"/>
      <c r="I67" s="24"/>
      <c r="J67" s="24"/>
      <c r="K67" s="24"/>
      <c r="L67" s="24"/>
      <c r="M67" s="24"/>
    </row>
    <row r="68" customFormat="false" ht="39" hidden="false" customHeight="true" outlineLevel="0" collapsed="false">
      <c r="A68" s="26" t="s">
        <v>106</v>
      </c>
      <c r="B68" s="24"/>
      <c r="C68" s="24"/>
      <c r="D68" s="24"/>
      <c r="E68" s="24"/>
      <c r="F68" s="24"/>
      <c r="G68" s="24"/>
      <c r="H68" s="24"/>
      <c r="I68" s="24"/>
      <c r="J68" s="24"/>
      <c r="K68" s="24"/>
      <c r="L68" s="24"/>
      <c r="M68" s="24"/>
    </row>
    <row r="69" customFormat="false" ht="39" hidden="false" customHeight="true" outlineLevel="0" collapsed="false">
      <c r="A69" s="26" t="s">
        <v>107</v>
      </c>
      <c r="B69" s="24"/>
      <c r="C69" s="24"/>
      <c r="D69" s="24"/>
      <c r="E69" s="24"/>
      <c r="F69" s="24"/>
      <c r="G69" s="24"/>
      <c r="H69" s="24"/>
      <c r="I69" s="24"/>
      <c r="J69" s="24"/>
      <c r="K69" s="24"/>
      <c r="L69" s="24"/>
      <c r="M69" s="24"/>
    </row>
    <row r="70" customFormat="false" ht="39" hidden="false" customHeight="true" outlineLevel="0" collapsed="false">
      <c r="A70" s="26" t="s">
        <v>108</v>
      </c>
      <c r="B70" s="24"/>
      <c r="C70" s="24"/>
      <c r="D70" s="24"/>
      <c r="E70" s="24"/>
      <c r="F70" s="24"/>
      <c r="G70" s="24"/>
      <c r="H70" s="24"/>
      <c r="I70" s="24"/>
      <c r="J70" s="24"/>
      <c r="K70" s="24"/>
      <c r="L70" s="24"/>
      <c r="M70" s="24"/>
    </row>
    <row r="71" customFormat="false" ht="39" hidden="false" customHeight="true" outlineLevel="0" collapsed="false">
      <c r="A71" s="26" t="s">
        <v>109</v>
      </c>
      <c r="B71" s="24"/>
      <c r="C71" s="24"/>
      <c r="D71" s="24"/>
      <c r="E71" s="24"/>
      <c r="F71" s="24"/>
      <c r="G71" s="24"/>
      <c r="H71" s="24"/>
      <c r="I71" s="24"/>
      <c r="J71" s="24"/>
      <c r="K71" s="24"/>
      <c r="L71" s="24"/>
      <c r="M71" s="24"/>
    </row>
    <row r="72" customFormat="false" ht="39" hidden="false" customHeight="true" outlineLevel="0" collapsed="false">
      <c r="A72" s="26" t="s">
        <v>110</v>
      </c>
      <c r="B72" s="24"/>
      <c r="C72" s="24"/>
      <c r="D72" s="24"/>
      <c r="E72" s="24"/>
      <c r="F72" s="24"/>
      <c r="G72" s="24"/>
      <c r="H72" s="24"/>
      <c r="I72" s="24"/>
      <c r="J72" s="24"/>
      <c r="K72" s="24"/>
      <c r="L72" s="24"/>
      <c r="M72" s="24"/>
    </row>
    <row r="73" customFormat="false" ht="15" hidden="false" customHeight="false" outlineLevel="0" collapsed="false">
      <c r="A73" s="26"/>
      <c r="B73" s="24"/>
      <c r="C73" s="24"/>
      <c r="D73" s="24"/>
      <c r="E73" s="24"/>
      <c r="F73" s="24"/>
      <c r="G73" s="24"/>
      <c r="H73" s="24"/>
      <c r="I73" s="24"/>
      <c r="J73" s="24"/>
      <c r="K73" s="24"/>
      <c r="L73" s="24"/>
      <c r="M73" s="24"/>
    </row>
    <row r="74" customFormat="false" ht="39" hidden="false" customHeight="true" outlineLevel="0" collapsed="false">
      <c r="A74" s="26" t="s">
        <v>111</v>
      </c>
      <c r="B74" s="24"/>
      <c r="C74" s="24"/>
      <c r="D74" s="24"/>
      <c r="E74" s="24"/>
      <c r="F74" s="24"/>
      <c r="G74" s="24"/>
      <c r="H74" s="24"/>
      <c r="I74" s="24"/>
      <c r="J74" s="24"/>
      <c r="K74" s="24"/>
      <c r="L74" s="24"/>
      <c r="M74" s="24"/>
    </row>
    <row r="75" customFormat="false" ht="39" hidden="false" customHeight="true" outlineLevel="0" collapsed="false">
      <c r="A75" s="26" t="s">
        <v>112</v>
      </c>
      <c r="B75" s="24"/>
      <c r="C75" s="24"/>
      <c r="D75" s="24"/>
      <c r="E75" s="24"/>
      <c r="F75" s="24"/>
      <c r="G75" s="24"/>
      <c r="H75" s="24"/>
      <c r="I75" s="24"/>
      <c r="J75" s="24"/>
      <c r="K75" s="24"/>
      <c r="L75" s="24"/>
      <c r="M75" s="24"/>
    </row>
    <row r="76" customFormat="false" ht="39" hidden="false" customHeight="true" outlineLevel="0" collapsed="false">
      <c r="A76" s="26" t="s">
        <v>113</v>
      </c>
      <c r="B76" s="24"/>
      <c r="C76" s="24"/>
      <c r="D76" s="24"/>
      <c r="E76" s="24"/>
      <c r="F76" s="24"/>
      <c r="G76" s="24"/>
      <c r="H76" s="24"/>
      <c r="I76" s="24"/>
      <c r="J76" s="24"/>
      <c r="K76" s="24"/>
      <c r="L76" s="24"/>
      <c r="M76" s="24"/>
    </row>
    <row r="77" customFormat="false" ht="39" hidden="false" customHeight="true" outlineLevel="0" collapsed="false">
      <c r="A77" s="26" t="s">
        <v>114</v>
      </c>
      <c r="B77" s="24"/>
      <c r="C77" s="24"/>
      <c r="D77" s="24"/>
      <c r="E77" s="24"/>
      <c r="F77" s="24"/>
      <c r="G77" s="24"/>
      <c r="H77" s="24"/>
      <c r="I77" s="24"/>
      <c r="J77" s="24"/>
      <c r="K77" s="24"/>
      <c r="L77" s="24"/>
      <c r="M77" s="24"/>
    </row>
    <row r="78" customFormat="false" ht="39" hidden="false" customHeight="true" outlineLevel="0" collapsed="false">
      <c r="A78" s="26" t="s">
        <v>115</v>
      </c>
      <c r="B78" s="24"/>
      <c r="C78" s="24"/>
      <c r="D78" s="24"/>
      <c r="E78" s="24"/>
      <c r="F78" s="24"/>
      <c r="G78" s="24"/>
      <c r="H78" s="24"/>
      <c r="I78" s="24"/>
      <c r="J78" s="24"/>
      <c r="K78" s="24"/>
      <c r="L78" s="24"/>
      <c r="M78" s="24"/>
    </row>
    <row r="79" customFormat="false" ht="39" hidden="false" customHeight="true" outlineLevel="0" collapsed="false">
      <c r="A79" s="26" t="s">
        <v>116</v>
      </c>
      <c r="B79" s="24"/>
      <c r="C79" s="24"/>
      <c r="D79" s="24"/>
      <c r="E79" s="24"/>
      <c r="F79" s="24"/>
      <c r="G79" s="24"/>
      <c r="H79" s="24"/>
      <c r="I79" s="24"/>
      <c r="J79" s="24"/>
      <c r="K79" s="24"/>
      <c r="L79" s="24"/>
      <c r="M79" s="24"/>
    </row>
    <row r="80" customFormat="false" ht="39" hidden="false" customHeight="true" outlineLevel="0" collapsed="false">
      <c r="A80" s="26" t="s">
        <v>117</v>
      </c>
      <c r="B80" s="24"/>
      <c r="C80" s="24"/>
      <c r="D80" s="24"/>
      <c r="E80" s="24"/>
      <c r="F80" s="24"/>
      <c r="G80" s="24"/>
      <c r="H80" s="24"/>
      <c r="I80" s="24"/>
      <c r="J80" s="24"/>
      <c r="K80" s="24"/>
      <c r="L80" s="24"/>
      <c r="M80" s="24"/>
    </row>
    <row r="81" customFormat="false" ht="15" hidden="false" customHeight="false" outlineLevel="0" collapsed="false">
      <c r="A81" s="26"/>
      <c r="B81" s="24"/>
      <c r="C81" s="24"/>
      <c r="D81" s="24"/>
      <c r="E81" s="24"/>
      <c r="F81" s="24"/>
      <c r="G81" s="24"/>
      <c r="H81" s="24"/>
      <c r="I81" s="24"/>
      <c r="J81" s="24"/>
      <c r="K81" s="24"/>
      <c r="L81" s="24"/>
      <c r="M81" s="24"/>
    </row>
    <row r="82" customFormat="false" ht="39" hidden="false" customHeight="true" outlineLevel="0" collapsed="false">
      <c r="A82" s="26" t="s">
        <v>118</v>
      </c>
      <c r="B82" s="24"/>
      <c r="C82" s="24"/>
      <c r="D82" s="24"/>
      <c r="E82" s="24"/>
      <c r="F82" s="24"/>
      <c r="G82" s="24"/>
      <c r="H82" s="24"/>
      <c r="I82" s="24"/>
      <c r="J82" s="24"/>
      <c r="K82" s="24"/>
      <c r="L82" s="24"/>
      <c r="M82" s="24"/>
    </row>
    <row r="83" customFormat="false" ht="39" hidden="false" customHeight="true" outlineLevel="0" collapsed="false">
      <c r="A83" s="26" t="s">
        <v>119</v>
      </c>
      <c r="B83" s="24"/>
      <c r="C83" s="24"/>
      <c r="D83" s="24"/>
      <c r="E83" s="24"/>
      <c r="F83" s="24"/>
      <c r="G83" s="24"/>
      <c r="H83" s="24"/>
      <c r="I83" s="24"/>
      <c r="J83" s="24"/>
      <c r="K83" s="24"/>
      <c r="L83" s="24"/>
      <c r="M83" s="24"/>
    </row>
    <row r="84" customFormat="false" ht="39" hidden="false" customHeight="true" outlineLevel="0" collapsed="false">
      <c r="A84" s="26" t="s">
        <v>120</v>
      </c>
      <c r="B84" s="24"/>
      <c r="C84" s="24"/>
      <c r="D84" s="24"/>
      <c r="E84" s="24"/>
      <c r="F84" s="24"/>
      <c r="G84" s="24"/>
      <c r="H84" s="24"/>
      <c r="I84" s="24"/>
      <c r="J84" s="24"/>
      <c r="K84" s="24"/>
      <c r="L84" s="24"/>
      <c r="M84" s="24"/>
    </row>
    <row r="85" customFormat="false" ht="39" hidden="false" customHeight="true" outlineLevel="0" collapsed="false">
      <c r="A85" s="26" t="s">
        <v>121</v>
      </c>
      <c r="B85" s="24"/>
      <c r="C85" s="24"/>
      <c r="D85" s="24"/>
      <c r="E85" s="24"/>
      <c r="F85" s="24"/>
      <c r="G85" s="24"/>
      <c r="H85" s="24"/>
      <c r="I85" s="24"/>
      <c r="J85" s="24"/>
      <c r="K85" s="24"/>
      <c r="L85" s="24"/>
      <c r="M85" s="24"/>
    </row>
    <row r="86" customFormat="false" ht="15" hidden="false" customHeight="false" outlineLevel="0" collapsed="false">
      <c r="A86" s="26"/>
      <c r="B86" s="24"/>
      <c r="C86" s="24"/>
      <c r="D86" s="24"/>
      <c r="E86" s="24"/>
      <c r="F86" s="24"/>
      <c r="G86" s="24"/>
      <c r="H86" s="24"/>
      <c r="I86" s="24"/>
      <c r="J86" s="24"/>
      <c r="K86" s="24"/>
      <c r="L86" s="24"/>
      <c r="M86" s="24"/>
    </row>
    <row r="87" customFormat="false" ht="39" hidden="false" customHeight="true" outlineLevel="0" collapsed="false">
      <c r="A87" s="26" t="s">
        <v>122</v>
      </c>
      <c r="B87" s="24"/>
      <c r="C87" s="24"/>
      <c r="D87" s="24"/>
      <c r="E87" s="24"/>
      <c r="F87" s="24"/>
      <c r="G87" s="24"/>
      <c r="H87" s="24"/>
      <c r="I87" s="24"/>
      <c r="J87" s="24"/>
      <c r="K87" s="24"/>
      <c r="L87" s="24"/>
      <c r="M87" s="24"/>
    </row>
    <row r="88" customFormat="false" ht="15" hidden="false" customHeight="false" outlineLevel="0" collapsed="false">
      <c r="A88" s="26"/>
      <c r="B88" s="24"/>
      <c r="C88" s="24"/>
      <c r="D88" s="24"/>
      <c r="E88" s="24"/>
      <c r="F88" s="24"/>
      <c r="G88" s="24"/>
      <c r="H88" s="24"/>
      <c r="I88" s="24"/>
      <c r="J88" s="24"/>
      <c r="K88" s="24"/>
      <c r="L88" s="24"/>
      <c r="M88" s="24"/>
    </row>
    <row r="89" customFormat="false" ht="39" hidden="false" customHeight="true" outlineLevel="0" collapsed="false">
      <c r="A89" s="26" t="s">
        <v>123</v>
      </c>
      <c r="B89" s="24"/>
      <c r="C89" s="24"/>
      <c r="D89" s="24"/>
      <c r="E89" s="24"/>
      <c r="F89" s="24"/>
      <c r="G89" s="24"/>
      <c r="H89" s="24"/>
      <c r="I89" s="24"/>
      <c r="J89" s="24"/>
      <c r="K89" s="24"/>
      <c r="L89" s="24"/>
      <c r="M89" s="24"/>
    </row>
    <row r="90" customFormat="false" ht="39" hidden="false" customHeight="true" outlineLevel="0" collapsed="false">
      <c r="A90" s="26" t="s">
        <v>124</v>
      </c>
      <c r="B90" s="24"/>
      <c r="C90" s="24"/>
      <c r="D90" s="24"/>
      <c r="E90" s="24"/>
      <c r="F90" s="24"/>
      <c r="G90" s="24"/>
      <c r="H90" s="24"/>
      <c r="I90" s="24"/>
      <c r="J90" s="24"/>
      <c r="K90" s="24"/>
      <c r="L90" s="24"/>
      <c r="M90" s="24"/>
    </row>
    <row r="91" customFormat="false" ht="39" hidden="false" customHeight="true" outlineLevel="0" collapsed="false">
      <c r="A91" s="26" t="s">
        <v>125</v>
      </c>
      <c r="B91" s="24"/>
      <c r="C91" s="24"/>
      <c r="D91" s="24"/>
      <c r="E91" s="24"/>
      <c r="F91" s="24"/>
      <c r="G91" s="24"/>
      <c r="H91" s="24"/>
      <c r="I91" s="24"/>
      <c r="J91" s="24"/>
      <c r="K91" s="24"/>
      <c r="L91" s="24"/>
      <c r="M91" s="24"/>
    </row>
  </sheetData>
  <mergeCells count="14">
    <mergeCell ref="A1:A3"/>
    <mergeCell ref="B1:L1"/>
    <mergeCell ref="M1:M3"/>
    <mergeCell ref="B2:L2"/>
    <mergeCell ref="B3:L3"/>
    <mergeCell ref="A4:M4"/>
    <mergeCell ref="A6:M6"/>
    <mergeCell ref="E7:E13"/>
    <mergeCell ref="A14:M14"/>
    <mergeCell ref="E15:E21"/>
    <mergeCell ref="A22:M22"/>
    <mergeCell ref="E23:E27"/>
    <mergeCell ref="A28:M28"/>
    <mergeCell ref="E29:E36"/>
  </mergeCells>
  <conditionalFormatting sqref="M6:M36">
    <cfRule type="cellIs" priority="2" operator="equal" aboveAverage="0" equalAverage="0" bottom="0" percent="0" rank="0" text="" dxfId="0">
      <formula>"CUMPLE"</formula>
    </cfRule>
    <cfRule type="cellIs" priority="3" operator="equal" aboveAverage="0" equalAverage="0" bottom="0" percent="0" rank="0" text="" dxfId="1">
      <formula>"NO CUMPLE"</formula>
    </cfRule>
  </conditionalFormatting>
  <dataValidations count="3">
    <dataValidation allowBlank="true" errorStyle="stop" operator="between" showDropDown="false" showErrorMessage="false" showInputMessage="false" sqref="H6:H36" type="list">
      <formula1>Datos_higro!$A$10:$A$17</formula1>
      <formula2>0</formula2>
    </dataValidation>
    <dataValidation allowBlank="true" errorStyle="stop" operator="between" showDropDown="false" showErrorMessage="false" showInputMessage="false" sqref="I6:I36" type="list">
      <formula1>Datos_higro!$A$21:$A$28</formula1>
      <formula2>0</formula2>
    </dataValidation>
    <dataValidation allowBlank="true" errorStyle="stop" operator="between" showDropDown="false" showErrorMessage="false" showInputMessage="false" sqref="K6:K36" type="list">
      <formula1>"Norte,Sur,Este,Oeste,Noreste,Noroeste,Sudeste,Sudoeste,Horizontal"</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H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5"/>
    <col collapsed="false" customWidth="true" hidden="false" outlineLevel="0" max="2" min="2" style="0" width="14.9"/>
    <col collapsed="false" customWidth="true" hidden="false" outlineLevel="0" max="3" min="3" style="0" width="10.8"/>
    <col collapsed="false" customWidth="true" hidden="false" outlineLevel="0" max="4" min="4" style="0" width="12.2"/>
    <col collapsed="false" customWidth="true" hidden="false" outlineLevel="0" max="5" min="5" style="0" width="43.2"/>
    <col collapsed="false" customWidth="true" hidden="false" outlineLevel="0" max="7" min="6" style="0" width="12.2"/>
    <col collapsed="false" customWidth="true" hidden="false" outlineLevel="0" max="9" min="8" style="0" width="16.2"/>
    <col collapsed="false" customWidth="true" hidden="false" outlineLevel="0" max="12" min="10" style="0" width="8.1"/>
    <col collapsed="false" customWidth="true" hidden="false" outlineLevel="0" max="13" min="13" style="0" width="9.51"/>
    <col collapsed="false" customWidth="true" hidden="false" outlineLevel="0" max="14" min="14" style="0" width="6.8"/>
    <col collapsed="false" customWidth="true" hidden="false" outlineLevel="0" max="15" min="15" style="0" width="8.1"/>
    <col collapsed="false" customWidth="true" hidden="false" outlineLevel="0" max="16" min="16" style="0" width="9.51"/>
    <col collapsed="false" customWidth="true" hidden="false" outlineLevel="0" max="17" min="17" style="0" width="6.8"/>
    <col collapsed="false" customWidth="true" hidden="false" outlineLevel="0" max="18" min="18" style="0" width="8.1"/>
    <col collapsed="false" customWidth="true" hidden="false" outlineLevel="0" max="20" min="19" style="0" width="9.51"/>
    <col collapsed="false" customWidth="true" hidden="false" outlineLevel="0" max="21" min="21" style="0" width="8.1"/>
    <col collapsed="false" customWidth="true" hidden="false" outlineLevel="0" max="22" min="22" style="0" width="10.8"/>
    <col collapsed="false" customWidth="true" hidden="false" outlineLevel="0" max="23" min="23" style="0" width="20.2"/>
    <col collapsed="false" customWidth="true" hidden="false" outlineLevel="0" max="24" min="24" style="0" width="45.9"/>
    <col collapsed="false" customWidth="true" hidden="false" outlineLevel="0" max="25" min="25" style="0" width="23"/>
    <col collapsed="false" customWidth="true" hidden="false" outlineLevel="0" max="26" min="26" style="0" width="14.9"/>
    <col collapsed="false" customWidth="true" hidden="false" outlineLevel="0" max="27" min="27" style="0" width="10.8"/>
    <col collapsed="false" customWidth="true" hidden="false" outlineLevel="0" max="29" min="28" style="0" width="13.5"/>
    <col collapsed="false" customWidth="true" hidden="false" outlineLevel="0" max="30" min="30" style="0" width="14.9"/>
    <col collapsed="false" customWidth="true" hidden="false" outlineLevel="0" max="33" min="31" style="0" width="10.8"/>
    <col collapsed="false" customWidth="true" hidden="false" outlineLevel="0" max="34" min="34" style="0" width="9.51"/>
  </cols>
  <sheetData>
    <row r="1" customFormat="false" ht="39" hidden="false" customHeight="true" outlineLevel="0" collapsed="false">
      <c r="A1" s="27" t="s">
        <v>126</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row>
    <row r="2" customFormat="false" ht="39" hidden="false" customHeight="true" outlineLevel="0" collapsed="false">
      <c r="A2" s="2" t="s">
        <v>127</v>
      </c>
      <c r="B2" s="2" t="s">
        <v>128</v>
      </c>
      <c r="C2" s="2" t="s">
        <v>129</v>
      </c>
      <c r="D2" s="2" t="s">
        <v>130</v>
      </c>
      <c r="E2" s="2"/>
      <c r="F2" s="2" t="s">
        <v>131</v>
      </c>
      <c r="G2" s="2"/>
      <c r="H2" s="2" t="s">
        <v>132</v>
      </c>
      <c r="I2" s="2" t="s">
        <v>133</v>
      </c>
      <c r="J2" s="2" t="s">
        <v>134</v>
      </c>
      <c r="K2" s="2"/>
      <c r="L2" s="2"/>
      <c r="M2" s="2" t="s">
        <v>135</v>
      </c>
      <c r="N2" s="2"/>
      <c r="O2" s="2"/>
      <c r="P2" s="2" t="s">
        <v>136</v>
      </c>
      <c r="Q2" s="2"/>
      <c r="R2" s="2"/>
      <c r="S2" s="2" t="s">
        <v>137</v>
      </c>
      <c r="T2" s="2"/>
      <c r="U2" s="2"/>
      <c r="V2" s="2" t="s">
        <v>138</v>
      </c>
      <c r="W2" s="2" t="s">
        <v>7</v>
      </c>
      <c r="X2" s="2" t="s">
        <v>8</v>
      </c>
      <c r="Y2" s="2" t="s">
        <v>139</v>
      </c>
      <c r="Z2" s="2"/>
      <c r="AA2" s="2"/>
      <c r="AB2" s="2"/>
      <c r="AC2" s="2"/>
      <c r="AD2" s="2"/>
      <c r="AE2" s="2"/>
      <c r="AF2" s="2"/>
      <c r="AG2" s="2"/>
      <c r="AH2" s="2"/>
    </row>
    <row r="3" customFormat="false" ht="39" hidden="false" customHeight="true" outlineLevel="0" collapsed="false">
      <c r="A3" s="2"/>
      <c r="B3" s="2"/>
      <c r="C3" s="2"/>
      <c r="D3" s="3" t="s">
        <v>140</v>
      </c>
      <c r="E3" s="3" t="s">
        <v>141</v>
      </c>
      <c r="F3" s="3" t="s">
        <v>142</v>
      </c>
      <c r="G3" s="3" t="s">
        <v>143</v>
      </c>
      <c r="H3" s="2"/>
      <c r="I3" s="2"/>
      <c r="J3" s="3" t="s">
        <v>144</v>
      </c>
      <c r="K3" s="3" t="s">
        <v>145</v>
      </c>
      <c r="L3" s="3" t="s">
        <v>146</v>
      </c>
      <c r="M3" s="3" t="s">
        <v>147</v>
      </c>
      <c r="N3" s="3" t="s">
        <v>148</v>
      </c>
      <c r="O3" s="3" t="s">
        <v>149</v>
      </c>
      <c r="P3" s="3" t="s">
        <v>147</v>
      </c>
      <c r="Q3" s="3" t="s">
        <v>148</v>
      </c>
      <c r="R3" s="3" t="s">
        <v>149</v>
      </c>
      <c r="S3" s="3" t="s">
        <v>150</v>
      </c>
      <c r="T3" s="3" t="s">
        <v>151</v>
      </c>
      <c r="U3" s="3" t="s">
        <v>149</v>
      </c>
      <c r="V3" s="3" t="s">
        <v>152</v>
      </c>
      <c r="W3" s="2"/>
      <c r="X3" s="2"/>
      <c r="Y3" s="3" t="s">
        <v>153</v>
      </c>
      <c r="Z3" s="3" t="s">
        <v>154</v>
      </c>
      <c r="AA3" s="3" t="s">
        <v>155</v>
      </c>
      <c r="AB3" s="3" t="s">
        <v>156</v>
      </c>
      <c r="AC3" s="3" t="s">
        <v>157</v>
      </c>
      <c r="AD3" s="3" t="s">
        <v>158</v>
      </c>
      <c r="AE3" s="3" t="s">
        <v>159</v>
      </c>
      <c r="AF3" s="3" t="s">
        <v>160</v>
      </c>
      <c r="AG3" s="3" t="s">
        <v>161</v>
      </c>
      <c r="AH3" s="3" t="s">
        <v>162</v>
      </c>
    </row>
    <row r="4" customFormat="false" ht="69.75" hidden="false" customHeight="true" outlineLevel="0" collapsed="false">
      <c r="A4" s="28" t="s">
        <v>29</v>
      </c>
      <c r="B4" s="19" t="s">
        <v>163</v>
      </c>
      <c r="C4" s="7" t="n">
        <v>9.9</v>
      </c>
      <c r="D4" s="29" t="n">
        <f aca="false">(Datos_vigas!$B$10*(VLOOKUP($A$4,Datos_vigas!$A$14:$E$15,2,0)*AF4+Datos_vigas!$B$7*J4*L4/10000+Datos_vigas!$B$16*AG4)+Datos_vigas!$B$11*VLOOKUP($A$4,Datos_vigas!$A$14:$E$15,3,0)*AF4)</f>
        <v>1082.4</v>
      </c>
      <c r="E4" s="8"/>
      <c r="F4" s="29" t="n">
        <f aca="false">VLOOKUP(Y4,Datos_vigas!$A$19:$E$23,4,0)*D4*C4+IF(OR(AD4="",AE4=""),0,AD4*MAX(AE4,C4-AE4)/C4)</f>
        <v>6161.562</v>
      </c>
      <c r="G4" s="29" t="n">
        <f aca="false">F4</f>
        <v>6161.562</v>
      </c>
      <c r="H4" s="29" t="n">
        <f aca="false">VLOOKUP(Y4,Datos_vigas!$A$19:$E$23,2,0)*D4*C4^2+0.75*1000*IF(OR(AD4="",AE4=""),0,AD4*AE4*(C4-AE4)/C4/1000)</f>
        <v>7577.72469432</v>
      </c>
      <c r="I4" s="29" t="n">
        <f aca="false">IF(VLOOKUP(Y4,Datos_vigas!$A$19:$E$23,3,0)=0,"---",VLOOKUP(Y4,Datos_vigas!$A$19:$E$23,3,0)*D4*C4^2+0.5*1000*IF(OR(AD4="",AE4=""),0,AD4*AE4*(C4-AE4)/C4/1000))</f>
        <v>10608.6024</v>
      </c>
      <c r="J4" s="8" t="n">
        <v>15</v>
      </c>
      <c r="K4" s="8" t="n">
        <f aca="false">L4-AH4</f>
        <v>67</v>
      </c>
      <c r="L4" s="8" t="n">
        <v>70</v>
      </c>
      <c r="M4" s="7" t="n">
        <f aca="false">IF(NOT(ISNUMBER(H4)),"---",IF(H4&lt;=0,"---",IF(H4*100/(Datos_vigas!$B$8*AB4*K4^2*Datos_vigas!$B$5)&gt;=0.5,"REVISAR",MAX((1-SQRT(1-2*H4*100/(Datos_vigas!$B$8*AB4*K4^2*Datos_vigas!$B$5)))*AB4*K4*Datos_vigas!$B$5/Datos_vigas!$B$6,0.0033*J4*K4))))</f>
        <v>3.3165</v>
      </c>
      <c r="N4" s="8" t="n">
        <v>3</v>
      </c>
      <c r="O4" s="8" t="n">
        <v>12</v>
      </c>
      <c r="P4" s="7" t="n">
        <f aca="false">IF(NOT(ISNUMBER(I4)),"---",IF(I4&lt;=0,"---",IF(I4*100/(Datos_vigas!$B$8*AC4*K4^2*Datos_vigas!$B$5)&gt;=0.5,"REVISAR",MAX((1-SQRT(1-2*I4*100/(Datos_vigas!$B$8*AC4*K4^2*Datos_vigas!$B$5)))*AC4*K4*Datos_vigas!$B$5/Datos_vigas!$B$6,0.0033*J4*K4))))</f>
        <v>4.20154714925703</v>
      </c>
      <c r="Q4" s="8" t="n">
        <v>2</v>
      </c>
      <c r="R4" s="8" t="n">
        <v>20</v>
      </c>
      <c r="S4" s="7" t="n">
        <f aca="false">F4/(J4*0.85*K4)</f>
        <v>7.21283230904302</v>
      </c>
      <c r="T4" s="7" t="n">
        <f aca="false">G4/(J4*0.85*K4)</f>
        <v>7.21283230904302</v>
      </c>
      <c r="U4" s="8" t="n">
        <v>6</v>
      </c>
      <c r="V4" s="8" t="n">
        <v>30</v>
      </c>
      <c r="W4" s="9" t="str">
        <f aca="false">IF(OR(M4="REVISAR",P4="REVISAR"),"SECCION INSUF.",IF(NOT(AND(M4&lt;&gt;"REVISAR",P4&lt;&gt;"REVISAR",IF(ISNUMBER(M4),N4*PI()*(O4/10)^2/4&gt;=M4,TRUE()),IF(ISNUMBER(P4),Q4*PI()*(R4/10)^2/4&gt;=P4,TRUE()),IF(ISNUMBER(M4),M4&lt;=0.0163*AB4*K4,TRUE()),IF(ISNUMBER(P4),P4&lt;=0.0163*AC4*K4,TRUE()))),"NO VERIFICA FLEX.",IF(NOT(F4&lt;=Datos_vigas!$B$9*(0.53*SQRT(Datos_vigas!$B$5)*J4*K4+2*PI()*(U4/10)^2/4*Datos_vigas!$B$6*K4/V4)),"NO VERIF. CORTE",IF(NOT(L4&gt;=C4*100/VLOOKUP(Y4,Datos_vigas!$A$19:$E$23,5,0)),"VERIFICAR FLECHA","VERIFICA"))))</f>
        <v>VERIFICA</v>
      </c>
      <c r="X4" s="10" t="s">
        <v>164</v>
      </c>
      <c r="Y4" s="8" t="s">
        <v>165</v>
      </c>
      <c r="Z4" s="8" t="s">
        <v>166</v>
      </c>
      <c r="AA4" s="8" t="n">
        <v>12</v>
      </c>
      <c r="AB4" s="8" t="n">
        <f aca="false">IF(Z4="Colgante",MIN(C4*100/4,J4+16*AA4),J4)</f>
        <v>15</v>
      </c>
      <c r="AC4" s="8" t="n">
        <f aca="false">IF(Z4="Invertida",MIN(C4*100/4,J4+16*AA4),J4)</f>
        <v>207</v>
      </c>
      <c r="AD4" s="8"/>
      <c r="AE4" s="8"/>
      <c r="AF4" s="8" t="n">
        <v>0</v>
      </c>
      <c r="AG4" s="8" t="n">
        <v>2.6</v>
      </c>
      <c r="AH4" s="8" t="n">
        <v>3</v>
      </c>
    </row>
    <row r="5" customFormat="false" ht="69.75" hidden="false" customHeight="true" outlineLevel="0" collapsed="false">
      <c r="A5" s="28"/>
      <c r="B5" s="19" t="s">
        <v>167</v>
      </c>
      <c r="C5" s="7" t="n">
        <v>3.95</v>
      </c>
      <c r="D5" s="29" t="n">
        <f aca="false">(Datos_vigas!$B$10*(VLOOKUP($A$4,Datos_vigas!$A$14:$E$15,2,0)*AF5+Datos_vigas!$B$7*J5*L5/10000+Datos_vigas!$B$16*AG5)+Datos_vigas!$B$11*VLOOKUP($A$4,Datos_vigas!$A$14:$E$15,3,0)*AF5)</f>
        <v>1082.4</v>
      </c>
      <c r="E5" s="8"/>
      <c r="F5" s="29" t="n">
        <f aca="false">VLOOKUP(Y5,Datos_vigas!$A$19:$E$23,4,0)*D5*C5+IF(OR(AD5="",AE5=""),0,AD5*MAX(AE5,C5-AE5)/C5)</f>
        <v>2458.401</v>
      </c>
      <c r="G5" s="29" t="n">
        <f aca="false">F5</f>
        <v>2458.401</v>
      </c>
      <c r="H5" s="29" t="n">
        <f aca="false">VLOOKUP(Y5,Datos_vigas!$A$19:$E$23,2,0)*D5*C5^2+0.75*1000*IF(OR(AD5="",AE5=""),0,AD5*AE5*(C5-AE5)/C5/1000)</f>
        <v>1206.32026878</v>
      </c>
      <c r="I5" s="29" t="n">
        <f aca="false">IF(VLOOKUP(Y5,Datos_vigas!$A$19:$E$23,3,0)=0,"---",VLOOKUP(Y5,Datos_vigas!$A$19:$E$23,3,0)*D5*C5^2+0.5*1000*IF(OR(AD5="",AE5=""),0,AD5*AE5*(C5-AE5)/C5/1000))</f>
        <v>1688.8146</v>
      </c>
      <c r="J5" s="8" t="n">
        <v>15</v>
      </c>
      <c r="K5" s="8" t="n">
        <f aca="false">L5-AH5</f>
        <v>67</v>
      </c>
      <c r="L5" s="8" t="n">
        <v>70</v>
      </c>
      <c r="M5" s="7" t="n">
        <f aca="false">IF(NOT(ISNUMBER(H5)),"---",IF(H5&lt;=0,"---",IF(H5*100/(Datos_vigas!$B$8*AB5*K5^2*Datos_vigas!$B$5)&gt;=0.5,"REVISAR",MAX((1-SQRT(1-2*H5*100/(Datos_vigas!$B$8*AB5*K5^2*Datos_vigas!$B$5)))*AB5*K5*Datos_vigas!$B$5/Datos_vigas!$B$6,0.0033*J5*K5))))</f>
        <v>3.3165</v>
      </c>
      <c r="N5" s="8" t="n">
        <v>3</v>
      </c>
      <c r="O5" s="8" t="n">
        <v>12</v>
      </c>
      <c r="P5" s="7" t="n">
        <f aca="false">IF(NOT(ISNUMBER(I5)),"---",IF(I5&lt;=0,"---",IF(I5*100/(Datos_vigas!$B$8*AC5*K5^2*Datos_vigas!$B$5)&gt;=0.5,"REVISAR",MAX((1-SQRT(1-2*I5*100/(Datos_vigas!$B$8*AC5*K5^2*Datos_vigas!$B$5)))*AC5*K5*Datos_vigas!$B$5/Datos_vigas!$B$6,0.0033*J5*K5))))</f>
        <v>3.3165</v>
      </c>
      <c r="Q5" s="8" t="n">
        <v>3</v>
      </c>
      <c r="R5" s="8" t="n">
        <v>12</v>
      </c>
      <c r="S5" s="7" t="n">
        <f aca="false">F5/(J5*0.85*K5)</f>
        <v>2.87784723441615</v>
      </c>
      <c r="T5" s="7" t="n">
        <f aca="false">G5/(J5*0.85*K5)</f>
        <v>2.87784723441615</v>
      </c>
      <c r="U5" s="8" t="n">
        <v>6</v>
      </c>
      <c r="V5" s="8" t="n">
        <v>30</v>
      </c>
      <c r="W5" s="9" t="str">
        <f aca="false">IF(OR(M5="REVISAR",P5="REVISAR"),"SECCION INSUF.",IF(NOT(AND(M5&lt;&gt;"REVISAR",P5&lt;&gt;"REVISAR",IF(ISNUMBER(M5),N5*PI()*(O5/10)^2/4&gt;=M5,TRUE()),IF(ISNUMBER(P5),Q5*PI()*(R5/10)^2/4&gt;=P5,TRUE()),IF(ISNUMBER(M5),M5&lt;=0.0163*AB5*K5,TRUE()),IF(ISNUMBER(P5),P5&lt;=0.0163*AC5*K5,TRUE()))),"NO VERIFICA FLEX.",IF(NOT(F5&lt;=Datos_vigas!$B$9*(0.53*SQRT(Datos_vigas!$B$5)*J5*K5+2*PI()*(U5/10)^2/4*Datos_vigas!$B$6*K5/V5)),"NO VERIF. CORTE",IF(NOT(L5&gt;=C5*100/VLOOKUP(Y5,Datos_vigas!$A$19:$E$23,5,0)),"VERIFICAR FLECHA","VERIFICA"))))</f>
        <v>VERIFICA</v>
      </c>
      <c r="X5" s="10" t="s">
        <v>168</v>
      </c>
      <c r="Y5" s="8" t="s">
        <v>165</v>
      </c>
      <c r="Z5" s="8" t="s">
        <v>166</v>
      </c>
      <c r="AA5" s="8" t="n">
        <v>12</v>
      </c>
      <c r="AB5" s="8" t="n">
        <f aca="false">IF(Z5="Colgante",MIN(C5*100/4,J5+16*AA5),J5)</f>
        <v>15</v>
      </c>
      <c r="AC5" s="8" t="n">
        <f aca="false">IF(Z5="Invertida",MIN(C5*100/4,J5+16*AA5),J5)</f>
        <v>98.75</v>
      </c>
      <c r="AD5" s="8"/>
      <c r="AE5" s="8"/>
      <c r="AF5" s="8" t="n">
        <v>0</v>
      </c>
      <c r="AG5" s="8" t="n">
        <v>2.6</v>
      </c>
      <c r="AH5" s="8" t="n">
        <v>3</v>
      </c>
    </row>
    <row r="6" customFormat="false" ht="69.75" hidden="false" customHeight="true" outlineLevel="0" collapsed="false">
      <c r="A6" s="28"/>
      <c r="B6" s="19" t="s">
        <v>169</v>
      </c>
      <c r="C6" s="7" t="n">
        <v>9.88</v>
      </c>
      <c r="D6" s="29" t="n">
        <f aca="false">(Datos_vigas!$B$10*(VLOOKUP($A$4,Datos_vigas!$A$14:$E$15,2,0)*AF6+Datos_vigas!$B$7*J6*L6/10000+Datos_vigas!$B$16*AG6)+Datos_vigas!$B$11*VLOOKUP($A$4,Datos_vigas!$A$14:$E$15,3,0)*AF6)</f>
        <v>3717.62</v>
      </c>
      <c r="E6" s="8"/>
      <c r="F6" s="29" t="n">
        <f aca="false">VLOOKUP(Y6,Datos_vigas!$A$19:$E$23,4,0)*D6*C6+IF(OR(AD6="",AE6=""),0,AD6*MAX(AE6,C6-AE6)/C6)</f>
        <v>21119.79922</v>
      </c>
      <c r="G6" s="29" t="n">
        <f aca="false">F6</f>
        <v>21119.79922</v>
      </c>
      <c r="H6" s="29" t="n">
        <f aca="false">VLOOKUP(Y6,Datos_vigas!$A$19:$E$23,2,0)*D6*C6^2+0.75*1000*IF(OR(AD6="",AE6=""),0,AD6*AE6*(C6-AE6)/C6/1000)</f>
        <v>25921.464542351</v>
      </c>
      <c r="I6" s="29" t="n">
        <f aca="false">IF(VLOOKUP(Y6,Datos_vigas!$A$19:$E$23,3,0)=0,"---",VLOOKUP(Y6,Datos_vigas!$A$19:$E$23,3,0)*D6*C6^2+0.5*1000*IF(OR(AD6="",AE6=""),0,AD6*AE6*(C6-AE6)/C6/1000))</f>
        <v>36289.3245728</v>
      </c>
      <c r="J6" s="8" t="n">
        <v>15</v>
      </c>
      <c r="K6" s="8" t="n">
        <f aca="false">L6-AH6</f>
        <v>64</v>
      </c>
      <c r="L6" s="8" t="n">
        <v>70</v>
      </c>
      <c r="M6" s="7" t="n">
        <f aca="false">IF(NOT(ISNUMBER(H6)),"---",IF(H6&lt;=0,"---",IF(H6*100/(Datos_vigas!$B$8*AB6*K6^2*Datos_vigas!$B$5)&gt;=0.5,"REVISAR",MAX((1-SQRT(1-2*H6*100/(Datos_vigas!$B$8*AB6*K6^2*Datos_vigas!$B$5)))*AB6*K6*Datos_vigas!$B$5/Datos_vigas!$B$6,0.0033*J6*K6))))</f>
        <v>12.2876708310896</v>
      </c>
      <c r="N6" s="8" t="n">
        <v>4</v>
      </c>
      <c r="O6" s="8" t="n">
        <v>20</v>
      </c>
      <c r="P6" s="7" t="n">
        <f aca="false">IF(NOT(ISNUMBER(I6)),"---",IF(I6&lt;=0,"---",IF(I6*100/(Datos_vigas!$B$8*AC6*K6^2*Datos_vigas!$B$5)&gt;=0.5,"REVISAR",MAX((1-SQRT(1-2*I6*100/(Datos_vigas!$B$8*AC6*K6^2*Datos_vigas!$B$5)))*AC6*K6*Datos_vigas!$B$5/Datos_vigas!$B$6,0.0033*J6*K6))))</f>
        <v>15.1743557006531</v>
      </c>
      <c r="Q6" s="8" t="n">
        <v>4</v>
      </c>
      <c r="R6" s="8" t="n">
        <v>25</v>
      </c>
      <c r="S6" s="7" t="n">
        <f aca="false">F6/(J6*0.85*K6)</f>
        <v>25.8821068872549</v>
      </c>
      <c r="T6" s="7" t="n">
        <f aca="false">G6/(J6*0.85*K6)</f>
        <v>25.8821068872549</v>
      </c>
      <c r="U6" s="8" t="n">
        <v>8</v>
      </c>
      <c r="V6" s="8" t="n">
        <v>10</v>
      </c>
      <c r="W6" s="9" t="str">
        <f aca="false">IF(OR(M6="REVISAR",P6="REVISAR"),"SECCION INSUF.",IF(NOT(AND(M6&lt;&gt;"REVISAR",P6&lt;&gt;"REVISAR",IF(ISNUMBER(M6),N6*PI()*(O6/10)^2/4&gt;=M6,TRUE()),IF(ISNUMBER(P6),Q6*PI()*(R6/10)^2/4&gt;=P6,TRUE()),IF(ISNUMBER(M6),M6&lt;=0.0163*AB6*K6,TRUE()),IF(ISNUMBER(P6),P6&lt;=0.0163*AC6*K6,TRUE()))),"NO VERIFICA FLEX.",IF(NOT(F6&lt;=Datos_vigas!$B$9*(0.53*SQRT(Datos_vigas!$B$5)*J6*K6+2*PI()*(U6/10)^2/4*Datos_vigas!$B$6*K6/V6)),"NO VERIF. CORTE",IF(NOT(L6&gt;=C6*100/VLOOKUP(Y6,Datos_vigas!$A$19:$E$23,5,0)),"VERIFICAR FLECHA","VERIFICA"))))</f>
        <v>VERIFICA</v>
      </c>
      <c r="X6" s="10" t="s">
        <v>170</v>
      </c>
      <c r="Y6" s="8" t="s">
        <v>165</v>
      </c>
      <c r="Z6" s="8" t="s">
        <v>166</v>
      </c>
      <c r="AA6" s="8" t="n">
        <v>12</v>
      </c>
      <c r="AB6" s="8" t="n">
        <f aca="false">IF(Z6="Colgante",MIN(C6*100/4,J6+16*AA6),J6)</f>
        <v>15</v>
      </c>
      <c r="AC6" s="8" t="n">
        <f aca="false">IF(Z6="Invertida",MIN(C6*100/4,J6+16*AA6),J6)</f>
        <v>207</v>
      </c>
      <c r="AD6" s="8"/>
      <c r="AE6" s="8"/>
      <c r="AF6" s="8" t="n">
        <v>2.689</v>
      </c>
      <c r="AG6" s="8" t="n">
        <v>2.6</v>
      </c>
      <c r="AH6" s="8" t="n">
        <v>6</v>
      </c>
    </row>
    <row r="7" customFormat="false" ht="69.75" hidden="false" customHeight="true" outlineLevel="0" collapsed="false">
      <c r="A7" s="28"/>
      <c r="B7" s="19" t="s">
        <v>171</v>
      </c>
      <c r="C7" s="7" t="n">
        <v>3.75</v>
      </c>
      <c r="D7" s="29" t="n">
        <f aca="false">(Datos_vigas!$B$10*(VLOOKUP($A$4,Datos_vigas!$A$14:$E$15,2,0)*AF7+Datos_vigas!$B$7*J7*L7/10000+Datos_vigas!$B$16*AG7)+Datos_vigas!$B$11*VLOOKUP($A$4,Datos_vigas!$A$14:$E$15,3,0)*AF7)</f>
        <v>3140.4</v>
      </c>
      <c r="E7" s="8"/>
      <c r="F7" s="29" t="n">
        <f aca="false">VLOOKUP(Y7,Datos_vigas!$A$19:$E$23,4,0)*D7*C7+IF(OR(AD7="",AE7=""),0,AD7*MAX(AE7,C7-AE7)/C7)</f>
        <v>6771.4875</v>
      </c>
      <c r="G7" s="29" t="n">
        <f aca="false">F7</f>
        <v>6771.4875</v>
      </c>
      <c r="H7" s="29" t="n">
        <f aca="false">VLOOKUP(Y7,Datos_vigas!$A$19:$E$23,2,0)*D7*C7^2+0.75*1000*IF(OR(AD7="",AE7=""),0,AD7*AE7*(C7-AE7)/C7/1000)</f>
        <v>3154.48273125</v>
      </c>
      <c r="I7" s="29" t="n">
        <f aca="false">IF(VLOOKUP(Y7,Datos_vigas!$A$19:$E$23,3,0)=0,"---",VLOOKUP(Y7,Datos_vigas!$A$19:$E$23,3,0)*D7*C7^2+0.5*1000*IF(OR(AD7="",AE7=""),0,AD7*AE7*(C7-AE7)/C7/1000))</f>
        <v>4416.1875</v>
      </c>
      <c r="J7" s="8" t="n">
        <v>15</v>
      </c>
      <c r="K7" s="8" t="n">
        <f aca="false">L7-AH7</f>
        <v>67</v>
      </c>
      <c r="L7" s="8" t="n">
        <v>70</v>
      </c>
      <c r="M7" s="7" t="n">
        <f aca="false">IF(NOT(ISNUMBER(H7)),"---",IF(H7&lt;=0,"---",IF(H7*100/(Datos_vigas!$B$8*AB7*K7^2*Datos_vigas!$B$5)&gt;=0.5,"REVISAR",MAX((1-SQRT(1-2*H7*100/(Datos_vigas!$B$8*AB7*K7^2*Datos_vigas!$B$5)))*AB7*K7*Datos_vigas!$B$5/Datos_vigas!$B$6,0.0033*J7*K7))))</f>
        <v>3.3165</v>
      </c>
      <c r="N7" s="8" t="n">
        <v>3</v>
      </c>
      <c r="O7" s="8" t="n">
        <v>12</v>
      </c>
      <c r="P7" s="7" t="n">
        <f aca="false">IF(NOT(ISNUMBER(I7)),"---",IF(I7&lt;=0,"---",IF(I7*100/(Datos_vigas!$B$8*AC7*K7^2*Datos_vigas!$B$5)&gt;=0.5,"REVISAR",MAX((1-SQRT(1-2*I7*100/(Datos_vigas!$B$8*AC7*K7^2*Datos_vigas!$B$5)))*AC7*K7*Datos_vigas!$B$5/Datos_vigas!$B$6,0.0033*J7*K7))))</f>
        <v>3.3165</v>
      </c>
      <c r="Q7" s="8" t="n">
        <v>3</v>
      </c>
      <c r="R7" s="8" t="n">
        <v>12</v>
      </c>
      <c r="S7" s="7" t="n">
        <f aca="false">F7/(J7*0.85*K7)</f>
        <v>7.92682177348551</v>
      </c>
      <c r="T7" s="7" t="n">
        <f aca="false">G7/(J7*0.85*K7)</f>
        <v>7.92682177348551</v>
      </c>
      <c r="U7" s="8" t="n">
        <v>6</v>
      </c>
      <c r="V7" s="8" t="n">
        <v>30</v>
      </c>
      <c r="W7" s="9" t="str">
        <f aca="false">IF(OR(M7="REVISAR",P7="REVISAR"),"SECCION INSUF.",IF(NOT(AND(M7&lt;&gt;"REVISAR",P7&lt;&gt;"REVISAR",IF(ISNUMBER(M7),N7*PI()*(O7/10)^2/4&gt;=M7,TRUE()),IF(ISNUMBER(P7),Q7*PI()*(R7/10)^2/4&gt;=P7,TRUE()),IF(ISNUMBER(M7),M7&lt;=0.0163*AB7*K7,TRUE()),IF(ISNUMBER(P7),P7&lt;=0.0163*AC7*K7,TRUE()))),"NO VERIFICA FLEX.",IF(NOT(F7&lt;=Datos_vigas!$B$9*(0.53*SQRT(Datos_vigas!$B$5)*J7*K7+2*PI()*(U7/10)^2/4*Datos_vigas!$B$6*K7/V7)),"NO VERIF. CORTE",IF(NOT(L7&gt;=C7*100/VLOOKUP(Y7,Datos_vigas!$A$19:$E$23,5,0)),"VERIFICAR FLECHA","VERIFICA"))))</f>
        <v>VERIFICA</v>
      </c>
      <c r="X7" s="8"/>
      <c r="Y7" s="8" t="s">
        <v>165</v>
      </c>
      <c r="Z7" s="8" t="s">
        <v>166</v>
      </c>
      <c r="AA7" s="8" t="n">
        <v>12</v>
      </c>
      <c r="AB7" s="8" t="n">
        <f aca="false">IF(Z7="Colgante",MIN(C7*100/4,J7+16*AA7),J7)</f>
        <v>15</v>
      </c>
      <c r="AC7" s="8" t="n">
        <f aca="false">IF(Z7="Invertida",MIN(C7*100/4,J7+16*AA7),J7)</f>
        <v>93.75</v>
      </c>
      <c r="AD7" s="8"/>
      <c r="AE7" s="8"/>
      <c r="AF7" s="8" t="n">
        <v>2.1</v>
      </c>
      <c r="AG7" s="8" t="n">
        <v>2.6</v>
      </c>
      <c r="AH7" s="8" t="n">
        <v>3</v>
      </c>
    </row>
    <row r="8" customFormat="false" ht="69.75" hidden="false" customHeight="true" outlineLevel="0" collapsed="false">
      <c r="A8" s="28"/>
      <c r="B8" s="19" t="s">
        <v>172</v>
      </c>
      <c r="C8" s="7" t="n">
        <v>3.75</v>
      </c>
      <c r="D8" s="29" t="n">
        <f aca="false">(Datos_vigas!$B$10*(VLOOKUP($A$4,Datos_vigas!$A$14:$E$15,2,0)*AF8+Datos_vigas!$B$7*J8*L8/10000+Datos_vigas!$B$16*AG8)+Datos_vigas!$B$11*VLOOKUP($A$4,Datos_vigas!$A$14:$E$15,3,0)*AF8)</f>
        <v>1082.4</v>
      </c>
      <c r="E8" s="8"/>
      <c r="F8" s="29" t="n">
        <f aca="false">VLOOKUP(Y8,Datos_vigas!$A$19:$E$23,4,0)*D8*C8+IF(OR(AD8="",AE8=""),0,AD8*MAX(AE8,C8-AE8)/C8)</f>
        <v>5626.565</v>
      </c>
      <c r="G8" s="29" t="n">
        <f aca="false">F8</f>
        <v>5626.565</v>
      </c>
      <c r="H8" s="29" t="n">
        <f aca="false">VLOOKUP(Y8,Datos_vigas!$A$19:$E$23,2,0)*D8*C8^2+0.75*1000*IF(OR(AD8="",AE8=""),0,AD8*AE8*(C8-AE8)/C8/1000)</f>
        <v>5532.3178875</v>
      </c>
      <c r="I8" s="29" t="n">
        <f aca="false">IF(VLOOKUP(Y8,Datos_vigas!$A$19:$E$23,3,0)=0,"---",VLOOKUP(Y8,Datos_vigas!$A$19:$E$23,3,0)*D8*C8^2+0.5*1000*IF(OR(AD8="",AE8=""),0,AD8*AE8*(C8-AE8)/C8/1000))</f>
        <v>4485.501</v>
      </c>
      <c r="J8" s="8" t="n">
        <v>15</v>
      </c>
      <c r="K8" s="8" t="n">
        <f aca="false">L8-AH8</f>
        <v>67</v>
      </c>
      <c r="L8" s="8" t="n">
        <v>70</v>
      </c>
      <c r="M8" s="7" t="n">
        <f aca="false">IF(NOT(ISNUMBER(H8)),"---",IF(H8&lt;=0,"---",IF(H8*100/(Datos_vigas!$B$8*AB8*K8^2*Datos_vigas!$B$5)&gt;=0.5,"REVISAR",MAX((1-SQRT(1-2*H8*100/(Datos_vigas!$B$8*AB8*K8^2*Datos_vigas!$B$5)))*AB8*K8*Datos_vigas!$B$5/Datos_vigas!$B$6,0.0033*J8*K8))))</f>
        <v>3.3165</v>
      </c>
      <c r="N8" s="8" t="n">
        <v>3</v>
      </c>
      <c r="O8" s="8" t="n">
        <v>12</v>
      </c>
      <c r="P8" s="7" t="n">
        <f aca="false">IF(NOT(ISNUMBER(I8)),"---",IF(I8&lt;=0,"---",IF(I8*100/(Datos_vigas!$B$8*AC8*K8^2*Datos_vigas!$B$5)&gt;=0.5,"REVISAR",MAX((1-SQRT(1-2*I8*100/(Datos_vigas!$B$8*AC8*K8^2*Datos_vigas!$B$5)))*AC8*K8*Datos_vigas!$B$5/Datos_vigas!$B$6,0.0033*J8*K8))))</f>
        <v>3.3165</v>
      </c>
      <c r="Q8" s="8" t="n">
        <v>3</v>
      </c>
      <c r="R8" s="8" t="n">
        <v>12</v>
      </c>
      <c r="S8" s="7" t="n">
        <f aca="false">F8/(J8*0.85*K8)</f>
        <v>6.5865554580041</v>
      </c>
      <c r="T8" s="7" t="n">
        <f aca="false">G8/(J8*0.85*K8)</f>
        <v>6.5865554580041</v>
      </c>
      <c r="U8" s="8" t="n">
        <v>6</v>
      </c>
      <c r="V8" s="8" t="n">
        <v>30</v>
      </c>
      <c r="W8" s="9" t="str">
        <f aca="false">IF(OR(M8="REVISAR",P8="REVISAR"),"SECCION INSUF.",IF(NOT(AND(M8&lt;&gt;"REVISAR",P8&lt;&gt;"REVISAR",IF(ISNUMBER(M8),N8*PI()*(O8/10)^2/4&gt;=M8,TRUE()),IF(ISNUMBER(P8),Q8*PI()*(R8/10)^2/4&gt;=P8,TRUE()),IF(ISNUMBER(M8),M8&lt;=0.0163*AB8*K8,TRUE()),IF(ISNUMBER(P8),P8&lt;=0.0163*AC8*K8,TRUE()))),"NO VERIFICA FLEX.",IF(NOT(F8&lt;=Datos_vigas!$B$9*(0.53*SQRT(Datos_vigas!$B$5)*J8*K8+2*PI()*(U8/10)^2/4*Datos_vigas!$B$6*K8/V8)),"NO VERIF. CORTE",IF(NOT(L8&gt;=C8*100/VLOOKUP(Y8,Datos_vigas!$A$19:$E$23,5,0)),"VERIFICAR FLECHA","VERIFICA"))))</f>
        <v>VERIFICA</v>
      </c>
      <c r="X8" s="10" t="s">
        <v>173</v>
      </c>
      <c r="Y8" s="8" t="s">
        <v>165</v>
      </c>
      <c r="Z8" s="8" t="s">
        <v>166</v>
      </c>
      <c r="AA8" s="8" t="n">
        <v>12</v>
      </c>
      <c r="AB8" s="8" t="n">
        <f aca="false">IF(Z8="Colgante",MIN(C8*100/4,J8+16*AA8),J8)</f>
        <v>15</v>
      </c>
      <c r="AC8" s="8" t="n">
        <f aca="false">IF(Z8="Invertida",MIN(C8*100/4,J8+16*AA8),J8)</f>
        <v>93.75</v>
      </c>
      <c r="AD8" s="8" t="n">
        <v>6332</v>
      </c>
      <c r="AE8" s="8" t="n">
        <v>1.8</v>
      </c>
      <c r="AF8" s="8" t="n">
        <v>0</v>
      </c>
      <c r="AG8" s="8" t="n">
        <v>2.6</v>
      </c>
      <c r="AH8" s="8" t="n">
        <v>3</v>
      </c>
    </row>
    <row r="9" customFormat="false" ht="69.75" hidden="false" customHeight="true" outlineLevel="0" collapsed="false">
      <c r="A9" s="28"/>
      <c r="B9" s="19" t="s">
        <v>174</v>
      </c>
      <c r="C9" s="7" t="n">
        <v>3.8</v>
      </c>
      <c r="D9" s="29" t="n">
        <f aca="false">(Datos_vigas!$B$10*(VLOOKUP($A$4,Datos_vigas!$A$14:$E$15,2,0)*AF9+Datos_vigas!$B$7*J9*L9/10000+Datos_vigas!$B$16*AG9)+Datos_vigas!$B$11*VLOOKUP($A$4,Datos_vigas!$A$14:$E$15,3,0)*AF9)</f>
        <v>2600.42</v>
      </c>
      <c r="E9" s="8"/>
      <c r="F9" s="29" t="n">
        <f aca="false">VLOOKUP(Y9,Datos_vigas!$A$19:$E$23,4,0)*D9*C9+IF(OR(AD9="",AE9=""),0,AD9*MAX(AE9,C9-AE9)/C9)</f>
        <v>5681.9177</v>
      </c>
      <c r="G9" s="29" t="n">
        <f aca="false">F9</f>
        <v>5681.9177</v>
      </c>
      <c r="H9" s="29" t="n">
        <f aca="false">VLOOKUP(Y9,Datos_vigas!$A$19:$E$23,2,0)*D9*C9^2+0.75*1000*IF(OR(AD9="",AE9=""),0,AD9*AE9*(C9-AE9)/C9/1000)</f>
        <v>2682.201128664</v>
      </c>
      <c r="I9" s="29" t="n">
        <f aca="false">IF(VLOOKUP(Y9,Datos_vigas!$A$19:$E$23,3,0)=0,"---",VLOOKUP(Y9,Datos_vigas!$A$19:$E$23,3,0)*D9*C9^2+0.5*1000*IF(OR(AD9="",AE9=""),0,AD9*AE9*(C9-AE9)/C9/1000))</f>
        <v>3755.00648</v>
      </c>
      <c r="J9" s="8" t="n">
        <v>15</v>
      </c>
      <c r="K9" s="8" t="n">
        <f aca="false">L9-AH9</f>
        <v>67</v>
      </c>
      <c r="L9" s="8" t="n">
        <v>70</v>
      </c>
      <c r="M9" s="7" t="n">
        <f aca="false">IF(NOT(ISNUMBER(H9)),"---",IF(H9&lt;=0,"---",IF(H9*100/(Datos_vigas!$B$8*AB9*K9^2*Datos_vigas!$B$5)&gt;=0.5,"REVISAR",MAX((1-SQRT(1-2*H9*100/(Datos_vigas!$B$8*AB9*K9^2*Datos_vigas!$B$5)))*AB9*K9*Datos_vigas!$B$5/Datos_vigas!$B$6,0.0033*J9*K9))))</f>
        <v>3.3165</v>
      </c>
      <c r="N9" s="8" t="n">
        <v>3</v>
      </c>
      <c r="O9" s="8" t="n">
        <v>12</v>
      </c>
      <c r="P9" s="7" t="n">
        <f aca="false">IF(NOT(ISNUMBER(I9)),"---",IF(I9&lt;=0,"---",IF(I9*100/(Datos_vigas!$B$8*AC9*K9^2*Datos_vigas!$B$5)&gt;=0.5,"REVISAR",MAX((1-SQRT(1-2*I9*100/(Datos_vigas!$B$8*AC9*K9^2*Datos_vigas!$B$5)))*AC9*K9*Datos_vigas!$B$5/Datos_vigas!$B$6,0.0033*J9*K9))))</f>
        <v>3.3165</v>
      </c>
      <c r="Q9" s="8" t="n">
        <v>3</v>
      </c>
      <c r="R9" s="8" t="n">
        <v>12</v>
      </c>
      <c r="S9" s="7" t="n">
        <f aca="false">F9/(J9*0.85*K9)</f>
        <v>6.65135229733684</v>
      </c>
      <c r="T9" s="7" t="n">
        <f aca="false">G9/(J9*0.85*K9)</f>
        <v>6.65135229733684</v>
      </c>
      <c r="U9" s="8" t="n">
        <v>6</v>
      </c>
      <c r="V9" s="8" t="n">
        <v>30</v>
      </c>
      <c r="W9" s="9" t="str">
        <f aca="false">IF(OR(M9="REVISAR",P9="REVISAR"),"SECCION INSUF.",IF(NOT(AND(M9&lt;&gt;"REVISAR",P9&lt;&gt;"REVISAR",IF(ISNUMBER(M9),N9*PI()*(O9/10)^2/4&gt;=M9,TRUE()),IF(ISNUMBER(P9),Q9*PI()*(R9/10)^2/4&gt;=P9,TRUE()),IF(ISNUMBER(M9),M9&lt;=0.0163*AB9*K9,TRUE()),IF(ISNUMBER(P9),P9&lt;=0.0163*AC9*K9,TRUE()))),"NO VERIFICA FLEX.",IF(NOT(F9&lt;=Datos_vigas!$B$9*(0.53*SQRT(Datos_vigas!$B$5)*J9*K9+2*PI()*(U9/10)^2/4*Datos_vigas!$B$6*K9/V9)),"NO VERIF. CORTE",IF(NOT(L9&gt;=C9*100/VLOOKUP(Y9,Datos_vigas!$A$19:$E$23,5,0)),"VERIFICAR FLECHA","VERIFICA"))))</f>
        <v>VERIFICA</v>
      </c>
      <c r="X9" s="8"/>
      <c r="Y9" s="8" t="s">
        <v>165</v>
      </c>
      <c r="Z9" s="8" t="s">
        <v>166</v>
      </c>
      <c r="AA9" s="8" t="n">
        <v>12</v>
      </c>
      <c r="AB9" s="8" t="n">
        <f aca="false">IF(Z9="Colgante",MIN(C9*100/4,J9+16*AA9),J9)</f>
        <v>15</v>
      </c>
      <c r="AC9" s="8" t="n">
        <f aca="false">IF(Z9="Invertida",MIN(C9*100/4,J9+16*AA9),J9)</f>
        <v>95</v>
      </c>
      <c r="AD9" s="8"/>
      <c r="AE9" s="8"/>
      <c r="AF9" s="8" t="n">
        <v>1.549</v>
      </c>
      <c r="AG9" s="8" t="n">
        <v>2.6</v>
      </c>
      <c r="AH9" s="8" t="n">
        <v>3</v>
      </c>
    </row>
    <row r="10" customFormat="false" ht="69.75" hidden="false" customHeight="true" outlineLevel="0" collapsed="false">
      <c r="A10" s="28"/>
      <c r="B10" s="19" t="s">
        <v>175</v>
      </c>
      <c r="C10" s="7" t="n">
        <v>6.53</v>
      </c>
      <c r="D10" s="29" t="n">
        <f aca="false">(Datos_vigas!$B$10*(VLOOKUP($A$4,Datos_vigas!$A$14:$E$15,2,0)*AF10+Datos_vigas!$B$7*J10*L10/10000+Datos_vigas!$B$16*AG10)+Datos_vigas!$B$11*VLOOKUP($A$4,Datos_vigas!$A$14:$E$15,3,0)*AF10)</f>
        <v>2600.42</v>
      </c>
      <c r="E10" s="8"/>
      <c r="F10" s="29" t="n">
        <f aca="false">VLOOKUP(Y10,Datos_vigas!$A$19:$E$23,4,0)*D10*C10+IF(OR(AD10="",AE10=""),0,AD10*MAX(AE10,C10-AE10)/C10)</f>
        <v>15234.6773778484</v>
      </c>
      <c r="G10" s="29" t="n">
        <f aca="false">F10</f>
        <v>15234.6773778484</v>
      </c>
      <c r="H10" s="29" t="n">
        <f aca="false">VLOOKUP(Y10,Datos_vigas!$A$19:$E$23,2,0)*D10*C10^2+0.75*1000*IF(OR(AD10="",AE10=""),0,AD10*AE10*(C10-AE10)/C10/1000)</f>
        <v>10095.0851959668</v>
      </c>
      <c r="I10" s="29" t="n">
        <f aca="false">IF(VLOOKUP(Y10,Datos_vigas!$A$19:$E$23,3,0)=0,"---",VLOOKUP(Y10,Datos_vigas!$A$19:$E$23,3,0)*D10*C10^2+0.5*1000*IF(OR(AD10="",AE10=""),0,AD10*AE10*(C10-AE10)/C10/1000))</f>
        <v>12538.1737692548</v>
      </c>
      <c r="J10" s="8" t="n">
        <v>15</v>
      </c>
      <c r="K10" s="8" t="n">
        <f aca="false">L10-AH10</f>
        <v>67</v>
      </c>
      <c r="L10" s="8" t="n">
        <v>70</v>
      </c>
      <c r="M10" s="7" t="n">
        <f aca="false">IF(NOT(ISNUMBER(H10)),"---",IF(H10&lt;=0,"---",IF(H10*100/(Datos_vigas!$B$8*AB10*K10^2*Datos_vigas!$B$5)&gt;=0.5,"REVISAR",MAX((1-SQRT(1-2*H10*100/(Datos_vigas!$B$8*AB10*K10^2*Datos_vigas!$B$5)))*AB10*K10*Datos_vigas!$B$5/Datos_vigas!$B$6,0.0033*J10*K10))))</f>
        <v>4.15809310613815</v>
      </c>
      <c r="N10" s="8" t="n">
        <v>2</v>
      </c>
      <c r="O10" s="8" t="n">
        <v>20</v>
      </c>
      <c r="P10" s="7" t="n">
        <f aca="false">IF(NOT(ISNUMBER(I10)),"---",IF(I10&lt;=0,"---",IF(I10*100/(Datos_vigas!$B$8*AC10*K10^2*Datos_vigas!$B$5)&gt;=0.5,"REVISAR",MAX((1-SQRT(1-2*I10*100/(Datos_vigas!$B$8*AC10*K10^2*Datos_vigas!$B$5)))*AC10*K10*Datos_vigas!$B$5/Datos_vigas!$B$6,0.0033*J10*K10))))</f>
        <v>4.97332561678804</v>
      </c>
      <c r="Q10" s="8" t="n">
        <v>2</v>
      </c>
      <c r="R10" s="8" t="n">
        <v>20</v>
      </c>
      <c r="S10" s="7" t="n">
        <f aca="false">F10/(J10*0.85*K10)</f>
        <v>17.8339799565097</v>
      </c>
      <c r="T10" s="7" t="n">
        <f aca="false">G10/(J10*0.85*K10)</f>
        <v>17.8339799565097</v>
      </c>
      <c r="U10" s="8" t="n">
        <v>6</v>
      </c>
      <c r="V10" s="8" t="n">
        <v>10</v>
      </c>
      <c r="W10" s="9" t="str">
        <f aca="false">IF(OR(M10="REVISAR",P10="REVISAR"),"SECCION INSUF.",IF(NOT(AND(M10&lt;&gt;"REVISAR",P10&lt;&gt;"REVISAR",IF(ISNUMBER(M10),N10*PI()*(O10/10)^2/4&gt;=M10,TRUE()),IF(ISNUMBER(P10),Q10*PI()*(R10/10)^2/4&gt;=P10,TRUE()),IF(ISNUMBER(M10),M10&lt;=0.0163*AB10*K10,TRUE()),IF(ISNUMBER(P10),P10&lt;=0.0163*AC10*K10,TRUE()))),"NO VERIFICA FLEX.",IF(NOT(F10&lt;=Datos_vigas!$B$9*(0.53*SQRT(Datos_vigas!$B$5)*J10*K10+2*PI()*(U10/10)^2/4*Datos_vigas!$B$6*K10/V10)),"NO VERIF. CORTE",IF(NOT(L10&gt;=C10*100/VLOOKUP(Y10,Datos_vigas!$A$19:$E$23,5,0)),"VERIFICAR FLECHA","VERIFICA"))))</f>
        <v>VERIFICA</v>
      </c>
      <c r="X10" s="10" t="s">
        <v>176</v>
      </c>
      <c r="Y10" s="8" t="s">
        <v>165</v>
      </c>
      <c r="Z10" s="8" t="s">
        <v>166</v>
      </c>
      <c r="AA10" s="8" t="n">
        <v>12</v>
      </c>
      <c r="AB10" s="8" t="n">
        <f aca="false">IF(Z10="Colgante",MIN(C10*100/4,J10+16*AA10),J10)</f>
        <v>15</v>
      </c>
      <c r="AC10" s="8" t="n">
        <f aca="false">IF(Z10="Invertida",MIN(C10*100/4,J10+16*AA10),J10)</f>
        <v>163.25</v>
      </c>
      <c r="AD10" s="8" t="n">
        <v>5954</v>
      </c>
      <c r="AE10" s="8" t="n">
        <v>6</v>
      </c>
      <c r="AF10" s="8" t="n">
        <v>1.549</v>
      </c>
      <c r="AG10" s="8" t="n">
        <v>2.6</v>
      </c>
      <c r="AH10" s="8" t="n">
        <v>3</v>
      </c>
    </row>
    <row r="11" customFormat="false" ht="69.75" hidden="false" customHeight="true" outlineLevel="0" collapsed="false">
      <c r="A11" s="28"/>
      <c r="B11" s="19" t="s">
        <v>177</v>
      </c>
      <c r="C11" s="7" t="n">
        <v>3.37</v>
      </c>
      <c r="D11" s="29" t="n">
        <f aca="false">(Datos_vigas!$B$10*(VLOOKUP($A$4,Datos_vigas!$A$14:$E$15,2,0)*AF11+Datos_vigas!$B$7*J11*L11/10000+Datos_vigas!$B$16*AG11)+Datos_vigas!$B$11*VLOOKUP($A$4,Datos_vigas!$A$14:$E$15,3,0)*AF11)</f>
        <v>1846.8</v>
      </c>
      <c r="E11" s="8"/>
      <c r="F11" s="29" t="n">
        <f aca="false">VLOOKUP(Y11,Datos_vigas!$A$19:$E$23,4,0)*D11*C11+IF(OR(AD11="",AE11=""),0,AD11*MAX(AE11,C11-AE11)/C11)</f>
        <v>3578.6367</v>
      </c>
      <c r="G11" s="29" t="n">
        <f aca="false">F11</f>
        <v>3578.6367</v>
      </c>
      <c r="H11" s="29" t="n">
        <f aca="false">VLOOKUP(Y11,Datos_vigas!$A$19:$E$23,2,0)*D11*C11^2+0.75*1000*IF(OR(AD11="",AE11=""),0,AD11*AE11*(C11-AE11)/C11/1000)</f>
        <v>1498.1673141756</v>
      </c>
      <c r="I11" s="29" t="n">
        <f aca="false">IF(VLOOKUP(Y11,Datos_vigas!$A$19:$E$23,3,0)=0,"---",VLOOKUP(Y11,Datos_vigas!$A$19:$E$23,3,0)*D11*C11^2+0.5*1000*IF(OR(AD11="",AE11=""),0,AD11*AE11*(C11-AE11)/C11/1000))</f>
        <v>2097.392292</v>
      </c>
      <c r="J11" s="8" t="n">
        <v>15</v>
      </c>
      <c r="K11" s="8" t="n">
        <f aca="false">L11-AH11</f>
        <v>67</v>
      </c>
      <c r="L11" s="8" t="n">
        <v>70</v>
      </c>
      <c r="M11" s="7" t="n">
        <f aca="false">IF(NOT(ISNUMBER(H11)),"---",IF(H11&lt;=0,"---",IF(H11*100/(Datos_vigas!$B$8*AB11*K11^2*Datos_vigas!$B$5)&gt;=0.5,"REVISAR",MAX((1-SQRT(1-2*H11*100/(Datos_vigas!$B$8*AB11*K11^2*Datos_vigas!$B$5)))*AB11*K11*Datos_vigas!$B$5/Datos_vigas!$B$6,0.0033*J11*K11))))</f>
        <v>3.3165</v>
      </c>
      <c r="N11" s="8" t="n">
        <v>3</v>
      </c>
      <c r="O11" s="8" t="n">
        <v>12</v>
      </c>
      <c r="P11" s="7" t="n">
        <f aca="false">IF(NOT(ISNUMBER(I11)),"---",IF(I11&lt;=0,"---",IF(I11*100/(Datos_vigas!$B$8*AC11*K11^2*Datos_vigas!$B$5)&gt;=0.5,"REVISAR",MAX((1-SQRT(1-2*I11*100/(Datos_vigas!$B$8*AC11*K11^2*Datos_vigas!$B$5)))*AC11*K11*Datos_vigas!$B$5/Datos_vigas!$B$6,0.0033*J11*K11))))</f>
        <v>3.3165</v>
      </c>
      <c r="Q11" s="8" t="n">
        <v>3</v>
      </c>
      <c r="R11" s="8" t="n">
        <v>12</v>
      </c>
      <c r="S11" s="7" t="n">
        <f aca="false">F11/(J11*0.85*K11)</f>
        <v>4.18921474978051</v>
      </c>
      <c r="T11" s="7" t="n">
        <f aca="false">G11/(J11*0.85*K11)</f>
        <v>4.18921474978051</v>
      </c>
      <c r="U11" s="8" t="n">
        <v>6</v>
      </c>
      <c r="V11" s="8" t="n">
        <v>30</v>
      </c>
      <c r="W11" s="9" t="str">
        <f aca="false">IF(OR(M11="REVISAR",P11="REVISAR"),"SECCION INSUF.",IF(NOT(AND(M11&lt;&gt;"REVISAR",P11&lt;&gt;"REVISAR",IF(ISNUMBER(M11),N11*PI()*(O11/10)^2/4&gt;=M11,TRUE()),IF(ISNUMBER(P11),Q11*PI()*(R11/10)^2/4&gt;=P11,TRUE()),IF(ISNUMBER(M11),M11&lt;=0.0163*AB11*K11,TRUE()),IF(ISNUMBER(P11),P11&lt;=0.0163*AC11*K11,TRUE()))),"NO VERIFICA FLEX.",IF(NOT(F11&lt;=Datos_vigas!$B$9*(0.53*SQRT(Datos_vigas!$B$5)*J11*K11+2*PI()*(U11/10)^2/4*Datos_vigas!$B$6*K11/V11)),"NO VERIF. CORTE",IF(NOT(L11&gt;=C11*100/VLOOKUP(Y11,Datos_vigas!$A$19:$E$23,5,0)),"VERIFICAR FLECHA","VERIFICA"))))</f>
        <v>VERIFICA</v>
      </c>
      <c r="X11" s="10" t="s">
        <v>168</v>
      </c>
      <c r="Y11" s="8" t="s">
        <v>165</v>
      </c>
      <c r="Z11" s="8" t="s">
        <v>166</v>
      </c>
      <c r="AA11" s="8" t="n">
        <v>12</v>
      </c>
      <c r="AB11" s="8" t="n">
        <f aca="false">IF(Z11="Colgante",MIN(C11*100/4,J11+16*AA11),J11)</f>
        <v>15</v>
      </c>
      <c r="AC11" s="8" t="n">
        <f aca="false">IF(Z11="Invertida",MIN(C11*100/4,J11+16*AA11),J11)</f>
        <v>84.25</v>
      </c>
      <c r="AD11" s="8"/>
      <c r="AE11" s="8"/>
      <c r="AF11" s="8" t="n">
        <v>0.78</v>
      </c>
      <c r="AG11" s="8" t="n">
        <v>2.6</v>
      </c>
      <c r="AH11" s="8" t="n">
        <v>3</v>
      </c>
    </row>
    <row r="12" customFormat="false" ht="69.75" hidden="false" customHeight="true" outlineLevel="0" collapsed="false">
      <c r="A12" s="28"/>
      <c r="B12" s="19" t="s">
        <v>178</v>
      </c>
      <c r="C12" s="7" t="n">
        <v>4.03</v>
      </c>
      <c r="D12" s="29" t="n">
        <f aca="false">(Datos_vigas!$B$10*(VLOOKUP($A$4,Datos_vigas!$A$14:$E$15,2,0)*AF12+Datos_vigas!$B$7*J12*L12/10000+Datos_vigas!$B$16*AG12)+Datos_vigas!$B$11*VLOOKUP($A$4,Datos_vigas!$A$14:$E$15,3,0)*AF12)</f>
        <v>1082.4</v>
      </c>
      <c r="E12" s="8"/>
      <c r="F12" s="29" t="n">
        <f aca="false">VLOOKUP(Y12,Datos_vigas!$A$19:$E$23,4,0)*D12*C12+IF(OR(AD12="",AE12=""),0,AD12*MAX(AE12,C12-AE12)/C12)</f>
        <v>2508.1914</v>
      </c>
      <c r="G12" s="29" t="n">
        <f aca="false">F12</f>
        <v>2508.1914</v>
      </c>
      <c r="H12" s="29" t="n">
        <f aca="false">VLOOKUP(Y12,Datos_vigas!$A$19:$E$23,2,0)*D12*C12^2+0.75*1000*IF(OR(AD12="",AE12=""),0,AD12*AE12*(C12-AE12)/C12/1000)</f>
        <v>1255.6786959288</v>
      </c>
      <c r="I12" s="29" t="n">
        <f aca="false">IF(VLOOKUP(Y12,Datos_vigas!$A$19:$E$23,3,0)=0,"---",VLOOKUP(Y12,Datos_vigas!$A$19:$E$23,3,0)*D12*C12^2+0.5*1000*IF(OR(AD12="",AE12=""),0,AD12*AE12*(C12-AE12)/C12/1000))</f>
        <v>1757.915016</v>
      </c>
      <c r="J12" s="8" t="n">
        <v>15</v>
      </c>
      <c r="K12" s="8" t="n">
        <f aca="false">L12-AH12</f>
        <v>67</v>
      </c>
      <c r="L12" s="8" t="n">
        <v>70</v>
      </c>
      <c r="M12" s="7" t="n">
        <f aca="false">IF(NOT(ISNUMBER(H12)),"---",IF(H12&lt;=0,"---",IF(H12*100/(Datos_vigas!$B$8*AB12*K12^2*Datos_vigas!$B$5)&gt;=0.5,"REVISAR",MAX((1-SQRT(1-2*H12*100/(Datos_vigas!$B$8*AB12*K12^2*Datos_vigas!$B$5)))*AB12*K12*Datos_vigas!$B$5/Datos_vigas!$B$6,0.0033*J12*K12))))</f>
        <v>3.3165</v>
      </c>
      <c r="N12" s="8" t="n">
        <v>3</v>
      </c>
      <c r="O12" s="8" t="n">
        <v>12</v>
      </c>
      <c r="P12" s="7" t="n">
        <f aca="false">IF(NOT(ISNUMBER(I12)),"---",IF(I12&lt;=0,"---",IF(I12*100/(Datos_vigas!$B$8*AC12*K12^2*Datos_vigas!$B$5)&gt;=0.5,"REVISAR",MAX((1-SQRT(1-2*I12*100/(Datos_vigas!$B$8*AC12*K12^2*Datos_vigas!$B$5)))*AC12*K12*Datos_vigas!$B$5/Datos_vigas!$B$6,0.0033*J12*K12))))</f>
        <v>3.3165</v>
      </c>
      <c r="Q12" s="8" t="n">
        <v>3</v>
      </c>
      <c r="R12" s="8" t="n">
        <v>12</v>
      </c>
      <c r="S12" s="7" t="n">
        <f aca="false">F12/(J12*0.85*K12)</f>
        <v>2.93613274802458</v>
      </c>
      <c r="T12" s="7" t="n">
        <f aca="false">G12/(J12*0.85*K12)</f>
        <v>2.93613274802458</v>
      </c>
      <c r="U12" s="8" t="n">
        <v>6</v>
      </c>
      <c r="V12" s="8" t="n">
        <v>30</v>
      </c>
      <c r="W12" s="9" t="str">
        <f aca="false">IF(OR(M12="REVISAR",P12="REVISAR"),"SECCION INSUF.",IF(NOT(AND(M12&lt;&gt;"REVISAR",P12&lt;&gt;"REVISAR",IF(ISNUMBER(M12),N12*PI()*(O12/10)^2/4&gt;=M12,TRUE()),IF(ISNUMBER(P12),Q12*PI()*(R12/10)^2/4&gt;=P12,TRUE()),IF(ISNUMBER(M12),M12&lt;=0.0163*AB12*K12,TRUE()),IF(ISNUMBER(P12),P12&lt;=0.0163*AC12*K12,TRUE()))),"NO VERIFICA FLEX.",IF(NOT(F12&lt;=Datos_vigas!$B$9*(0.53*SQRT(Datos_vigas!$B$5)*J12*K12+2*PI()*(U12/10)^2/4*Datos_vigas!$B$6*K12/V12)),"NO VERIF. CORTE",IF(NOT(L12&gt;=C12*100/VLOOKUP(Y12,Datos_vigas!$A$19:$E$23,5,0)),"VERIFICAR FLECHA","VERIFICA"))))</f>
        <v>VERIFICA</v>
      </c>
      <c r="X12" s="10" t="s">
        <v>168</v>
      </c>
      <c r="Y12" s="8" t="s">
        <v>165</v>
      </c>
      <c r="Z12" s="8" t="s">
        <v>166</v>
      </c>
      <c r="AA12" s="8" t="n">
        <v>12</v>
      </c>
      <c r="AB12" s="8" t="n">
        <f aca="false">IF(Z12="Colgante",MIN(C12*100/4,J12+16*AA12),J12)</f>
        <v>15</v>
      </c>
      <c r="AC12" s="8" t="n">
        <f aca="false">IF(Z12="Invertida",MIN(C12*100/4,J12+16*AA12),J12)</f>
        <v>100.75</v>
      </c>
      <c r="AD12" s="8"/>
      <c r="AE12" s="8"/>
      <c r="AF12" s="8" t="n">
        <v>0</v>
      </c>
      <c r="AG12" s="8" t="n">
        <v>2.6</v>
      </c>
      <c r="AH12" s="8" t="n">
        <v>3</v>
      </c>
    </row>
    <row r="13" customFormat="false" ht="69.75" hidden="false" customHeight="true" outlineLevel="0" collapsed="false">
      <c r="A13" s="28"/>
      <c r="B13" s="19" t="s">
        <v>179</v>
      </c>
      <c r="C13" s="7" t="n">
        <v>8.6</v>
      </c>
      <c r="D13" s="29" t="n">
        <f aca="false">(Datos_vigas!$B$10*(VLOOKUP($A$4,Datos_vigas!$A$14:$E$15,2,0)*AF13+Datos_vigas!$B$7*J13*L13/10000+Datos_vigas!$B$16*AG13)+Datos_vigas!$B$11*VLOOKUP($A$4,Datos_vigas!$A$14:$E$15,3,0)*AF13)</f>
        <v>4718.2</v>
      </c>
      <c r="E13" s="8"/>
      <c r="F13" s="29" t="n">
        <f aca="false">VLOOKUP(Y13,Datos_vigas!$A$19:$E$23,4,0)*D13*C13+IF(OR(AD13="",AE13=""),0,AD13*MAX(AE13,C13-AE13)/C13)</f>
        <v>26369.0459302326</v>
      </c>
      <c r="G13" s="29" t="n">
        <f aca="false">F13</f>
        <v>26369.0459302326</v>
      </c>
      <c r="H13" s="29" t="n">
        <f aca="false">VLOOKUP(Y13,Datos_vigas!$A$19:$E$23,2,0)*D13*C13^2+0.75*1000*IF(OR(AD13="",AE13=""),0,AD13*AE13*(C13-AE13)/C13/1000)</f>
        <v>27258.7885539479</v>
      </c>
      <c r="I13" s="29" t="n">
        <f aca="false">IF(VLOOKUP(Y13,Datos_vigas!$A$19:$E$23,3,0)=0,"---",VLOOKUP(Y13,Datos_vigas!$A$19:$E$23,3,0)*D13*C13^2+0.5*1000*IF(OR(AD13="",AE13=""),0,AD13*AE13*(C13-AE13)/C13/1000))</f>
        <v>45435.4566744186</v>
      </c>
      <c r="J13" s="8" t="n">
        <v>15</v>
      </c>
      <c r="K13" s="8" t="n">
        <f aca="false">L13-AH13</f>
        <v>64</v>
      </c>
      <c r="L13" s="8" t="n">
        <v>70</v>
      </c>
      <c r="M13" s="7" t="n">
        <f aca="false">IF(NOT(ISNUMBER(H13)),"---",IF(H13&lt;=0,"---",IF(H13*100/(Datos_vigas!$B$8*AB13*K13^2*Datos_vigas!$B$5)&gt;=0.5,"REVISAR",MAX((1-SQRT(1-2*H13*100/(Datos_vigas!$B$8*AB13*K13^2*Datos_vigas!$B$5)))*AB13*K13*Datos_vigas!$B$5/Datos_vigas!$B$6,0.0033*J13*K13))))</f>
        <v>13.0385635090604</v>
      </c>
      <c r="N13" s="8" t="n">
        <v>3</v>
      </c>
      <c r="O13" s="8" t="n">
        <v>25</v>
      </c>
      <c r="P13" s="7" t="n">
        <f aca="false">IF(NOT(ISNUMBER(I13)),"---",IF(I13&lt;=0,"---",IF(I13*100/(Datos_vigas!$B$8*AC13*K13^2*Datos_vigas!$B$5)&gt;=0.5,"REVISAR",MAX((1-SQRT(1-2*I13*100/(Datos_vigas!$B$8*AC13*K13^2*Datos_vigas!$B$5)))*AC13*K13*Datos_vigas!$B$5/Datos_vigas!$B$6,0.0033*J13*K13))))</f>
        <v>19.0552724333412</v>
      </c>
      <c r="Q13" s="8" t="n">
        <v>4</v>
      </c>
      <c r="R13" s="8" t="n">
        <v>25</v>
      </c>
      <c r="S13" s="7" t="n">
        <f aca="false">F13/(J13*0.85*K13)</f>
        <v>32.3150072674419</v>
      </c>
      <c r="T13" s="7" t="n">
        <f aca="false">G13/(J13*0.85*K13)</f>
        <v>32.3150072674419</v>
      </c>
      <c r="U13" s="8" t="n">
        <v>10</v>
      </c>
      <c r="V13" s="8" t="n">
        <v>15</v>
      </c>
      <c r="W13" s="9" t="str">
        <f aca="false">IF(OR(M13="REVISAR",P13="REVISAR"),"SECCION INSUF.",IF(NOT(AND(M13&lt;&gt;"REVISAR",P13&lt;&gt;"REVISAR",IF(ISNUMBER(M13),N13*PI()*(O13/10)^2/4&gt;=M13,TRUE()),IF(ISNUMBER(P13),Q13*PI()*(R13/10)^2/4&gt;=P13,TRUE()),IF(ISNUMBER(M13),M13&lt;=0.0163*AB13*K13,TRUE()),IF(ISNUMBER(P13),P13&lt;=0.0163*AC13*K13,TRUE()))),"NO VERIFICA FLEX.",IF(NOT(F13&lt;=Datos_vigas!$B$9*(0.53*SQRT(Datos_vigas!$B$5)*J13*K13+2*PI()*(U13/10)^2/4*Datos_vigas!$B$6*K13/V13)),"NO VERIF. CORTE",IF(NOT(L13&gt;=C13*100/VLOOKUP(Y13,Datos_vigas!$A$19:$E$23,5,0)),"VERIFICAR FLECHA","VERIFICA"))))</f>
        <v>VERIFICA</v>
      </c>
      <c r="X13" s="10" t="s">
        <v>180</v>
      </c>
      <c r="Y13" s="8" t="s">
        <v>181</v>
      </c>
      <c r="Z13" s="8" t="s">
        <v>166</v>
      </c>
      <c r="AA13" s="8" t="n">
        <v>12</v>
      </c>
      <c r="AB13" s="8" t="n">
        <f aca="false">IF(Z13="Colgante",MIN(C13*100/4,J13+16*AA13),J13)</f>
        <v>15</v>
      </c>
      <c r="AC13" s="8" t="n">
        <f aca="false">IF(Z13="Invertida",MIN(C13*100/4,J13+16*AA13),J13)</f>
        <v>207</v>
      </c>
      <c r="AD13" s="8" t="n">
        <v>1735</v>
      </c>
      <c r="AE13" s="8" t="n">
        <v>3.6</v>
      </c>
      <c r="AF13" s="8" t="n">
        <v>3.71</v>
      </c>
      <c r="AG13" s="8" t="n">
        <v>2.6</v>
      </c>
      <c r="AH13" s="8" t="n">
        <v>6</v>
      </c>
    </row>
    <row r="14" customFormat="false" ht="69.75" hidden="false" customHeight="true" outlineLevel="0" collapsed="false">
      <c r="A14" s="28"/>
      <c r="B14" s="19" t="s">
        <v>182</v>
      </c>
      <c r="C14" s="7" t="n">
        <v>3.65</v>
      </c>
      <c r="D14" s="29" t="n">
        <f aca="false">(Datos_vigas!$B$10*(VLOOKUP($A$4,Datos_vigas!$A$14:$E$15,2,0)*AF14+Datos_vigas!$B$7*J14*L14/10000+Datos_vigas!$B$16*AG14)+Datos_vigas!$B$11*VLOOKUP($A$4,Datos_vigas!$A$14:$E$15,3,0)*AF14)</f>
        <v>2126.1</v>
      </c>
      <c r="E14" s="8"/>
      <c r="F14" s="29" t="n">
        <f aca="false">VLOOKUP(Y14,Datos_vigas!$A$19:$E$23,4,0)*D14*C14+IF(OR(AD14="",AE14=""),0,AD14*MAX(AE14,C14-AE14)/C14)</f>
        <v>4462.152375</v>
      </c>
      <c r="G14" s="29" t="n">
        <f aca="false">F14</f>
        <v>4462.152375</v>
      </c>
      <c r="H14" s="29" t="n">
        <f aca="false">VLOOKUP(Y14,Datos_vigas!$A$19:$E$23,2,0)*D14*C14^2+0.75*1000*IF(OR(AD14="",AE14=""),0,AD14*AE14*(C14-AE14)/C14/1000)</f>
        <v>2023.2524106675</v>
      </c>
      <c r="I14" s="29" t="n">
        <f aca="false">IF(VLOOKUP(Y14,Datos_vigas!$A$19:$E$23,3,0)=0,"---",VLOOKUP(Y14,Datos_vigas!$A$19:$E$23,3,0)*D14*C14^2+0.5*1000*IF(OR(AD14="",AE14=""),0,AD14*AE14*(C14-AE14)/C14/1000))</f>
        <v>2832.496725</v>
      </c>
      <c r="J14" s="8" t="n">
        <v>15</v>
      </c>
      <c r="K14" s="8" t="n">
        <f aca="false">L14-AH14</f>
        <v>67</v>
      </c>
      <c r="L14" s="8" t="n">
        <v>70</v>
      </c>
      <c r="M14" s="7" t="n">
        <f aca="false">IF(NOT(ISNUMBER(H14)),"---",IF(H14&lt;=0,"---",IF(H14*100/(Datos_vigas!$B$8*AB14*K14^2*Datos_vigas!$B$5)&gt;=0.5,"REVISAR",MAX((1-SQRT(1-2*H14*100/(Datos_vigas!$B$8*AB14*K14^2*Datos_vigas!$B$5)))*AB14*K14*Datos_vigas!$B$5/Datos_vigas!$B$6,0.0033*J14*K14))))</f>
        <v>3.3165</v>
      </c>
      <c r="N14" s="8" t="n">
        <v>3</v>
      </c>
      <c r="O14" s="8" t="n">
        <v>12</v>
      </c>
      <c r="P14" s="7" t="n">
        <f aca="false">IF(NOT(ISNUMBER(I14)),"---",IF(I14&lt;=0,"---",IF(I14*100/(Datos_vigas!$B$8*AC14*K14^2*Datos_vigas!$B$5)&gt;=0.5,"REVISAR",MAX((1-SQRT(1-2*I14*100/(Datos_vigas!$B$8*AC14*K14^2*Datos_vigas!$B$5)))*AC14*K14*Datos_vigas!$B$5/Datos_vigas!$B$6,0.0033*J14*K14))))</f>
        <v>3.3165</v>
      </c>
      <c r="Q14" s="8" t="n">
        <v>3</v>
      </c>
      <c r="R14" s="8" t="n">
        <v>12</v>
      </c>
      <c r="S14" s="7" t="n">
        <f aca="false">F14/(J14*0.85*K14)</f>
        <v>5.22347366110623</v>
      </c>
      <c r="T14" s="7" t="n">
        <f aca="false">G14/(J14*0.85*K14)</f>
        <v>5.22347366110623</v>
      </c>
      <c r="U14" s="8" t="n">
        <v>6</v>
      </c>
      <c r="V14" s="8" t="n">
        <v>30</v>
      </c>
      <c r="W14" s="9" t="str">
        <f aca="false">IF(OR(M14="REVISAR",P14="REVISAR"),"SECCION INSUF.",IF(NOT(AND(M14&lt;&gt;"REVISAR",P14&lt;&gt;"REVISAR",IF(ISNUMBER(M14),N14*PI()*(O14/10)^2/4&gt;=M14,TRUE()),IF(ISNUMBER(P14),Q14*PI()*(R14/10)^2/4&gt;=P14,TRUE()),IF(ISNUMBER(M14),M14&lt;=0.0163*AB14*K14,TRUE()),IF(ISNUMBER(P14),P14&lt;=0.0163*AC14*K14,TRUE()))),"NO VERIFICA FLEX.",IF(NOT(F14&lt;=Datos_vigas!$B$9*(0.53*SQRT(Datos_vigas!$B$5)*J14*K14+2*PI()*(U14/10)^2/4*Datos_vigas!$B$6*K14/V14)),"NO VERIF. CORTE",IF(NOT(L14&gt;=C14*100/VLOOKUP(Y14,Datos_vigas!$A$19:$E$23,5,0)),"VERIFICAR FLECHA","VERIFICA"))))</f>
        <v>VERIFICA</v>
      </c>
      <c r="X14" s="8"/>
      <c r="Y14" s="8" t="s">
        <v>165</v>
      </c>
      <c r="Z14" s="8" t="s">
        <v>166</v>
      </c>
      <c r="AA14" s="8" t="n">
        <v>12</v>
      </c>
      <c r="AB14" s="8" t="n">
        <f aca="false">IF(Z14="Colgante",MIN(C14*100/4,J14+16*AA14),J14)</f>
        <v>15</v>
      </c>
      <c r="AC14" s="8" t="n">
        <f aca="false">IF(Z14="Invertida",MIN(C14*100/4,J14+16*AA14),J14)</f>
        <v>91.25</v>
      </c>
      <c r="AD14" s="8"/>
      <c r="AE14" s="8"/>
      <c r="AF14" s="8" t="n">
        <v>1.065</v>
      </c>
      <c r="AG14" s="8" t="n">
        <v>2.6</v>
      </c>
      <c r="AH14" s="8" t="n">
        <v>3</v>
      </c>
    </row>
    <row r="15" customFormat="false" ht="69.75" hidden="false" customHeight="true" outlineLevel="0" collapsed="false">
      <c r="A15" s="28"/>
      <c r="B15" s="19" t="s">
        <v>183</v>
      </c>
      <c r="C15" s="7" t="n">
        <v>4.87</v>
      </c>
      <c r="D15" s="29" t="n">
        <f aca="false">(Datos_vigas!$B$10*(VLOOKUP($A$4,Datos_vigas!$A$14:$E$15,2,0)*AF15+Datos_vigas!$B$7*J15*L15/10000+Datos_vigas!$B$16*AG15)+Datos_vigas!$B$11*VLOOKUP($A$4,Datos_vigas!$A$14:$E$15,3,0)*AF15)</f>
        <v>2126.1</v>
      </c>
      <c r="E15" s="8"/>
      <c r="F15" s="29" t="n">
        <f aca="false">VLOOKUP(Y15,Datos_vigas!$A$19:$E$23,4,0)*D15*C15+IF(OR(AD15="",AE15=""),0,AD15*MAX(AE15,C15-AE15)/C15)</f>
        <v>5953.611525</v>
      </c>
      <c r="G15" s="29" t="n">
        <f aca="false">F15</f>
        <v>5953.611525</v>
      </c>
      <c r="H15" s="29" t="n">
        <f aca="false">VLOOKUP(Y15,Datos_vigas!$A$19:$E$23,2,0)*D15*C15^2+0.75*1000*IF(OR(AD15="",AE15=""),0,AD15*AE15*(C15-AE15)/C15/1000)</f>
        <v>3601.8221128587</v>
      </c>
      <c r="I15" s="29" t="n">
        <f aca="false">IF(VLOOKUP(Y15,Datos_vigas!$A$19:$E$23,3,0)=0,"---",VLOOKUP(Y15,Datos_vigas!$A$19:$E$23,3,0)*D15*C15^2+0.5*1000*IF(OR(AD15="",AE15=""),0,AD15*AE15*(C15-AE15)/C15/1000))</f>
        <v>5042.450109</v>
      </c>
      <c r="J15" s="8" t="n">
        <v>15</v>
      </c>
      <c r="K15" s="8" t="n">
        <f aca="false">L15-AH15</f>
        <v>67</v>
      </c>
      <c r="L15" s="8" t="n">
        <v>70</v>
      </c>
      <c r="M15" s="7" t="n">
        <f aca="false">IF(NOT(ISNUMBER(H15)),"---",IF(H15&lt;=0,"---",IF(H15*100/(Datos_vigas!$B$8*AB15*K15^2*Datos_vigas!$B$5)&gt;=0.5,"REVISAR",MAX((1-SQRT(1-2*H15*100/(Datos_vigas!$B$8*AB15*K15^2*Datos_vigas!$B$5)))*AB15*K15*Datos_vigas!$B$5/Datos_vigas!$B$6,0.0033*J15*K15))))</f>
        <v>3.3165</v>
      </c>
      <c r="N15" s="8" t="n">
        <v>3</v>
      </c>
      <c r="O15" s="8" t="n">
        <v>12</v>
      </c>
      <c r="P15" s="7" t="n">
        <f aca="false">IF(NOT(ISNUMBER(I15)),"---",IF(I15&lt;=0,"---",IF(I15*100/(Datos_vigas!$B$8*AC15*K15^2*Datos_vigas!$B$5)&gt;=0.5,"REVISAR",MAX((1-SQRT(1-2*I15*100/(Datos_vigas!$B$8*AC15*K15^2*Datos_vigas!$B$5)))*AC15*K15*Datos_vigas!$B$5/Datos_vigas!$B$6,0.0033*J15*K15))))</f>
        <v>3.3165</v>
      </c>
      <c r="Q15" s="8" t="n">
        <v>3</v>
      </c>
      <c r="R15" s="8" t="n">
        <v>12</v>
      </c>
      <c r="S15" s="7" t="n">
        <f aca="false">F15/(J15*0.85*K15)</f>
        <v>6.96940184372256</v>
      </c>
      <c r="T15" s="7" t="n">
        <f aca="false">G15/(J15*0.85*K15)</f>
        <v>6.96940184372256</v>
      </c>
      <c r="U15" s="8" t="n">
        <v>6</v>
      </c>
      <c r="V15" s="8" t="n">
        <v>30</v>
      </c>
      <c r="W15" s="9" t="str">
        <f aca="false">IF(OR(M15="REVISAR",P15="REVISAR"),"SECCION INSUF.",IF(NOT(AND(M15&lt;&gt;"REVISAR",P15&lt;&gt;"REVISAR",IF(ISNUMBER(M15),N15*PI()*(O15/10)^2/4&gt;=M15,TRUE()),IF(ISNUMBER(P15),Q15*PI()*(R15/10)^2/4&gt;=P15,TRUE()),IF(ISNUMBER(M15),M15&lt;=0.0163*AB15*K15,TRUE()),IF(ISNUMBER(P15),P15&lt;=0.0163*AC15*K15,TRUE()))),"NO VERIFICA FLEX.",IF(NOT(F15&lt;=Datos_vigas!$B$9*(0.53*SQRT(Datos_vigas!$B$5)*J15*K15+2*PI()*(U15/10)^2/4*Datos_vigas!$B$6*K15/V15)),"NO VERIF. CORTE",IF(NOT(L15&gt;=C15*100/VLOOKUP(Y15,Datos_vigas!$A$19:$E$23,5,0)),"VERIFICAR FLECHA","VERIFICA"))))</f>
        <v>VERIFICA</v>
      </c>
      <c r="X15" s="10" t="s">
        <v>184</v>
      </c>
      <c r="Y15" s="8" t="s">
        <v>165</v>
      </c>
      <c r="Z15" s="8" t="s">
        <v>166</v>
      </c>
      <c r="AA15" s="8" t="n">
        <v>12</v>
      </c>
      <c r="AB15" s="8" t="n">
        <f aca="false">IF(Z15="Colgante",MIN(C15*100/4,J15+16*AA15),J15)</f>
        <v>15</v>
      </c>
      <c r="AC15" s="8" t="n">
        <f aca="false">IF(Z15="Invertida",MIN(C15*100/4,J15+16*AA15),J15)</f>
        <v>121.75</v>
      </c>
      <c r="AD15" s="8"/>
      <c r="AE15" s="8"/>
      <c r="AF15" s="8" t="n">
        <v>1.065</v>
      </c>
      <c r="AG15" s="8" t="n">
        <v>2.6</v>
      </c>
      <c r="AH15" s="8" t="n">
        <v>3</v>
      </c>
    </row>
    <row r="16" customFormat="false" ht="69.75" hidden="false" customHeight="true" outlineLevel="0" collapsed="false">
      <c r="A16" s="28"/>
      <c r="B16" s="19" t="s">
        <v>185</v>
      </c>
      <c r="C16" s="7" t="n">
        <v>4.87</v>
      </c>
      <c r="D16" s="29" t="n">
        <f aca="false">(Datos_vigas!$B$10*(VLOOKUP($A$4,Datos_vigas!$A$14:$E$15,2,0)*AF16+Datos_vigas!$B$7*J16*L16/10000+Datos_vigas!$B$16*AG16)+Datos_vigas!$B$11*VLOOKUP($A$4,Datos_vigas!$A$14:$E$15,3,0)*AF16)</f>
        <v>2600.42</v>
      </c>
      <c r="E16" s="8"/>
      <c r="F16" s="29" t="n">
        <f aca="false">VLOOKUP(Y16,Datos_vigas!$A$19:$E$23,4,0)*D16*C16+IF(OR(AD16="",AE16=""),0,AD16*MAX(AE16,C16-AE16)/C16)</f>
        <v>6332.0227</v>
      </c>
      <c r="G16" s="29" t="n">
        <f aca="false">F16</f>
        <v>6332.0227</v>
      </c>
      <c r="H16" s="29" t="n">
        <f aca="false">VLOOKUP(Y16,Datos_vigas!$A$19:$E$23,2,0)*D16*C16^2+0.75*1000*IF(OR(AD16="",AE16=""),0,AD16*AE16*(C16-AE16)/C16/1000)</f>
        <v>7709.23763725</v>
      </c>
      <c r="I16" s="29" t="str">
        <f aca="false">IF(VLOOKUP(Y16,Datos_vigas!$A$19:$E$23,3,0)=0,"---",VLOOKUP(Y16,Datos_vigas!$A$19:$E$23,3,0)*D16*C16^2+0.5*1000*IF(OR(AD16="",AE16=""),0,AD16*AE16*(C16-AE16)/C16/1000))</f>
        <v>---</v>
      </c>
      <c r="J16" s="8" t="n">
        <v>15</v>
      </c>
      <c r="K16" s="8" t="n">
        <f aca="false">L16-AH16</f>
        <v>67</v>
      </c>
      <c r="L16" s="8" t="n">
        <v>70</v>
      </c>
      <c r="M16" s="7" t="n">
        <f aca="false">IF(NOT(ISNUMBER(H16)),"---",IF(H16&lt;=0,"---",IF(H16*100/(Datos_vigas!$B$8*AB16*K16^2*Datos_vigas!$B$5)&gt;=0.5,"REVISAR",MAX((1-SQRT(1-2*H16*100/(Datos_vigas!$B$8*AB16*K16^2*Datos_vigas!$B$5)))*AB16*K16*Datos_vigas!$B$5/Datos_vigas!$B$6,0.0033*J16*K16))))</f>
        <v>3.3165</v>
      </c>
      <c r="N16" s="8" t="n">
        <v>3</v>
      </c>
      <c r="O16" s="8" t="n">
        <v>12</v>
      </c>
      <c r="P16" s="7" t="str">
        <f aca="false">IF(NOT(ISNUMBER(I16)),"---",IF(I16&lt;=0,"---",IF(I16*100/(Datos_vigas!$B$8*AC16*K16^2*Datos_vigas!$B$5)&gt;=0.5,"REVISAR",MAX((1-SQRT(1-2*I16*100/(Datos_vigas!$B$8*AC16*K16^2*Datos_vigas!$B$5)))*AC16*K16*Datos_vigas!$B$5/Datos_vigas!$B$6,0.0033*J16*K16))))</f>
        <v>---</v>
      </c>
      <c r="Q16" s="8" t="s">
        <v>186</v>
      </c>
      <c r="R16" s="8" t="s">
        <v>186</v>
      </c>
      <c r="S16" s="7" t="n">
        <f aca="false">F16/(J16*0.85*K16)</f>
        <v>7.41237658764999</v>
      </c>
      <c r="T16" s="7" t="n">
        <f aca="false">G16/(J16*0.85*K16)</f>
        <v>7.41237658764999</v>
      </c>
      <c r="U16" s="8" t="n">
        <v>6</v>
      </c>
      <c r="V16" s="8" t="n">
        <v>30</v>
      </c>
      <c r="W16" s="9" t="str">
        <f aca="false">IF(OR(M16="REVISAR",P16="REVISAR"),"SECCION INSUF.",IF(NOT(AND(M16&lt;&gt;"REVISAR",P16&lt;&gt;"REVISAR",IF(ISNUMBER(M16),N16*PI()*(O16/10)^2/4&gt;=M16,TRUE()),IF(ISNUMBER(P16),Q16*PI()*(R16/10)^2/4&gt;=P16,TRUE()),IF(ISNUMBER(M16),M16&lt;=0.0163*AB16*K16,TRUE()),IF(ISNUMBER(P16),P16&lt;=0.0163*AC16*K16,TRUE()))),"NO VERIFICA FLEX.",IF(NOT(F16&lt;=Datos_vigas!$B$9*(0.53*SQRT(Datos_vigas!$B$5)*J16*K16+2*PI()*(U16/10)^2/4*Datos_vigas!$B$6*K16/V16)),"NO VERIF. CORTE",IF(NOT(L16&gt;=C16*100/VLOOKUP(Y16,Datos_vigas!$A$19:$E$23,5,0)),"VERIFICAR FLECHA","VERIFICA"))))</f>
        <v>VERIFICA</v>
      </c>
      <c r="X16" s="10" t="s">
        <v>187</v>
      </c>
      <c r="Y16" s="8" t="s">
        <v>188</v>
      </c>
      <c r="Z16" s="8" t="s">
        <v>166</v>
      </c>
      <c r="AA16" s="8" t="n">
        <v>12</v>
      </c>
      <c r="AB16" s="8" t="n">
        <f aca="false">IF(Z16="Colgante",MIN(C16*100/4,J16+16*AA16),J16)</f>
        <v>15</v>
      </c>
      <c r="AC16" s="8" t="n">
        <f aca="false">IF(Z16="Invertida",MIN(C16*100/4,J16+16*AA16),J16)</f>
        <v>121.75</v>
      </c>
      <c r="AD16" s="8"/>
      <c r="AE16" s="8"/>
      <c r="AF16" s="8" t="n">
        <v>1.549</v>
      </c>
      <c r="AG16" s="8" t="n">
        <v>2.6</v>
      </c>
      <c r="AH16" s="8" t="n">
        <v>3</v>
      </c>
    </row>
    <row r="17" customFormat="false" ht="69.75" hidden="false" customHeight="true" outlineLevel="0" collapsed="false">
      <c r="A17" s="28"/>
      <c r="B17" s="19" t="s">
        <v>189</v>
      </c>
      <c r="C17" s="7" t="n">
        <v>2.55</v>
      </c>
      <c r="D17" s="29" t="n">
        <f aca="false">(Datos_vigas!$B$10*(VLOOKUP($A$4,Datos_vigas!$A$14:$E$15,2,0)*AF17+Datos_vigas!$B$7*J17*L17/10000+Datos_vigas!$B$16*AG17)+Datos_vigas!$B$11*VLOOKUP($A$4,Datos_vigas!$A$14:$E$15,3,0)*AF17)</f>
        <v>1082.4</v>
      </c>
      <c r="E17" s="8"/>
      <c r="F17" s="29" t="n">
        <f aca="false">VLOOKUP(Y17,Datos_vigas!$A$19:$E$23,4,0)*D17*C17+IF(OR(AD17="",AE17=""),0,AD17*MAX(AE17,C17-AE17)/C17)</f>
        <v>1587.069</v>
      </c>
      <c r="G17" s="29" t="n">
        <f aca="false">F17</f>
        <v>1587.069</v>
      </c>
      <c r="H17" s="29" t="n">
        <f aca="false">VLOOKUP(Y17,Datos_vigas!$A$19:$E$23,2,0)*D17*C17^2+0.75*1000*IF(OR(AD17="",AE17=""),0,AD17*AE17*(C17-AE17)/C17/1000)</f>
        <v>502.74619758</v>
      </c>
      <c r="I17" s="29" t="n">
        <f aca="false">IF(VLOOKUP(Y17,Datos_vigas!$A$19:$E$23,3,0)=0,"---",VLOOKUP(Y17,Datos_vigas!$A$19:$E$23,3,0)*D17*C17^2+0.5*1000*IF(OR(AD17="",AE17=""),0,AD17*AE17*(C17-AE17)/C17/1000))</f>
        <v>703.8306</v>
      </c>
      <c r="J17" s="8" t="n">
        <v>15</v>
      </c>
      <c r="K17" s="8" t="n">
        <f aca="false">L17-AH17</f>
        <v>67</v>
      </c>
      <c r="L17" s="8" t="n">
        <v>70</v>
      </c>
      <c r="M17" s="7" t="n">
        <f aca="false">IF(NOT(ISNUMBER(H17)),"---",IF(H17&lt;=0,"---",IF(H17*100/(Datos_vigas!$B$8*AB17*K17^2*Datos_vigas!$B$5)&gt;=0.5,"REVISAR",MAX((1-SQRT(1-2*H17*100/(Datos_vigas!$B$8*AB17*K17^2*Datos_vigas!$B$5)))*AB17*K17*Datos_vigas!$B$5/Datos_vigas!$B$6,0.0033*J17*K17))))</f>
        <v>3.3165</v>
      </c>
      <c r="N17" s="8" t="n">
        <v>3</v>
      </c>
      <c r="O17" s="8" t="n">
        <v>12</v>
      </c>
      <c r="P17" s="7" t="n">
        <f aca="false">IF(NOT(ISNUMBER(I17)),"---",IF(I17&lt;=0,"---",IF(I17*100/(Datos_vigas!$B$8*AC17*K17^2*Datos_vigas!$B$5)&gt;=0.5,"REVISAR",MAX((1-SQRT(1-2*I17*100/(Datos_vigas!$B$8*AC17*K17^2*Datos_vigas!$B$5)))*AC17*K17*Datos_vigas!$B$5/Datos_vigas!$B$6,0.0033*J17*K17))))</f>
        <v>3.3165</v>
      </c>
      <c r="Q17" s="8" t="n">
        <v>3</v>
      </c>
      <c r="R17" s="8" t="n">
        <v>12</v>
      </c>
      <c r="S17" s="7" t="n">
        <f aca="false">F17/(J17*0.85*K17)</f>
        <v>1.85785074626866</v>
      </c>
      <c r="T17" s="7" t="n">
        <f aca="false">G17/(J17*0.85*K17)</f>
        <v>1.85785074626866</v>
      </c>
      <c r="U17" s="8" t="n">
        <v>6</v>
      </c>
      <c r="V17" s="8" t="n">
        <v>30</v>
      </c>
      <c r="W17" s="9" t="str">
        <f aca="false">IF(OR(M17="REVISAR",P17="REVISAR"),"SECCION INSUF.",IF(NOT(AND(M17&lt;&gt;"REVISAR",P17&lt;&gt;"REVISAR",IF(ISNUMBER(M17),N17*PI()*(O17/10)^2/4&gt;=M17,TRUE()),IF(ISNUMBER(P17),Q17*PI()*(R17/10)^2/4&gt;=P17,TRUE()),IF(ISNUMBER(M17),M17&lt;=0.0163*AB17*K17,TRUE()),IF(ISNUMBER(P17),P17&lt;=0.0163*AC17*K17,TRUE()))),"NO VERIFICA FLEX.",IF(NOT(F17&lt;=Datos_vigas!$B$9*(0.53*SQRT(Datos_vigas!$B$5)*J17*K17+2*PI()*(U17/10)^2/4*Datos_vigas!$B$6*K17/V17)),"NO VERIF. CORTE",IF(NOT(L17&gt;=C17*100/VLOOKUP(Y17,Datos_vigas!$A$19:$E$23,5,0)),"VERIFICAR FLECHA","VERIFICA"))))</f>
        <v>VERIFICA</v>
      </c>
      <c r="X17" s="8"/>
      <c r="Y17" s="8" t="s">
        <v>165</v>
      </c>
      <c r="Z17" s="8" t="s">
        <v>166</v>
      </c>
      <c r="AA17" s="8" t="n">
        <v>12</v>
      </c>
      <c r="AB17" s="8" t="n">
        <f aca="false">IF(Z17="Colgante",MIN(C17*100/4,J17+16*AA17),J17)</f>
        <v>15</v>
      </c>
      <c r="AC17" s="8" t="n">
        <f aca="false">IF(Z17="Invertida",MIN(C17*100/4,J17+16*AA17),J17)</f>
        <v>63.75</v>
      </c>
      <c r="AD17" s="8"/>
      <c r="AE17" s="8"/>
      <c r="AF17" s="8" t="n">
        <v>0</v>
      </c>
      <c r="AG17" s="8" t="n">
        <v>2.6</v>
      </c>
      <c r="AH17" s="8" t="n">
        <v>3</v>
      </c>
    </row>
    <row r="18" customFormat="false" ht="69.75" hidden="false" customHeight="true" outlineLevel="0" collapsed="false">
      <c r="A18" s="28"/>
      <c r="B18" s="19" t="s">
        <v>190</v>
      </c>
      <c r="C18" s="7" t="n">
        <v>4</v>
      </c>
      <c r="D18" s="29" t="n">
        <f aca="false">(Datos_vigas!$B$10*(VLOOKUP($A$4,Datos_vigas!$A$14:$E$15,2,0)*AF18+Datos_vigas!$B$7*J18*L18/10000+Datos_vigas!$B$16*AG18)+Datos_vigas!$B$11*VLOOKUP($A$4,Datos_vigas!$A$14:$E$15,3,0)*AF18)</f>
        <v>2870.9</v>
      </c>
      <c r="E18" s="8"/>
      <c r="F18" s="29" t="n">
        <f aca="false">VLOOKUP(Y18,Datos_vigas!$A$19:$E$23,4,0)*D18*C18+IF(OR(AD18="",AE18=""),0,AD18*MAX(AE18,C18-AE18)/C18)</f>
        <v>6603.07</v>
      </c>
      <c r="G18" s="29" t="n">
        <f aca="false">F18</f>
        <v>6603.07</v>
      </c>
      <c r="H18" s="29" t="n">
        <f aca="false">VLOOKUP(Y18,Datos_vigas!$A$19:$E$23,2,0)*D18*C18^2+0.75*1000*IF(OR(AD18="",AE18=""),0,AD18*AE18*(C18-AE18)/C18/1000)</f>
        <v>3281.094192</v>
      </c>
      <c r="I18" s="29" t="n">
        <f aca="false">IF(VLOOKUP(Y18,Datos_vigas!$A$19:$E$23,3,0)=0,"---",VLOOKUP(Y18,Datos_vigas!$A$19:$E$23,3,0)*D18*C18^2+0.5*1000*IF(OR(AD18="",AE18=""),0,AD18*AE18*(C18-AE18)/C18/1000))</f>
        <v>4593.44</v>
      </c>
      <c r="J18" s="8" t="n">
        <v>15</v>
      </c>
      <c r="K18" s="8" t="n">
        <f aca="false">L18-AH18</f>
        <v>67</v>
      </c>
      <c r="L18" s="8" t="n">
        <v>70</v>
      </c>
      <c r="M18" s="7" t="n">
        <f aca="false">IF(NOT(ISNUMBER(H18)),"---",IF(H18&lt;=0,"---",IF(H18*100/(Datos_vigas!$B$8*AB18*K18^2*Datos_vigas!$B$5)&gt;=0.5,"REVISAR",MAX((1-SQRT(1-2*H18*100/(Datos_vigas!$B$8*AB18*K18^2*Datos_vigas!$B$5)))*AB18*K18*Datos_vigas!$B$5/Datos_vigas!$B$6,0.0033*J18*K18))))</f>
        <v>3.3165</v>
      </c>
      <c r="N18" s="8" t="n">
        <v>3</v>
      </c>
      <c r="O18" s="8" t="n">
        <v>12</v>
      </c>
      <c r="P18" s="7" t="n">
        <f aca="false">IF(NOT(ISNUMBER(I18)),"---",IF(I18&lt;=0,"---",IF(I18*100/(Datos_vigas!$B$8*AC18*K18^2*Datos_vigas!$B$5)&gt;=0.5,"REVISAR",MAX((1-SQRT(1-2*I18*100/(Datos_vigas!$B$8*AC18*K18^2*Datos_vigas!$B$5)))*AC18*K18*Datos_vigas!$B$5/Datos_vigas!$B$6,0.0033*J18*K18))))</f>
        <v>3.3165</v>
      </c>
      <c r="Q18" s="8" t="n">
        <v>3</v>
      </c>
      <c r="R18" s="8" t="n">
        <v>12</v>
      </c>
      <c r="S18" s="7" t="n">
        <f aca="false">F18/(J18*0.85*K18)</f>
        <v>7.72966930055604</v>
      </c>
      <c r="T18" s="7" t="n">
        <f aca="false">G18/(J18*0.85*K18)</f>
        <v>7.72966930055604</v>
      </c>
      <c r="U18" s="8" t="n">
        <v>6</v>
      </c>
      <c r="V18" s="8" t="n">
        <v>30</v>
      </c>
      <c r="W18" s="9" t="str">
        <f aca="false">IF(OR(M18="REVISAR",P18="REVISAR"),"SECCION INSUF.",IF(NOT(AND(M18&lt;&gt;"REVISAR",P18&lt;&gt;"REVISAR",IF(ISNUMBER(M18),N18*PI()*(O18/10)^2/4&gt;=M18,TRUE()),IF(ISNUMBER(P18),Q18*PI()*(R18/10)^2/4&gt;=P18,TRUE()),IF(ISNUMBER(M18),M18&lt;=0.0163*AB18*K18,TRUE()),IF(ISNUMBER(P18),P18&lt;=0.0163*AC18*K18,TRUE()))),"NO VERIFICA FLEX.",IF(NOT(F18&lt;=Datos_vigas!$B$9*(0.53*SQRT(Datos_vigas!$B$5)*J18*K18+2*PI()*(U18/10)^2/4*Datos_vigas!$B$6*K18/V18)),"NO VERIF. CORTE",IF(NOT(L18&gt;=C18*100/VLOOKUP(Y18,Datos_vigas!$A$19:$E$23,5,0)),"VERIFICAR FLECHA","VERIFICA"))))</f>
        <v>VERIFICA</v>
      </c>
      <c r="X18" s="8"/>
      <c r="Y18" s="8" t="s">
        <v>165</v>
      </c>
      <c r="Z18" s="8" t="s">
        <v>166</v>
      </c>
      <c r="AA18" s="8" t="n">
        <v>12</v>
      </c>
      <c r="AB18" s="8" t="n">
        <f aca="false">IF(Z18="Colgante",MIN(C18*100/4,J18+16*AA18),J18)</f>
        <v>15</v>
      </c>
      <c r="AC18" s="8" t="n">
        <f aca="false">IF(Z18="Invertida",MIN(C18*100/4,J18+16*AA18),J18)</f>
        <v>100</v>
      </c>
      <c r="AD18" s="8"/>
      <c r="AE18" s="8"/>
      <c r="AF18" s="8" t="n">
        <v>1.825</v>
      </c>
      <c r="AG18" s="8" t="n">
        <v>2.6</v>
      </c>
      <c r="AH18" s="8" t="n">
        <v>3</v>
      </c>
    </row>
    <row r="19" customFormat="false" ht="69.75" hidden="false" customHeight="true" outlineLevel="0" collapsed="false">
      <c r="A19" s="28"/>
      <c r="B19" s="19" t="s">
        <v>191</v>
      </c>
      <c r="C19" s="7" t="n">
        <v>3.6</v>
      </c>
      <c r="D19" s="29" t="n">
        <f aca="false">(Datos_vigas!$B$10*(VLOOKUP($A$4,Datos_vigas!$A$14:$E$15,2,0)*AF19+Datos_vigas!$B$7*J19*L19/10000+Datos_vigas!$B$16*AG19)+Datos_vigas!$B$11*VLOOKUP($A$4,Datos_vigas!$A$14:$E$15,3,0)*AF19)</f>
        <v>1082.4</v>
      </c>
      <c r="E19" s="8"/>
      <c r="F19" s="29" t="n">
        <f aca="false">VLOOKUP(Y19,Datos_vigas!$A$19:$E$23,4,0)*D19*C19+IF(OR(AD19="",AE19=""),0,AD19*MAX(AE19,C19-AE19)/C19)</f>
        <v>2240.568</v>
      </c>
      <c r="G19" s="29" t="n">
        <f aca="false">F19</f>
        <v>2240.568</v>
      </c>
      <c r="H19" s="29" t="n">
        <f aca="false">VLOOKUP(Y19,Datos_vigas!$A$19:$E$23,2,0)*D19*C19^2+0.75*1000*IF(OR(AD19="",AE19=""),0,AD19*AE19*(C19-AE19)/C19/1000)</f>
        <v>1002.01318272</v>
      </c>
      <c r="I19" s="29" t="n">
        <f aca="false">IF(VLOOKUP(Y19,Datos_vigas!$A$19:$E$23,3,0)=0,"---",VLOOKUP(Y19,Datos_vigas!$A$19:$E$23,3,0)*D19*C19^2+0.5*1000*IF(OR(AD19="",AE19=""),0,AD19*AE19*(C19-AE19)/C19/1000))</f>
        <v>1402.7904</v>
      </c>
      <c r="J19" s="8" t="n">
        <v>15</v>
      </c>
      <c r="K19" s="8" t="n">
        <f aca="false">L19-AH19</f>
        <v>67</v>
      </c>
      <c r="L19" s="8" t="n">
        <v>70</v>
      </c>
      <c r="M19" s="7" t="n">
        <f aca="false">IF(NOT(ISNUMBER(H19)),"---",IF(H19&lt;=0,"---",IF(H19*100/(Datos_vigas!$B$8*AB19*K19^2*Datos_vigas!$B$5)&gt;=0.5,"REVISAR",MAX((1-SQRT(1-2*H19*100/(Datos_vigas!$B$8*AB19*K19^2*Datos_vigas!$B$5)))*AB19*K19*Datos_vigas!$B$5/Datos_vigas!$B$6,0.0033*J19*K19))))</f>
        <v>3.3165</v>
      </c>
      <c r="N19" s="8" t="n">
        <v>3</v>
      </c>
      <c r="O19" s="8" t="n">
        <v>12</v>
      </c>
      <c r="P19" s="7" t="n">
        <f aca="false">IF(NOT(ISNUMBER(I19)),"---",IF(I19&lt;=0,"---",IF(I19*100/(Datos_vigas!$B$8*AC19*K19^2*Datos_vigas!$B$5)&gt;=0.5,"REVISAR",MAX((1-SQRT(1-2*I19*100/(Datos_vigas!$B$8*AC19*K19^2*Datos_vigas!$B$5)))*AC19*K19*Datos_vigas!$B$5/Datos_vigas!$B$6,0.0033*J19*K19))))</f>
        <v>3.3165</v>
      </c>
      <c r="Q19" s="8" t="n">
        <v>3</v>
      </c>
      <c r="R19" s="8" t="n">
        <v>12</v>
      </c>
      <c r="S19" s="7" t="n">
        <f aca="false">F19/(J19*0.85*K19)</f>
        <v>2.62284811237928</v>
      </c>
      <c r="T19" s="7" t="n">
        <f aca="false">G19/(J19*0.85*K19)</f>
        <v>2.62284811237928</v>
      </c>
      <c r="U19" s="8" t="n">
        <v>6</v>
      </c>
      <c r="V19" s="8" t="n">
        <v>30</v>
      </c>
      <c r="W19" s="9" t="str">
        <f aca="false">IF(OR(M19="REVISAR",P19="REVISAR"),"SECCION INSUF.",IF(NOT(AND(M19&lt;&gt;"REVISAR",P19&lt;&gt;"REVISAR",IF(ISNUMBER(M19),N19*PI()*(O19/10)^2/4&gt;=M19,TRUE()),IF(ISNUMBER(P19),Q19*PI()*(R19/10)^2/4&gt;=P19,TRUE()),IF(ISNUMBER(M19),M19&lt;=0.0163*AB19*K19,TRUE()),IF(ISNUMBER(P19),P19&lt;=0.0163*AC19*K19,TRUE()))),"NO VERIFICA FLEX.",IF(NOT(F19&lt;=Datos_vigas!$B$9*(0.53*SQRT(Datos_vigas!$B$5)*J19*K19+2*PI()*(U19/10)^2/4*Datos_vigas!$B$6*K19/V19)),"NO VERIF. CORTE",IF(NOT(L19&gt;=C19*100/VLOOKUP(Y19,Datos_vigas!$A$19:$E$23,5,0)),"VERIFICAR FLECHA","VERIFICA"))))</f>
        <v>VERIFICA</v>
      </c>
      <c r="X19" s="8"/>
      <c r="Y19" s="8" t="s">
        <v>165</v>
      </c>
      <c r="Z19" s="8" t="s">
        <v>166</v>
      </c>
      <c r="AA19" s="8" t="n">
        <v>12</v>
      </c>
      <c r="AB19" s="8" t="n">
        <f aca="false">IF(Z19="Colgante",MIN(C19*100/4,J19+16*AA19),J19)</f>
        <v>15</v>
      </c>
      <c r="AC19" s="8" t="n">
        <f aca="false">IF(Z19="Invertida",MIN(C19*100/4,J19+16*AA19),J19)</f>
        <v>90</v>
      </c>
      <c r="AD19" s="8"/>
      <c r="AE19" s="8"/>
      <c r="AF19" s="8" t="n">
        <v>0</v>
      </c>
      <c r="AG19" s="8" t="n">
        <v>2.6</v>
      </c>
      <c r="AH19" s="8" t="n">
        <v>3</v>
      </c>
    </row>
    <row r="20" customFormat="false" ht="69.75" hidden="false" customHeight="true" outlineLevel="0" collapsed="false">
      <c r="A20" s="28"/>
      <c r="B20" s="19" t="s">
        <v>192</v>
      </c>
      <c r="C20" s="7" t="n">
        <v>7.68</v>
      </c>
      <c r="D20" s="29" t="n">
        <f aca="false">(Datos_vigas!$B$10*(VLOOKUP($A$4,Datos_vigas!$A$14:$E$15,2,0)*AF20+Datos_vigas!$B$7*J20*L20/10000+Datos_vigas!$B$16*AG20)+Datos_vigas!$B$11*VLOOKUP($A$4,Datos_vigas!$A$14:$E$15,3,0)*AF20)</f>
        <v>2870.9</v>
      </c>
      <c r="E20" s="8"/>
      <c r="F20" s="29" t="n">
        <f aca="false">VLOOKUP(Y20,Datos_vigas!$A$19:$E$23,4,0)*D20*C20+IF(OR(AD20="",AE20=""),0,AD20*MAX(AE20,C20-AE20)/C20)</f>
        <v>13780.32</v>
      </c>
      <c r="G20" s="29" t="n">
        <f aca="false">F20</f>
        <v>13780.32</v>
      </c>
      <c r="H20" s="29" t="n">
        <f aca="false">VLOOKUP(Y20,Datos_vigas!$A$19:$E$23,2,0)*D20*C20^2+0.75*1000*IF(OR(AD20="",AE20=""),0,AD20*AE20*(C20-AE20)/C20/1000)</f>
        <v>11905.7731485696</v>
      </c>
      <c r="I20" s="29" t="n">
        <f aca="false">IF(VLOOKUP(Y20,Datos_vigas!$A$19:$E$23,3,0)=0,"---",VLOOKUP(Y20,Datos_vigas!$A$19:$E$23,3,0)*D20*C20^2+0.5*1000*IF(OR(AD20="",AE20=""),0,AD20*AE20*(C20-AE20)/C20/1000))</f>
        <v>21166.57152</v>
      </c>
      <c r="J20" s="8" t="n">
        <v>15</v>
      </c>
      <c r="K20" s="8" t="n">
        <f aca="false">L20-AH20</f>
        <v>67</v>
      </c>
      <c r="L20" s="8" t="n">
        <v>70</v>
      </c>
      <c r="M20" s="7" t="n">
        <f aca="false">IF(NOT(ISNUMBER(H20)),"---",IF(H20&lt;=0,"---",IF(H20*100/(Datos_vigas!$B$8*AB20*K20^2*Datos_vigas!$B$5)&gt;=0.5,"REVISAR",MAX((1-SQRT(1-2*H20*100/(Datos_vigas!$B$8*AB20*K20^2*Datos_vigas!$B$5)))*AB20*K20*Datos_vigas!$B$5/Datos_vigas!$B$6,0.0033*J20*K20))))</f>
        <v>4.94424777602107</v>
      </c>
      <c r="N20" s="8" t="n">
        <v>2</v>
      </c>
      <c r="O20" s="8" t="n">
        <v>20</v>
      </c>
      <c r="P20" s="7" t="n">
        <f aca="false">IF(NOT(ISNUMBER(I20)),"---",IF(I20&lt;=0,"---",IF(I20*100/(Datos_vigas!$B$8*AC20*K20^2*Datos_vigas!$B$5)&gt;=0.5,"REVISAR",MAX((1-SQRT(1-2*I20*100/(Datos_vigas!$B$8*AC20*K20^2*Datos_vigas!$B$5)))*AC20*K20*Datos_vigas!$B$5/Datos_vigas!$B$6,0.0033*J20*K20))))</f>
        <v>8.41266113985636</v>
      </c>
      <c r="Q20" s="8" t="n">
        <v>2</v>
      </c>
      <c r="R20" s="8" t="n">
        <v>25</v>
      </c>
      <c r="S20" s="7" t="n">
        <f aca="false">F20/(J20*0.85*K20)</f>
        <v>16.1314837576822</v>
      </c>
      <c r="T20" s="7" t="n">
        <f aca="false">G20/(J20*0.85*K20)</f>
        <v>16.1314837576822</v>
      </c>
      <c r="U20" s="8" t="n">
        <v>6</v>
      </c>
      <c r="V20" s="8" t="n">
        <v>10</v>
      </c>
      <c r="W20" s="9" t="str">
        <f aca="false">IF(OR(M20="REVISAR",P20="REVISAR"),"SECCION INSUF.",IF(NOT(AND(M20&lt;&gt;"REVISAR",P20&lt;&gt;"REVISAR",IF(ISNUMBER(M20),N20*PI()*(O20/10)^2/4&gt;=M20,TRUE()),IF(ISNUMBER(P20),Q20*PI()*(R20/10)^2/4&gt;=P20,TRUE()),IF(ISNUMBER(M20),M20&lt;=0.0163*AB20*K20,TRUE()),IF(ISNUMBER(P20),P20&lt;=0.0163*AC20*K20,TRUE()))),"NO VERIFICA FLEX.",IF(NOT(F20&lt;=Datos_vigas!$B$9*(0.53*SQRT(Datos_vigas!$B$5)*J20*K20+2*PI()*(U20/10)^2/4*Datos_vigas!$B$6*K20/V20)),"NO VERIF. CORTE",IF(NOT(L20&gt;=C20*100/VLOOKUP(Y20,Datos_vigas!$A$19:$E$23,5,0)),"VERIFICAR FLECHA","VERIFICA"))))</f>
        <v>VERIFICA</v>
      </c>
      <c r="X20" s="10" t="s">
        <v>193</v>
      </c>
      <c r="Y20" s="8" t="s">
        <v>181</v>
      </c>
      <c r="Z20" s="8" t="s">
        <v>166</v>
      </c>
      <c r="AA20" s="8" t="n">
        <v>12</v>
      </c>
      <c r="AB20" s="8" t="n">
        <f aca="false">IF(Z20="Colgante",MIN(C20*100/4,J20+16*AA20),J20)</f>
        <v>15</v>
      </c>
      <c r="AC20" s="8" t="n">
        <f aca="false">IF(Z20="Invertida",MIN(C20*100/4,J20+16*AA20),J20)</f>
        <v>192</v>
      </c>
      <c r="AD20" s="8"/>
      <c r="AE20" s="8"/>
      <c r="AF20" s="8" t="n">
        <v>1.825</v>
      </c>
      <c r="AG20" s="8" t="n">
        <v>2.6</v>
      </c>
      <c r="AH20" s="8" t="n">
        <v>3</v>
      </c>
    </row>
    <row r="21" customFormat="false" ht="69.75" hidden="false" customHeight="true" outlineLevel="0" collapsed="false">
      <c r="A21" s="28"/>
      <c r="B21" s="19" t="s">
        <v>194</v>
      </c>
      <c r="C21" s="7" t="n">
        <v>3.45</v>
      </c>
      <c r="D21" s="29" t="n">
        <f aca="false">(Datos_vigas!$B$10*(VLOOKUP($A$4,Datos_vigas!$A$14:$E$15,2,0)*AF21+Datos_vigas!$B$7*J21*L21/10000+Datos_vigas!$B$16*AG21)+Datos_vigas!$B$11*VLOOKUP($A$4,Datos_vigas!$A$14:$E$15,3,0)*AF21)</f>
        <v>1082.4</v>
      </c>
      <c r="E21" s="8"/>
      <c r="F21" s="29" t="n">
        <f aca="false">VLOOKUP(Y21,Datos_vigas!$A$19:$E$23,4,0)*D21*C21+IF(OR(AD21="",AE21=""),0,AD21*MAX(AE21,C21-AE21)/C21)</f>
        <v>2147.211</v>
      </c>
      <c r="G21" s="29" t="n">
        <f aca="false">F21</f>
        <v>2147.211</v>
      </c>
      <c r="H21" s="29" t="n">
        <f aca="false">VLOOKUP(Y21,Datos_vigas!$A$19:$E$23,2,0)*D21*C21^2+0.75*1000*IF(OR(AD21="",AE21=""),0,AD21*AE21*(C21-AE21)/C21/1000)</f>
        <v>920.25169038</v>
      </c>
      <c r="I21" s="29" t="n">
        <f aca="false">IF(VLOOKUP(Y21,Datos_vigas!$A$19:$E$23,3,0)=0,"---",VLOOKUP(Y21,Datos_vigas!$A$19:$E$23,3,0)*D21*C21^2+0.5*1000*IF(OR(AD21="",AE21=""),0,AD21*AE21*(C21-AE21)/C21/1000))</f>
        <v>1288.3266</v>
      </c>
      <c r="J21" s="8" t="n">
        <v>15</v>
      </c>
      <c r="K21" s="8" t="n">
        <f aca="false">L21-AH21</f>
        <v>67</v>
      </c>
      <c r="L21" s="8" t="n">
        <v>70</v>
      </c>
      <c r="M21" s="7" t="n">
        <f aca="false">IF(NOT(ISNUMBER(H21)),"---",IF(H21&lt;=0,"---",IF(H21*100/(Datos_vigas!$B$8*AB21*K21^2*Datos_vigas!$B$5)&gt;=0.5,"REVISAR",MAX((1-SQRT(1-2*H21*100/(Datos_vigas!$B$8*AB21*K21^2*Datos_vigas!$B$5)))*AB21*K21*Datos_vigas!$B$5/Datos_vigas!$B$6,0.0033*J21*K21))))</f>
        <v>3.3165</v>
      </c>
      <c r="N21" s="8" t="n">
        <v>3</v>
      </c>
      <c r="O21" s="8" t="n">
        <v>12</v>
      </c>
      <c r="P21" s="7" t="n">
        <f aca="false">IF(NOT(ISNUMBER(I21)),"---",IF(I21&lt;=0,"---",IF(I21*100/(Datos_vigas!$B$8*AC21*K21^2*Datos_vigas!$B$5)&gt;=0.5,"REVISAR",MAX((1-SQRT(1-2*I21*100/(Datos_vigas!$B$8*AC21*K21^2*Datos_vigas!$B$5)))*AC21*K21*Datos_vigas!$B$5/Datos_vigas!$B$6,0.0033*J21*K21))))</f>
        <v>3.3165</v>
      </c>
      <c r="Q21" s="8" t="n">
        <v>3</v>
      </c>
      <c r="R21" s="8" t="n">
        <v>12</v>
      </c>
      <c r="S21" s="7" t="n">
        <f aca="false">F21/(J21*0.85*K21)</f>
        <v>2.51356277436348</v>
      </c>
      <c r="T21" s="7" t="n">
        <f aca="false">G21/(J21*0.85*K21)</f>
        <v>2.51356277436348</v>
      </c>
      <c r="U21" s="8" t="n">
        <v>6</v>
      </c>
      <c r="V21" s="8" t="n">
        <v>30</v>
      </c>
      <c r="W21" s="9" t="str">
        <f aca="false">IF(OR(M21="REVISAR",P21="REVISAR"),"SECCION INSUF.",IF(NOT(AND(M21&lt;&gt;"REVISAR",P21&lt;&gt;"REVISAR",IF(ISNUMBER(M21),N21*PI()*(O21/10)^2/4&gt;=M21,TRUE()),IF(ISNUMBER(P21),Q21*PI()*(R21/10)^2/4&gt;=P21,TRUE()),IF(ISNUMBER(M21),M21&lt;=0.0163*AB21*K21,TRUE()),IF(ISNUMBER(P21),P21&lt;=0.0163*AC21*K21,TRUE()))),"NO VERIFICA FLEX.",IF(NOT(F21&lt;=Datos_vigas!$B$9*(0.53*SQRT(Datos_vigas!$B$5)*J21*K21+2*PI()*(U21/10)^2/4*Datos_vigas!$B$6*K21/V21)),"NO VERIF. CORTE",IF(NOT(L21&gt;=C21*100/VLOOKUP(Y21,Datos_vigas!$A$19:$E$23,5,0)),"VERIFICAR FLECHA","VERIFICA"))))</f>
        <v>VERIFICA</v>
      </c>
      <c r="X21" s="10" t="s">
        <v>168</v>
      </c>
      <c r="Y21" s="8" t="s">
        <v>165</v>
      </c>
      <c r="Z21" s="8" t="s">
        <v>166</v>
      </c>
      <c r="AA21" s="8" t="n">
        <v>12</v>
      </c>
      <c r="AB21" s="8" t="n">
        <f aca="false">IF(Z21="Colgante",MIN(C21*100/4,J21+16*AA21),J21)</f>
        <v>15</v>
      </c>
      <c r="AC21" s="8" t="n">
        <f aca="false">IF(Z21="Invertida",MIN(C21*100/4,J21+16*AA21),J21)</f>
        <v>86.25</v>
      </c>
      <c r="AD21" s="8"/>
      <c r="AE21" s="8"/>
      <c r="AF21" s="8" t="n">
        <v>0</v>
      </c>
      <c r="AG21" s="8" t="n">
        <v>2.6</v>
      </c>
      <c r="AH21" s="8" t="n">
        <v>3</v>
      </c>
    </row>
    <row r="22" customFormat="false" ht="69.75" hidden="false" customHeight="true" outlineLevel="0" collapsed="false">
      <c r="A22" s="28"/>
      <c r="B22" s="19" t="s">
        <v>195</v>
      </c>
      <c r="C22" s="7" t="n">
        <v>5.02</v>
      </c>
      <c r="D22" s="29" t="n">
        <f aca="false">(Datos_vigas!$B$10*(VLOOKUP($A$4,Datos_vigas!$A$14:$E$15,2,0)*AF22+Datos_vigas!$B$7*J22*L22/10000+Datos_vigas!$B$16*AG22)+Datos_vigas!$B$11*VLOOKUP($A$4,Datos_vigas!$A$14:$E$15,3,0)*AF22)</f>
        <v>2600.42</v>
      </c>
      <c r="E22" s="8"/>
      <c r="F22" s="29" t="n">
        <f aca="false">VLOOKUP(Y22,Datos_vigas!$A$19:$E$23,4,0)*D22*C22+IF(OR(AD22="",AE22=""),0,AD22*MAX(AE22,C22-AE22)/C22)</f>
        <v>7506.11233</v>
      </c>
      <c r="G22" s="29" t="n">
        <f aca="false">F22</f>
        <v>7506.11233</v>
      </c>
      <c r="H22" s="29" t="n">
        <f aca="false">VLOOKUP(Y22,Datos_vigas!$A$19:$E$23,2,0)*D22*C22^2+0.75*1000*IF(OR(AD22="",AE22=""),0,AD22*AE22*(C22-AE22)/C22/1000)</f>
        <v>4680.92391432024</v>
      </c>
      <c r="I22" s="29" t="n">
        <f aca="false">IF(VLOOKUP(Y22,Datos_vigas!$A$19:$E$23,3,0)=0,"---",VLOOKUP(Y22,Datos_vigas!$A$19:$E$23,3,0)*D22*C22^2+0.5*1000*IF(OR(AD22="",AE22=""),0,AD22*AE22*(C22-AE22)/C22/1000))</f>
        <v>6553.1624168</v>
      </c>
      <c r="J22" s="8" t="n">
        <v>15</v>
      </c>
      <c r="K22" s="8" t="n">
        <f aca="false">L22-AH22</f>
        <v>67</v>
      </c>
      <c r="L22" s="8" t="n">
        <v>70</v>
      </c>
      <c r="M22" s="7" t="n">
        <f aca="false">IF(NOT(ISNUMBER(H22)),"---",IF(H22&lt;=0,"---",IF(H22*100/(Datos_vigas!$B$8*AB22*K22^2*Datos_vigas!$B$5)&gt;=0.5,"REVISAR",MAX((1-SQRT(1-2*H22*100/(Datos_vigas!$B$8*AB22*K22^2*Datos_vigas!$B$5)))*AB22*K22*Datos_vigas!$B$5/Datos_vigas!$B$6,0.0033*J22*K22))))</f>
        <v>3.3165</v>
      </c>
      <c r="N22" s="8" t="n">
        <v>3</v>
      </c>
      <c r="O22" s="8" t="n">
        <v>12</v>
      </c>
      <c r="P22" s="7" t="n">
        <f aca="false">IF(NOT(ISNUMBER(I22)),"---",IF(I22&lt;=0,"---",IF(I22*100/(Datos_vigas!$B$8*AC22*K22^2*Datos_vigas!$B$5)&gt;=0.5,"REVISAR",MAX((1-SQRT(1-2*I22*100/(Datos_vigas!$B$8*AC22*K22^2*Datos_vigas!$B$5)))*AC22*K22*Datos_vigas!$B$5/Datos_vigas!$B$6,0.0033*J22*K22))))</f>
        <v>3.3165</v>
      </c>
      <c r="Q22" s="8" t="n">
        <v>3</v>
      </c>
      <c r="R22" s="8" t="n">
        <v>12</v>
      </c>
      <c r="S22" s="7" t="n">
        <f aca="false">F22/(J22*0.85*K22)</f>
        <v>8.78678645595551</v>
      </c>
      <c r="T22" s="7" t="n">
        <f aca="false">G22/(J22*0.85*K22)</f>
        <v>8.78678645595551</v>
      </c>
      <c r="U22" s="8" t="n">
        <v>6</v>
      </c>
      <c r="V22" s="8" t="n">
        <v>30</v>
      </c>
      <c r="W22" s="9" t="str">
        <f aca="false">IF(OR(M22="REVISAR",P22="REVISAR"),"SECCION INSUF.",IF(NOT(AND(M22&lt;&gt;"REVISAR",P22&lt;&gt;"REVISAR",IF(ISNUMBER(M22),N22*PI()*(O22/10)^2/4&gt;=M22,TRUE()),IF(ISNUMBER(P22),Q22*PI()*(R22/10)^2/4&gt;=P22,TRUE()),IF(ISNUMBER(M22),M22&lt;=0.0163*AB22*K22,TRUE()),IF(ISNUMBER(P22),P22&lt;=0.0163*AC22*K22,TRUE()))),"NO VERIFICA FLEX.",IF(NOT(F22&lt;=Datos_vigas!$B$9*(0.53*SQRT(Datos_vigas!$B$5)*J22*K22+2*PI()*(U22/10)^2/4*Datos_vigas!$B$6*K22/V22)),"NO VERIF. CORTE",IF(NOT(L22&gt;=C22*100/VLOOKUP(Y22,Datos_vigas!$A$19:$E$23,5,0)),"VERIFICAR FLECHA","VERIFICA"))))</f>
        <v>VERIFICA</v>
      </c>
      <c r="X22" s="10" t="s">
        <v>168</v>
      </c>
      <c r="Y22" s="8" t="s">
        <v>165</v>
      </c>
      <c r="Z22" s="8" t="s">
        <v>166</v>
      </c>
      <c r="AA22" s="8" t="n">
        <v>12</v>
      </c>
      <c r="AB22" s="8" t="n">
        <f aca="false">IF(Z22="Colgante",MIN(C22*100/4,J22+16*AA22),J22)</f>
        <v>15</v>
      </c>
      <c r="AC22" s="8" t="n">
        <f aca="false">IF(Z22="Invertida",MIN(C22*100/4,J22+16*AA22),J22)</f>
        <v>125.5</v>
      </c>
      <c r="AD22" s="8"/>
      <c r="AE22" s="8"/>
      <c r="AF22" s="8" t="n">
        <v>1.549</v>
      </c>
      <c r="AG22" s="8" t="n">
        <v>2.6</v>
      </c>
      <c r="AH22" s="8" t="n">
        <v>3</v>
      </c>
    </row>
    <row r="23" customFormat="false" ht="69.75" hidden="false" customHeight="true" outlineLevel="0" collapsed="false">
      <c r="A23" s="28"/>
      <c r="B23" s="19" t="s">
        <v>196</v>
      </c>
      <c r="C23" s="7" t="n">
        <v>3.71</v>
      </c>
      <c r="D23" s="29" t="n">
        <f aca="false">(Datos_vigas!$B$10*(VLOOKUP($A$4,Datos_vigas!$A$14:$E$15,2,0)*AF23+Datos_vigas!$B$7*J23*L23/10000+Datos_vigas!$B$16*AG23)+Datos_vigas!$B$11*VLOOKUP($A$4,Datos_vigas!$A$14:$E$15,3,0)*AF23)</f>
        <v>2987.76</v>
      </c>
      <c r="E23" s="8"/>
      <c r="F23" s="29" t="n">
        <f aca="false">VLOOKUP(Y23,Datos_vigas!$A$19:$E$23,4,0)*D23*C23+IF(OR(AD23="",AE23=""),0,AD23*MAX(AE23,C23-AE23)/C23)</f>
        <v>6373.63902</v>
      </c>
      <c r="G23" s="29" t="n">
        <f aca="false">F23</f>
        <v>6373.63902</v>
      </c>
      <c r="H23" s="29" t="n">
        <f aca="false">VLOOKUP(Y23,Datos_vigas!$A$19:$E$23,2,0)*D23*C23^2+0.75*1000*IF(OR(AD23="",AE23=""),0,AD23*AE23*(C23-AE23)/C23/1000)</f>
        <v>2937.47499232488</v>
      </c>
      <c r="I23" s="29" t="n">
        <f aca="false">IF(VLOOKUP(Y23,Datos_vigas!$A$19:$E$23,3,0)=0,"---",VLOOKUP(Y23,Datos_vigas!$A$19:$E$23,3,0)*D23*C23^2+0.5*1000*IF(OR(AD23="",AE23=""),0,AD23*AE23*(C23-AE23)/C23/1000))</f>
        <v>4112.3827416</v>
      </c>
      <c r="J23" s="8" t="n">
        <v>40</v>
      </c>
      <c r="K23" s="8" t="n">
        <f aca="false">L23-AH23</f>
        <v>10</v>
      </c>
      <c r="L23" s="8" t="n">
        <v>13</v>
      </c>
      <c r="M23" s="7" t="n">
        <f aca="false">IF(NOT(ISNUMBER(H23)),"---",IF(H23&lt;=0,"---",IF(H23*100/(Datos_vigas!$B$8*AB23*K23^2*Datos_vigas!$B$5)&gt;=0.5,"REVISAR",MAX((1-SQRT(1-2*H23*100/(Datos_vigas!$B$8*AB23*K23^2*Datos_vigas!$B$5)))*AB23*K23*Datos_vigas!$B$5/Datos_vigas!$B$6,0.0033*J23*K23))))</f>
        <v>8.56136095031922</v>
      </c>
      <c r="N23" s="8" t="n">
        <v>8</v>
      </c>
      <c r="O23" s="8" t="n">
        <v>12</v>
      </c>
      <c r="P23" s="7" t="str">
        <f aca="false">IF(NOT(ISNUMBER(I23)),"---",IF(I23&lt;=0,"---",IF(I23*100/(Datos_vigas!$B$8*AC23*K23^2*Datos_vigas!$B$5)&gt;=0.5,"REVISAR",MAX((1-SQRT(1-2*I23*100/(Datos_vigas!$B$8*AC23*K23^2*Datos_vigas!$B$5)))*AC23*K23*Datos_vigas!$B$5/Datos_vigas!$B$6,0.0033*J23*K23))))</f>
        <v>REVISAR</v>
      </c>
      <c r="Q23" s="8" t="n">
        <v>5</v>
      </c>
      <c r="R23" s="8" t="n">
        <v>6</v>
      </c>
      <c r="S23" s="7" t="n">
        <f aca="false">F23/(J23*0.85*K23)</f>
        <v>18.7459971176471</v>
      </c>
      <c r="T23" s="7" t="n">
        <f aca="false">G23/(J23*0.85*K23)</f>
        <v>18.7459971176471</v>
      </c>
      <c r="U23" s="8" t="n">
        <v>12</v>
      </c>
      <c r="V23" s="8" t="n">
        <v>5</v>
      </c>
      <c r="W23" s="9" t="str">
        <f aca="false">IF(OR(M23="REVISAR",P23="REVISAR"),"SECCION INSUF.",IF(NOT(AND(M23&lt;&gt;"REVISAR",P23&lt;&gt;"REVISAR",IF(ISNUMBER(M23),N23*PI()*(O23/10)^2/4&gt;=M23,TRUE()),IF(ISNUMBER(P23),Q23*PI()*(R23/10)^2/4&gt;=P23,TRUE()),IF(ISNUMBER(M23),M23&lt;=0.0163*AB23*K23,TRUE()),IF(ISNUMBER(P23),P23&lt;=0.0163*AC23*K23,TRUE()))),"NO VERIFICA FLEX.",IF(NOT(F23&lt;=Datos_vigas!$B$9*(0.53*SQRT(Datos_vigas!$B$5)*J23*K23+2*PI()*(U23/10)^2/4*Datos_vigas!$B$6*K23/V23)),"NO VERIF. CORTE",IF(NOT(L23&gt;=C23*100/VLOOKUP(Y23,Datos_vigas!$A$19:$E$23,5,0)),"VERIFICAR FLECHA","VERIFICA"))))</f>
        <v>SECCION INSUF.</v>
      </c>
      <c r="X23" s="10" t="s">
        <v>197</v>
      </c>
      <c r="Y23" s="8" t="s">
        <v>165</v>
      </c>
      <c r="Z23" s="8" t="s">
        <v>198</v>
      </c>
      <c r="AA23" s="8" t="n">
        <v>12</v>
      </c>
      <c r="AB23" s="8" t="n">
        <f aca="false">IF(Z23="Colgante",MIN(C23*100/4,J23+16*AA23),J23)</f>
        <v>92.75</v>
      </c>
      <c r="AC23" s="8" t="n">
        <f aca="false">IF(Z23="Invertida",MIN(C23*100/4,J23+16*AA23),J23)</f>
        <v>40</v>
      </c>
      <c r="AD23" s="8"/>
      <c r="AE23" s="8"/>
      <c r="AF23" s="8" t="n">
        <v>2.1</v>
      </c>
      <c r="AG23" s="8" t="n">
        <v>2.6</v>
      </c>
      <c r="AH23" s="8" t="n">
        <v>3</v>
      </c>
    </row>
    <row r="24" customFormat="false" ht="69.75" hidden="false" customHeight="true" outlineLevel="0" collapsed="false">
      <c r="A24" s="28"/>
      <c r="B24" s="19" t="s">
        <v>199</v>
      </c>
      <c r="C24" s="7" t="n">
        <v>2.13</v>
      </c>
      <c r="D24" s="29" t="n">
        <f aca="false">(Datos_vigas!$B$10*(VLOOKUP($A$4,Datos_vigas!$A$14:$E$15,2,0)*AF24+Datos_vigas!$B$7*J24*L24/10000+Datos_vigas!$B$16*AG24)+Datos_vigas!$B$11*VLOOKUP($A$4,Datos_vigas!$A$14:$E$15,3,0)*AF24)</f>
        <v>2987.76</v>
      </c>
      <c r="E24" s="8"/>
      <c r="F24" s="29" t="n">
        <f aca="false">VLOOKUP(Y24,Datos_vigas!$A$19:$E$23,4,0)*D24*C24+IF(OR(AD24="",AE24=""),0,AD24*MAX(AE24,C24-AE24)/C24)</f>
        <v>3659.25906</v>
      </c>
      <c r="G24" s="29" t="n">
        <f aca="false">F24</f>
        <v>3659.25906</v>
      </c>
      <c r="H24" s="29" t="n">
        <f aca="false">VLOOKUP(Y24,Datos_vigas!$A$19:$E$23,2,0)*D24*C24^2+0.75*1000*IF(OR(AD24="",AE24=""),0,AD24*AE24*(C24-AE24)/C24/1000)</f>
        <v>968.24567481192</v>
      </c>
      <c r="I24" s="29" t="n">
        <f aca="false">IF(VLOOKUP(Y24,Datos_vigas!$A$19:$E$23,3,0)=0,"---",VLOOKUP(Y24,Datos_vigas!$A$19:$E$23,3,0)*D24*C24^2+0.5*1000*IF(OR(AD24="",AE24=""),0,AD24*AE24*(C24-AE24)/C24/1000))</f>
        <v>1355.5168344</v>
      </c>
      <c r="J24" s="8" t="n">
        <v>40</v>
      </c>
      <c r="K24" s="8" t="n">
        <f aca="false">L24-AH24</f>
        <v>10</v>
      </c>
      <c r="L24" s="8" t="n">
        <v>13</v>
      </c>
      <c r="M24" s="7" t="n">
        <f aca="false">IF(NOT(ISNUMBER(H24)),"---",IF(H24&lt;=0,"---",IF(H24*100/(Datos_vigas!$B$8*AB24*K24^2*Datos_vigas!$B$5)&gt;=0.5,"REVISAR",MAX((1-SQRT(1-2*H24*100/(Datos_vigas!$B$8*AB24*K24^2*Datos_vigas!$B$5)))*AB24*K24*Datos_vigas!$B$5/Datos_vigas!$B$6,0.0033*J24*K24))))</f>
        <v>2.69821716813475</v>
      </c>
      <c r="N24" s="8" t="n">
        <v>10</v>
      </c>
      <c r="O24" s="8" t="n">
        <v>6</v>
      </c>
      <c r="P24" s="7" t="n">
        <f aca="false">IF(NOT(ISNUMBER(I24)),"---",IF(I24&lt;=0,"---",IF(I24*100/(Datos_vigas!$B$8*AC24*K24^2*Datos_vigas!$B$5)&gt;=0.5,"REVISAR",MAX((1-SQRT(1-2*I24*100/(Datos_vigas!$B$8*AC24*K24^2*Datos_vigas!$B$5)))*AC24*K24*Datos_vigas!$B$5/Datos_vigas!$B$6,0.0033*J24*K24))))</f>
        <v>3.98253874227076</v>
      </c>
      <c r="Q24" s="8" t="n">
        <v>8</v>
      </c>
      <c r="R24" s="8" t="n">
        <v>8</v>
      </c>
      <c r="S24" s="7" t="n">
        <f aca="false">F24/(J24*0.85*K24)</f>
        <v>10.7625266470588</v>
      </c>
      <c r="T24" s="7" t="n">
        <f aca="false">G24/(J24*0.85*K24)</f>
        <v>10.7625266470588</v>
      </c>
      <c r="U24" s="8" t="n">
        <v>12</v>
      </c>
      <c r="V24" s="8" t="n">
        <v>5</v>
      </c>
      <c r="W24" s="9" t="str">
        <f aca="false">IF(OR(M24="REVISAR",P24="REVISAR"),"SECCION INSUF.",IF(NOT(AND(M24&lt;&gt;"REVISAR",P24&lt;&gt;"REVISAR",IF(ISNUMBER(M24),N24*PI()*(O24/10)^2/4&gt;=M24,TRUE()),IF(ISNUMBER(P24),Q24*PI()*(R24/10)^2/4&gt;=P24,TRUE()),IF(ISNUMBER(M24),M24&lt;=0.0163*AB24*K24,TRUE()),IF(ISNUMBER(P24),P24&lt;=0.0163*AC24*K24,TRUE()))),"NO VERIFICA FLEX.",IF(NOT(F24&lt;=Datos_vigas!$B$9*(0.53*SQRT(Datos_vigas!$B$5)*J24*K24+2*PI()*(U24/10)^2/4*Datos_vigas!$B$6*K24/V24)),"NO VERIF. CORTE",IF(NOT(L24&gt;=C24*100/VLOOKUP(Y24,Datos_vigas!$A$19:$E$23,5,0)),"VERIFICAR FLECHA","VERIFICA"))))</f>
        <v>VERIFICA</v>
      </c>
      <c r="X24" s="10" t="s">
        <v>200</v>
      </c>
      <c r="Y24" s="8" t="s">
        <v>165</v>
      </c>
      <c r="Z24" s="8" t="s">
        <v>198</v>
      </c>
      <c r="AA24" s="8" t="n">
        <v>12</v>
      </c>
      <c r="AB24" s="8" t="n">
        <f aca="false">IF(Z24="Colgante",MIN(C24*100/4,J24+16*AA24),J24)</f>
        <v>53.25</v>
      </c>
      <c r="AC24" s="8" t="n">
        <f aca="false">IF(Z24="Invertida",MIN(C24*100/4,J24+16*AA24),J24)</f>
        <v>40</v>
      </c>
      <c r="AD24" s="8"/>
      <c r="AE24" s="8"/>
      <c r="AF24" s="8" t="n">
        <v>2.1</v>
      </c>
      <c r="AG24" s="8" t="n">
        <v>2.6</v>
      </c>
      <c r="AH24" s="8" t="n">
        <v>3</v>
      </c>
    </row>
    <row r="25" customFormat="false" ht="69.75" hidden="false" customHeight="true" outlineLevel="0" collapsed="false">
      <c r="A25" s="28"/>
      <c r="B25" s="30" t="s">
        <v>201</v>
      </c>
      <c r="C25" s="12" t="n">
        <v>3.71</v>
      </c>
      <c r="D25" s="31" t="n">
        <f aca="false">(Datos_vigas!$B$10*(VLOOKUP($A$4,Datos_vigas!$A$14:$E$15,2,0)*AF25+Datos_vigas!$B$7*J25*L25/10000+Datos_vigas!$B$16*AG25)+Datos_vigas!$B$11*VLOOKUP($A$4,Datos_vigas!$A$14:$E$15,3,0)*AF25)</f>
        <v>935.52</v>
      </c>
      <c r="E25" s="13"/>
      <c r="F25" s="31" t="n">
        <f aca="false">VLOOKUP(Y25,Datos_vigas!$A$19:$E$23,4,0)*D25*C25+IF(OR(AD25="",AE25=""),0,AD25*MAX(AE25,C25-AE25)/C25)</f>
        <v>1735.3896</v>
      </c>
      <c r="G25" s="31" t="n">
        <f aca="false">F25</f>
        <v>1735.3896</v>
      </c>
      <c r="H25" s="31" t="n">
        <f aca="false">VLOOKUP(Y25,Datos_vigas!$A$19:$E$23,2,0)*D25*C25^2+0.75*1000*IF(OR(AD25="",AE25=""),0,AD25*AE25*(C25-AE25)/C25/1000)</f>
        <v>1609.573854</v>
      </c>
      <c r="I25" s="31" t="str">
        <f aca="false">IF(VLOOKUP(Y25,Datos_vigas!$A$19:$E$23,3,0)=0,"---",VLOOKUP(Y25,Datos_vigas!$A$19:$E$23,3,0)*D25*C25^2+0.5*1000*IF(OR(AD25="",AE25=""),0,AD25*AE25*(C25-AE25)/C25/1000))</f>
        <v>---</v>
      </c>
      <c r="J25" s="13" t="n">
        <v>12</v>
      </c>
      <c r="K25" s="13" t="n">
        <f aca="false">L25-AH25</f>
        <v>42</v>
      </c>
      <c r="L25" s="13" t="n">
        <v>45</v>
      </c>
      <c r="M25" s="12" t="n">
        <f aca="false">IF(NOT(ISNUMBER(H25)),"---",IF(H25&lt;=0,"---",IF(H25*100/(Datos_vigas!$B$8*AB25*K25^2*Datos_vigas!$B$5)&gt;=0.5,"REVISAR",MAX((1-SQRT(1-2*H25*100/(Datos_vigas!$B$8*AB25*K25^2*Datos_vigas!$B$5)))*AB25*K25*Datos_vigas!$B$5/Datos_vigas!$B$6,0.0033*J25*K25))))</f>
        <v>1.6632</v>
      </c>
      <c r="N25" s="13" t="n">
        <v>2</v>
      </c>
      <c r="O25" s="13" t="n">
        <v>12</v>
      </c>
      <c r="P25" s="12" t="str">
        <f aca="false">IF(NOT(ISNUMBER(I25)),"---",IF(I25&lt;=0,"---",IF(I25*100/(Datos_vigas!$B$8*AC25*K25^2*Datos_vigas!$B$5)&gt;=0.5,"REVISAR",MAX((1-SQRT(1-2*I25*100/(Datos_vigas!$B$8*AC25*K25^2*Datos_vigas!$B$5)))*AC25*K25*Datos_vigas!$B$5/Datos_vigas!$B$6,0.0033*J25*K25))))</f>
        <v>---</v>
      </c>
      <c r="Q25" s="13" t="s">
        <v>186</v>
      </c>
      <c r="R25" s="13" t="s">
        <v>186</v>
      </c>
      <c r="S25" s="12" t="n">
        <f aca="false">F25/(J25*0.85*K25)</f>
        <v>4.05086274509804</v>
      </c>
      <c r="T25" s="12" t="n">
        <f aca="false">G25/(J25*0.85*K25)</f>
        <v>4.05086274509804</v>
      </c>
      <c r="U25" s="13" t="n">
        <v>6</v>
      </c>
      <c r="V25" s="13" t="n">
        <v>20</v>
      </c>
      <c r="W25" s="14" t="str">
        <f aca="false">IF(OR(M25="REVISAR",P25="REVISAR"),"SECCION INSUF.",IF(NOT(AND(M25&lt;&gt;"REVISAR",P25&lt;&gt;"REVISAR",IF(ISNUMBER(M25),N25*PI()*(O25/10)^2/4&gt;=M25,TRUE()),IF(ISNUMBER(P25),Q25*PI()*(R25/10)^2/4&gt;=P25,TRUE()),IF(ISNUMBER(M25),M25&lt;=0.0163*AB25*K25,TRUE()),IF(ISNUMBER(P25),P25&lt;=0.0163*AC25*K25,TRUE()))),"NO VERIFICA FLEX.",IF(NOT(F25&lt;=Datos_vigas!$B$9*(0.53*SQRT(Datos_vigas!$B$5)*J25*K25+2*PI()*(U25/10)^2/4*Datos_vigas!$B$6*K25/V25)),"NO VERIF. CORTE",IF(NOT(L25&gt;=C25*100/VLOOKUP(Y25,Datos_vigas!$A$19:$E$23,5,0)),"VERIFICAR FLECHA","VERIFICA"))))</f>
        <v>VERIFICA</v>
      </c>
      <c r="X25" s="13"/>
      <c r="Y25" s="13" t="s">
        <v>188</v>
      </c>
      <c r="Z25" s="13" t="s">
        <v>198</v>
      </c>
      <c r="AA25" s="13" t="n">
        <v>12</v>
      </c>
      <c r="AB25" s="13" t="n">
        <f aca="false">IF(Z25="Colgante",MIN(C25*100/4,J25+16*AA25),J25)</f>
        <v>92.75</v>
      </c>
      <c r="AC25" s="13" t="n">
        <f aca="false">IF(Z25="Invertida",MIN(C25*100/4,J25+16*AA25),J25)</f>
        <v>12</v>
      </c>
      <c r="AD25" s="13"/>
      <c r="AE25" s="13"/>
      <c r="AF25" s="13" t="n">
        <v>0</v>
      </c>
      <c r="AG25" s="13" t="n">
        <v>2.6</v>
      </c>
      <c r="AH25" s="13" t="n">
        <v>3</v>
      </c>
    </row>
    <row r="26" customFormat="false" ht="69.75" hidden="false" customHeight="true" outlineLevel="0" collapsed="false">
      <c r="A26" s="28" t="s">
        <v>202</v>
      </c>
      <c r="B26" s="19" t="s">
        <v>203</v>
      </c>
      <c r="C26" s="7" t="n">
        <v>9.9</v>
      </c>
      <c r="D26" s="29" t="n">
        <f aca="false">(Datos_vigas!$B$10*(VLOOKUP($A$26,Datos_vigas!$A$14:$E$15,2,0)*AF26+Datos_vigas!$B$7*J26*L26/10000+Datos_vigas!$B$16*AG26)+Datos_vigas!$B$11*VLOOKUP($A$26,Datos_vigas!$A$14:$E$15,3,0)*AF26)</f>
        <v>2349.6</v>
      </c>
      <c r="E26" s="8"/>
      <c r="F26" s="29" t="n">
        <f aca="false">VLOOKUP(Y26,Datos_vigas!$A$19:$E$23,4,0)*D26*C26+IF(OR(AD26="",AE26=""),0,AD26*MAX(AE26,C26-AE26)/C26)</f>
        <v>13375.098</v>
      </c>
      <c r="G26" s="29" t="n">
        <f aca="false">F26</f>
        <v>13375.098</v>
      </c>
      <c r="H26" s="29" t="n">
        <f aca="false">VLOOKUP(Y26,Datos_vigas!$A$19:$E$23,2,0)*D26*C26^2+0.75*1000*IF(OR(AD26="",AE26=""),0,AD26*AE26*(C26-AE26)/C26/1000)</f>
        <v>16449.20726328</v>
      </c>
      <c r="I26" s="29" t="n">
        <f aca="false">IF(VLOOKUP(Y26,Datos_vigas!$A$19:$E$23,3,0)=0,"---",VLOOKUP(Y26,Datos_vigas!$A$19:$E$23,3,0)*D26*C26^2+0.5*1000*IF(OR(AD26="",AE26=""),0,AD26*AE26*(C26-AE26)/C26/1000))</f>
        <v>23028.4296</v>
      </c>
      <c r="J26" s="8" t="n">
        <v>15</v>
      </c>
      <c r="K26" s="8" t="n">
        <f aca="false">L26-AH26</f>
        <v>67</v>
      </c>
      <c r="L26" s="8" t="n">
        <v>70</v>
      </c>
      <c r="M26" s="7" t="n">
        <f aca="false">IF(NOT(ISNUMBER(H26)),"---",IF(H26&lt;=0,"---",IF(H26*100/(Datos_vigas!$B$8*AB26*K26^2*Datos_vigas!$B$5)&gt;=0.5,"REVISAR",MAX((1-SQRT(1-2*H26*100/(Datos_vigas!$B$8*AB26*K26^2*Datos_vigas!$B$5)))*AB26*K26*Datos_vigas!$B$5/Datos_vigas!$B$6,0.0033*J26*K26))))</f>
        <v>6.97973099195509</v>
      </c>
      <c r="N26" s="8" t="n">
        <v>2</v>
      </c>
      <c r="O26" s="8" t="n">
        <v>25</v>
      </c>
      <c r="P26" s="7" t="n">
        <f aca="false">IF(NOT(ISNUMBER(I26)),"---",IF(I26&lt;=0,"---",IF(I26*100/(Datos_vigas!$B$8*AC26*K26^2*Datos_vigas!$B$5)&gt;=0.5,"REVISAR",MAX((1-SQRT(1-2*I26*100/(Datos_vigas!$B$8*AC26*K26^2*Datos_vigas!$B$5)))*AC26*K26*Datos_vigas!$B$5/Datos_vigas!$B$6,0.0033*J26*K26))))</f>
        <v>9.15321072338377</v>
      </c>
      <c r="Q26" s="8" t="n">
        <v>2</v>
      </c>
      <c r="R26" s="8" t="n">
        <v>25</v>
      </c>
      <c r="S26" s="7" t="n">
        <f aca="false">F26/(J26*0.85*K26)</f>
        <v>15.6571237928007</v>
      </c>
      <c r="T26" s="7" t="n">
        <f aca="false">G26/(J26*0.85*K26)</f>
        <v>15.6571237928007</v>
      </c>
      <c r="U26" s="8" t="n">
        <v>6</v>
      </c>
      <c r="V26" s="8" t="n">
        <v>15</v>
      </c>
      <c r="W26" s="9" t="str">
        <f aca="false">IF(OR(M26="REVISAR",P26="REVISAR"),"SECCION INSUF.",IF(NOT(AND(M26&lt;&gt;"REVISAR",P26&lt;&gt;"REVISAR",IF(ISNUMBER(M26),N26*PI()*(O26/10)^2/4&gt;=M26,TRUE()),IF(ISNUMBER(P26),Q26*PI()*(R26/10)^2/4&gt;=P26,TRUE()),IF(ISNUMBER(M26),M26&lt;=0.0163*AB26*K26,TRUE()),IF(ISNUMBER(P26),P26&lt;=0.0163*AC26*K26,TRUE()))),"NO VERIFICA FLEX.",IF(NOT(F26&lt;=Datos_vigas!$B$9*(0.53*SQRT(Datos_vigas!$B$5)*J26*K26+2*PI()*(U26/10)^2/4*Datos_vigas!$B$6*K26/V26)),"NO VERIF. CORTE",IF(NOT(L26&gt;=C26*100/VLOOKUP(Y26,Datos_vigas!$A$19:$E$23,5,0)),"VERIFICAR FLECHA","VERIFICA"))))</f>
        <v>VERIFICA</v>
      </c>
      <c r="X26" s="8"/>
      <c r="Y26" s="8" t="s">
        <v>165</v>
      </c>
      <c r="Z26" s="8" t="s">
        <v>166</v>
      </c>
      <c r="AA26" s="8" t="n">
        <v>12</v>
      </c>
      <c r="AB26" s="8" t="n">
        <f aca="false">IF(Z26="Colgante",MIN(C26*100/4,J26+16*AA26),J26)</f>
        <v>15</v>
      </c>
      <c r="AC26" s="8" t="n">
        <f aca="false">IF(Z26="Invertida",MIN(C26*100/4,J26+16*AA26),J26)</f>
        <v>207</v>
      </c>
      <c r="AD26" s="8"/>
      <c r="AE26" s="8"/>
      <c r="AF26" s="8" t="n">
        <v>2.1</v>
      </c>
      <c r="AG26" s="8" t="n">
        <v>1</v>
      </c>
      <c r="AH26" s="8" t="n">
        <v>3</v>
      </c>
    </row>
    <row r="27" customFormat="false" ht="69.75" hidden="false" customHeight="true" outlineLevel="0" collapsed="false">
      <c r="A27" s="28"/>
      <c r="B27" s="19" t="s">
        <v>204</v>
      </c>
      <c r="C27" s="7" t="n">
        <v>6</v>
      </c>
      <c r="D27" s="29" t="n">
        <f aca="false">(Datos_vigas!$B$10*(VLOOKUP($A$26,Datos_vigas!$A$14:$E$15,2,0)*AF27+Datos_vigas!$B$7*J27*L27/10000+Datos_vigas!$B$16*AG27)+Datos_vigas!$B$11*VLOOKUP($A$26,Datos_vigas!$A$14:$E$15,3,0)*AF27)</f>
        <v>3763.168</v>
      </c>
      <c r="E27" s="8"/>
      <c r="F27" s="29" t="n">
        <f aca="false">VLOOKUP(Y27,Datos_vigas!$A$19:$E$23,4,0)*D27*C27+IF(OR(AD27="",AE27=""),0,AD27*MAX(AE27,C27-AE27)/C27)</f>
        <v>12982.9296</v>
      </c>
      <c r="G27" s="29" t="n">
        <f aca="false">F27</f>
        <v>12982.9296</v>
      </c>
      <c r="H27" s="29" t="n">
        <f aca="false">VLOOKUP(Y27,Datos_vigas!$A$19:$E$23,2,0)*D27*C27^2+0.75*1000*IF(OR(AD27="",AE27=""),0,AD27*AE27*(C27-AE27)/C27/1000)</f>
        <v>9676.91124864</v>
      </c>
      <c r="I27" s="29" t="n">
        <f aca="false">IF(VLOOKUP(Y27,Datos_vigas!$A$19:$E$23,3,0)=0,"---",VLOOKUP(Y27,Datos_vigas!$A$19:$E$23,3,0)*D27*C27^2+0.5*1000*IF(OR(AD27="",AE27=""),0,AD27*AE27*(C27-AE27)/C27/1000))</f>
        <v>13547.4048</v>
      </c>
      <c r="J27" s="8" t="n">
        <v>15</v>
      </c>
      <c r="K27" s="8" t="n">
        <f aca="false">L27-AH27</f>
        <v>67</v>
      </c>
      <c r="L27" s="8" t="n">
        <v>70</v>
      </c>
      <c r="M27" s="7" t="n">
        <f aca="false">IF(NOT(ISNUMBER(H27)),"---",IF(H27&lt;=0,"---",IF(H27*100/(Datos_vigas!$B$8*AB27*K27^2*Datos_vigas!$B$5)&gt;=0.5,"REVISAR",MAX((1-SQRT(1-2*H27*100/(Datos_vigas!$B$8*AB27*K27^2*Datos_vigas!$B$5)))*AB27*K27*Datos_vigas!$B$5/Datos_vigas!$B$6,0.0033*J27*K27))))</f>
        <v>3.97843113345487</v>
      </c>
      <c r="N27" s="8" t="n">
        <v>2</v>
      </c>
      <c r="O27" s="8" t="n">
        <v>16</v>
      </c>
      <c r="P27" s="7" t="n">
        <f aca="false">IF(NOT(ISNUMBER(I27)),"---",IF(I27&lt;=0,"---",IF(I27*100/(Datos_vigas!$B$8*AC27*K27^2*Datos_vigas!$B$5)&gt;=0.5,"REVISAR",MAX((1-SQRT(1-2*I27*100/(Datos_vigas!$B$8*AC27*K27^2*Datos_vigas!$B$5)))*AC27*K27*Datos_vigas!$B$5/Datos_vigas!$B$6,0.0033*J27*K27))))</f>
        <v>5.3779870954358</v>
      </c>
      <c r="Q27" s="8" t="n">
        <v>2</v>
      </c>
      <c r="R27" s="8" t="n">
        <v>20</v>
      </c>
      <c r="S27" s="7" t="n">
        <f aca="false">F27/(J27*0.85*K27)</f>
        <v>15.1980446005268</v>
      </c>
      <c r="T27" s="7" t="n">
        <f aca="false">G27/(J27*0.85*K27)</f>
        <v>15.1980446005268</v>
      </c>
      <c r="U27" s="8" t="n">
        <v>6</v>
      </c>
      <c r="V27" s="8" t="n">
        <v>15</v>
      </c>
      <c r="W27" s="9" t="str">
        <f aca="false">IF(OR(M27="REVISAR",P27="REVISAR"),"SECCION INSUF.",IF(NOT(AND(M27&lt;&gt;"REVISAR",P27&lt;&gt;"REVISAR",IF(ISNUMBER(M27),N27*PI()*(O27/10)^2/4&gt;=M27,TRUE()),IF(ISNUMBER(P27),Q27*PI()*(R27/10)^2/4&gt;=P27,TRUE()),IF(ISNUMBER(M27),M27&lt;=0.0163*AB27*K27,TRUE()),IF(ISNUMBER(P27),P27&lt;=0.0163*AC27*K27,TRUE()))),"NO VERIFICA FLEX.",IF(NOT(F27&lt;=Datos_vigas!$B$9*(0.53*SQRT(Datos_vigas!$B$5)*J27*K27+2*PI()*(U27/10)^2/4*Datos_vigas!$B$6*K27/V27)),"NO VERIF. CORTE",IF(NOT(L27&gt;=C27*100/VLOOKUP(Y27,Datos_vigas!$A$19:$E$23,5,0)),"VERIFICAR FLECHA","VERIFICA"))))</f>
        <v>VERIFICA</v>
      </c>
      <c r="X27" s="8"/>
      <c r="Y27" s="8" t="s">
        <v>165</v>
      </c>
      <c r="Z27" s="8" t="s">
        <v>166</v>
      </c>
      <c r="AA27" s="8" t="n">
        <v>12</v>
      </c>
      <c r="AB27" s="8" t="n">
        <f aca="false">IF(Z27="Colgante",MIN(C27*100/4,J27+16*AA27),J27)</f>
        <v>15</v>
      </c>
      <c r="AC27" s="8" t="n">
        <f aca="false">IF(Z27="Invertida",MIN(C27*100/4,J27+16*AA27),J27)</f>
        <v>150</v>
      </c>
      <c r="AD27" s="8"/>
      <c r="AE27" s="8"/>
      <c r="AF27" s="8" t="n">
        <v>3.799</v>
      </c>
      <c r="AG27" s="8" t="n">
        <v>1</v>
      </c>
      <c r="AH27" s="8" t="n">
        <v>3</v>
      </c>
    </row>
    <row r="28" customFormat="false" ht="69.75" hidden="false" customHeight="true" outlineLevel="0" collapsed="false">
      <c r="A28" s="28"/>
      <c r="B28" s="19" t="s">
        <v>205</v>
      </c>
      <c r="C28" s="7" t="n">
        <v>3.75</v>
      </c>
      <c r="D28" s="29" t="n">
        <f aca="false">(Datos_vigas!$B$10*(VLOOKUP($A$26,Datos_vigas!$A$14:$E$15,2,0)*AF28+Datos_vigas!$B$7*J28*L28/10000+Datos_vigas!$B$16*AG28)+Datos_vigas!$B$11*VLOOKUP($A$26,Datos_vigas!$A$14:$E$15,3,0)*AF28)</f>
        <v>2349.6</v>
      </c>
      <c r="E28" s="8"/>
      <c r="F28" s="29" t="n">
        <f aca="false">VLOOKUP(Y28,Datos_vigas!$A$19:$E$23,4,0)*D28*C28+IF(OR(AD28="",AE28=""),0,AD28*MAX(AE28,C28-AE28)/C28)</f>
        <v>5066.325</v>
      </c>
      <c r="G28" s="29" t="n">
        <f aca="false">F28</f>
        <v>5066.325</v>
      </c>
      <c r="H28" s="29" t="n">
        <f aca="false">VLOOKUP(Y28,Datos_vigas!$A$19:$E$23,2,0)*D28*C28^2+0.75*1000*IF(OR(AD28="",AE28=""),0,AD28*AE28*(C28-AE28)/C28/1000)</f>
        <v>2360.1364875</v>
      </c>
      <c r="I28" s="29" t="n">
        <f aca="false">IF(VLOOKUP(Y28,Datos_vigas!$A$19:$E$23,3,0)=0,"---",VLOOKUP(Y28,Datos_vigas!$A$19:$E$23,3,0)*D28*C28^2+0.5*1000*IF(OR(AD28="",AE28=""),0,AD28*AE28*(C28-AE28)/C28/1000))</f>
        <v>3304.125</v>
      </c>
      <c r="J28" s="8" t="n">
        <v>15</v>
      </c>
      <c r="K28" s="8" t="n">
        <f aca="false">L28-AH28</f>
        <v>67</v>
      </c>
      <c r="L28" s="8" t="n">
        <v>70</v>
      </c>
      <c r="M28" s="7" t="n">
        <f aca="false">IF(NOT(ISNUMBER(H28)),"---",IF(H28&lt;=0,"---",IF(H28*100/(Datos_vigas!$B$8*AB28*K28^2*Datos_vigas!$B$5)&gt;=0.5,"REVISAR",MAX((1-SQRT(1-2*H28*100/(Datos_vigas!$B$8*AB28*K28^2*Datos_vigas!$B$5)))*AB28*K28*Datos_vigas!$B$5/Datos_vigas!$B$6,0.0033*J28*K28))))</f>
        <v>3.3165</v>
      </c>
      <c r="N28" s="8" t="n">
        <v>3</v>
      </c>
      <c r="O28" s="8" t="n">
        <v>12</v>
      </c>
      <c r="P28" s="7" t="n">
        <f aca="false">IF(NOT(ISNUMBER(I28)),"---",IF(I28&lt;=0,"---",IF(I28*100/(Datos_vigas!$B$8*AC28*K28^2*Datos_vigas!$B$5)&gt;=0.5,"REVISAR",MAX((1-SQRT(1-2*I28*100/(Datos_vigas!$B$8*AC28*K28^2*Datos_vigas!$B$5)))*AC28*K28*Datos_vigas!$B$5/Datos_vigas!$B$6,0.0033*J28*K28))))</f>
        <v>3.3165</v>
      </c>
      <c r="Q28" s="8" t="n">
        <v>3</v>
      </c>
      <c r="R28" s="8" t="n">
        <v>12</v>
      </c>
      <c r="S28" s="7" t="n">
        <f aca="false">F28/(J28*0.85*K28)</f>
        <v>5.9307287093942</v>
      </c>
      <c r="T28" s="7" t="n">
        <f aca="false">G28/(J28*0.85*K28)</f>
        <v>5.9307287093942</v>
      </c>
      <c r="U28" s="8" t="n">
        <v>6</v>
      </c>
      <c r="V28" s="8" t="n">
        <v>30</v>
      </c>
      <c r="W28" s="9" t="str">
        <f aca="false">IF(OR(M28="REVISAR",P28="REVISAR"),"SECCION INSUF.",IF(NOT(AND(M28&lt;&gt;"REVISAR",P28&lt;&gt;"REVISAR",IF(ISNUMBER(M28),N28*PI()*(O28/10)^2/4&gt;=M28,TRUE()),IF(ISNUMBER(P28),Q28*PI()*(R28/10)^2/4&gt;=P28,TRUE()),IF(ISNUMBER(M28),M28&lt;=0.0163*AB28*K28,TRUE()),IF(ISNUMBER(P28),P28&lt;=0.0163*AC28*K28,TRUE()))),"NO VERIFICA FLEX.",IF(NOT(F28&lt;=Datos_vigas!$B$9*(0.53*SQRT(Datos_vigas!$B$5)*J28*K28+2*PI()*(U28/10)^2/4*Datos_vigas!$B$6*K28/V28)),"NO VERIF. CORTE",IF(NOT(L28&gt;=C28*100/VLOOKUP(Y28,Datos_vigas!$A$19:$E$23,5,0)),"VERIFICAR FLECHA","VERIFICA"))))</f>
        <v>VERIFICA</v>
      </c>
      <c r="X28" s="8"/>
      <c r="Y28" s="8" t="s">
        <v>165</v>
      </c>
      <c r="Z28" s="8" t="s">
        <v>166</v>
      </c>
      <c r="AA28" s="8" t="n">
        <v>12</v>
      </c>
      <c r="AB28" s="8" t="n">
        <f aca="false">IF(Z28="Colgante",MIN(C28*100/4,J28+16*AA28),J28)</f>
        <v>15</v>
      </c>
      <c r="AC28" s="8" t="n">
        <f aca="false">IF(Z28="Invertida",MIN(C28*100/4,J28+16*AA28),J28)</f>
        <v>93.75</v>
      </c>
      <c r="AD28" s="8"/>
      <c r="AE28" s="8"/>
      <c r="AF28" s="8" t="n">
        <v>2.1</v>
      </c>
      <c r="AG28" s="8" t="n">
        <v>1</v>
      </c>
      <c r="AH28" s="8" t="n">
        <v>3</v>
      </c>
    </row>
    <row r="29" customFormat="false" ht="69.75" hidden="false" customHeight="true" outlineLevel="0" collapsed="false">
      <c r="A29" s="28"/>
      <c r="B29" s="19" t="s">
        <v>206</v>
      </c>
      <c r="C29" s="7" t="n">
        <v>6</v>
      </c>
      <c r="D29" s="29" t="n">
        <f aca="false">(Datos_vigas!$B$10*(VLOOKUP($A$26,Datos_vigas!$A$14:$E$15,2,0)*AF29+Datos_vigas!$B$7*J29*L29/10000+Datos_vigas!$B$16*AG29)+Datos_vigas!$B$11*VLOOKUP($A$26,Datos_vigas!$A$14:$E$15,3,0)*AF29)</f>
        <v>2015.968</v>
      </c>
      <c r="E29" s="8"/>
      <c r="F29" s="29" t="n">
        <f aca="false">VLOOKUP(Y29,Datos_vigas!$A$19:$E$23,4,0)*D29*C29+IF(OR(AD29="",AE29=""),0,AD29*MAX(AE29,C29-AE29)/C29)</f>
        <v>6955.0896</v>
      </c>
      <c r="G29" s="29" t="n">
        <f aca="false">F29</f>
        <v>6955.0896</v>
      </c>
      <c r="H29" s="29" t="n">
        <f aca="false">VLOOKUP(Y29,Datos_vigas!$A$19:$E$23,2,0)*D29*C29^2+0.75*1000*IF(OR(AD29="",AE29=""),0,AD29*AE29*(C29-AE29)/C29/1000)</f>
        <v>5184.02139264</v>
      </c>
      <c r="I29" s="29" t="n">
        <f aca="false">IF(VLOOKUP(Y29,Datos_vigas!$A$19:$E$23,3,0)=0,"---",VLOOKUP(Y29,Datos_vigas!$A$19:$E$23,3,0)*D29*C29^2+0.5*1000*IF(OR(AD29="",AE29=""),0,AD29*AE29*(C29-AE29)/C29/1000))</f>
        <v>7257.4848</v>
      </c>
      <c r="J29" s="8" t="n">
        <v>15</v>
      </c>
      <c r="K29" s="8" t="n">
        <f aca="false">L29-AH29</f>
        <v>67</v>
      </c>
      <c r="L29" s="8" t="n">
        <v>70</v>
      </c>
      <c r="M29" s="7" t="n">
        <f aca="false">IF(NOT(ISNUMBER(H29)),"---",IF(H29&lt;=0,"---",IF(H29*100/(Datos_vigas!$B$8*AB29*K29^2*Datos_vigas!$B$5)&gt;=0.5,"REVISAR",MAX((1-SQRT(1-2*H29*100/(Datos_vigas!$B$8*AB29*K29^2*Datos_vigas!$B$5)))*AB29*K29*Datos_vigas!$B$5/Datos_vigas!$B$6,0.0033*J29*K29))))</f>
        <v>3.3165</v>
      </c>
      <c r="N29" s="8" t="n">
        <v>3</v>
      </c>
      <c r="O29" s="8" t="n">
        <v>12</v>
      </c>
      <c r="P29" s="7" t="n">
        <f aca="false">IF(NOT(ISNUMBER(I29)),"---",IF(I29&lt;=0,"---",IF(I29*100/(Datos_vigas!$B$8*AC29*K29^2*Datos_vigas!$B$5)&gt;=0.5,"REVISAR",MAX((1-SQRT(1-2*I29*100/(Datos_vigas!$B$8*AC29*K29^2*Datos_vigas!$B$5)))*AC29*K29*Datos_vigas!$B$5/Datos_vigas!$B$6,0.0033*J29*K29))))</f>
        <v>3.3165</v>
      </c>
      <c r="Q29" s="8" t="n">
        <v>3</v>
      </c>
      <c r="R29" s="8" t="n">
        <v>12</v>
      </c>
      <c r="S29" s="7" t="n">
        <f aca="false">F29/(J29*0.85*K29)</f>
        <v>8.14174960491659</v>
      </c>
      <c r="T29" s="7" t="n">
        <f aca="false">G29/(J29*0.85*K29)</f>
        <v>8.14174960491659</v>
      </c>
      <c r="U29" s="8" t="n">
        <v>6</v>
      </c>
      <c r="V29" s="8" t="n">
        <v>30</v>
      </c>
      <c r="W29" s="9" t="str">
        <f aca="false">IF(OR(M29="REVISAR",P29="REVISAR"),"SECCION INSUF.",IF(NOT(AND(M29&lt;&gt;"REVISAR",P29&lt;&gt;"REVISAR",IF(ISNUMBER(M29),N29*PI()*(O29/10)^2/4&gt;=M29,TRUE()),IF(ISNUMBER(P29),Q29*PI()*(R29/10)^2/4&gt;=P29,TRUE()),IF(ISNUMBER(M29),M29&lt;=0.0163*AB29*K29,TRUE()),IF(ISNUMBER(P29),P29&lt;=0.0163*AC29*K29,TRUE()))),"NO VERIFICA FLEX.",IF(NOT(F29&lt;=Datos_vigas!$B$9*(0.53*SQRT(Datos_vigas!$B$5)*J29*K29+2*PI()*(U29/10)^2/4*Datos_vigas!$B$6*K29/V29)),"NO VERIF. CORTE",IF(NOT(L29&gt;=C29*100/VLOOKUP(Y29,Datos_vigas!$A$19:$E$23,5,0)),"VERIFICAR FLECHA","VERIFICA"))))</f>
        <v>VERIFICA</v>
      </c>
      <c r="X29" s="8"/>
      <c r="Y29" s="8" t="s">
        <v>165</v>
      </c>
      <c r="Z29" s="8" t="s">
        <v>166</v>
      </c>
      <c r="AA29" s="8" t="n">
        <v>12</v>
      </c>
      <c r="AB29" s="8" t="n">
        <f aca="false">IF(Z29="Colgante",MIN(C29*100/4,J29+16*AA29),J29)</f>
        <v>15</v>
      </c>
      <c r="AC29" s="8" t="n">
        <f aca="false">IF(Z29="Invertida",MIN(C29*100/4,J29+16*AA29),J29)</f>
        <v>150</v>
      </c>
      <c r="AD29" s="8"/>
      <c r="AE29" s="8"/>
      <c r="AF29" s="8" t="n">
        <v>1.699</v>
      </c>
      <c r="AG29" s="8" t="n">
        <v>1</v>
      </c>
      <c r="AH29" s="8" t="n">
        <v>3</v>
      </c>
    </row>
    <row r="30" customFormat="false" ht="69.75" hidden="false" customHeight="true" outlineLevel="0" collapsed="false">
      <c r="A30" s="28"/>
      <c r="B30" s="19" t="s">
        <v>207</v>
      </c>
      <c r="C30" s="7" t="n">
        <v>4.03</v>
      </c>
      <c r="D30" s="29" t="n">
        <f aca="false">(Datos_vigas!$B$10*(VLOOKUP($A$26,Datos_vigas!$A$14:$E$15,2,0)*AF30+Datos_vigas!$B$7*J30*L30/10000+Datos_vigas!$B$16*AG30)+Datos_vigas!$B$11*VLOOKUP($A$26,Datos_vigas!$A$14:$E$15,3,0)*AF30)</f>
        <v>602.4</v>
      </c>
      <c r="E30" s="8"/>
      <c r="F30" s="29" t="n">
        <f aca="false">VLOOKUP(Y30,Datos_vigas!$A$19:$E$23,4,0)*D30*C30+IF(OR(AD30="",AE30=""),0,AD30*MAX(AE30,C30-AE30)/C30)</f>
        <v>1395.9114</v>
      </c>
      <c r="G30" s="29" t="n">
        <f aca="false">F30</f>
        <v>1395.9114</v>
      </c>
      <c r="H30" s="29" t="n">
        <f aca="false">VLOOKUP(Y30,Datos_vigas!$A$19:$E$23,2,0)*D30*C30^2+0.75*1000*IF(OR(AD30="",AE30=""),0,AD30*AE30*(C30-AE30)/C30/1000)</f>
        <v>698.8367021688</v>
      </c>
      <c r="I30" s="29" t="n">
        <f aca="false">IF(VLOOKUP(Y30,Datos_vigas!$A$19:$E$23,3,0)=0,"---",VLOOKUP(Y30,Datos_vigas!$A$19:$E$23,3,0)*D30*C30^2+0.5*1000*IF(OR(AD30="",AE30=""),0,AD30*AE30*(C30-AE30)/C30/1000))</f>
        <v>978.351816</v>
      </c>
      <c r="J30" s="8" t="n">
        <v>15</v>
      </c>
      <c r="K30" s="8" t="n">
        <f aca="false">L30-AH30</f>
        <v>67</v>
      </c>
      <c r="L30" s="8" t="n">
        <v>70</v>
      </c>
      <c r="M30" s="7" t="n">
        <f aca="false">IF(NOT(ISNUMBER(H30)),"---",IF(H30&lt;=0,"---",IF(H30*100/(Datos_vigas!$B$8*AB30*K30^2*Datos_vigas!$B$5)&gt;=0.5,"REVISAR",MAX((1-SQRT(1-2*H30*100/(Datos_vigas!$B$8*AB30*K30^2*Datos_vigas!$B$5)))*AB30*K30*Datos_vigas!$B$5/Datos_vigas!$B$6,0.0033*J30*K30))))</f>
        <v>3.3165</v>
      </c>
      <c r="N30" s="8" t="n">
        <v>3</v>
      </c>
      <c r="O30" s="8" t="n">
        <v>12</v>
      </c>
      <c r="P30" s="7" t="n">
        <f aca="false">IF(NOT(ISNUMBER(I30)),"---",IF(I30&lt;=0,"---",IF(I30*100/(Datos_vigas!$B$8*AC30*K30^2*Datos_vigas!$B$5)&gt;=0.5,"REVISAR",MAX((1-SQRT(1-2*I30*100/(Datos_vigas!$B$8*AC30*K30^2*Datos_vigas!$B$5)))*AC30*K30*Datos_vigas!$B$5/Datos_vigas!$B$6,0.0033*J30*K30))))</f>
        <v>3.3165</v>
      </c>
      <c r="Q30" s="8" t="n">
        <v>3</v>
      </c>
      <c r="R30" s="8" t="n">
        <v>12</v>
      </c>
      <c r="S30" s="7" t="n">
        <f aca="false">F30/(J30*0.85*K30)</f>
        <v>1.6340783143108</v>
      </c>
      <c r="T30" s="7" t="n">
        <f aca="false">G30/(J30*0.85*K30)</f>
        <v>1.6340783143108</v>
      </c>
      <c r="U30" s="8" t="n">
        <v>6</v>
      </c>
      <c r="V30" s="8" t="n">
        <v>30</v>
      </c>
      <c r="W30" s="9" t="str">
        <f aca="false">IF(OR(M30="REVISAR",P30="REVISAR"),"SECCION INSUF.",IF(NOT(AND(M30&lt;&gt;"REVISAR",P30&lt;&gt;"REVISAR",IF(ISNUMBER(M30),N30*PI()*(O30/10)^2/4&gt;=M30,TRUE()),IF(ISNUMBER(P30),Q30*PI()*(R30/10)^2/4&gt;=P30,TRUE()),IF(ISNUMBER(M30),M30&lt;=0.0163*AB30*K30,TRUE()),IF(ISNUMBER(P30),P30&lt;=0.0163*AC30*K30,TRUE()))),"NO VERIFICA FLEX.",IF(NOT(F30&lt;=Datos_vigas!$B$9*(0.53*SQRT(Datos_vigas!$B$5)*J30*K30+2*PI()*(U30/10)^2/4*Datos_vigas!$B$6*K30/V30)),"NO VERIF. CORTE",IF(NOT(L30&gt;=C30*100/VLOOKUP(Y30,Datos_vigas!$A$19:$E$23,5,0)),"VERIFICAR FLECHA","VERIFICA"))))</f>
        <v>VERIFICA</v>
      </c>
      <c r="X30" s="10" t="s">
        <v>168</v>
      </c>
      <c r="Y30" s="8" t="s">
        <v>165</v>
      </c>
      <c r="Z30" s="8" t="s">
        <v>166</v>
      </c>
      <c r="AA30" s="8" t="n">
        <v>12</v>
      </c>
      <c r="AB30" s="8" t="n">
        <f aca="false">IF(Z30="Colgante",MIN(C30*100/4,J30+16*AA30),J30)</f>
        <v>15</v>
      </c>
      <c r="AC30" s="8" t="n">
        <f aca="false">IF(Z30="Invertida",MIN(C30*100/4,J30+16*AA30),J30)</f>
        <v>100.75</v>
      </c>
      <c r="AD30" s="8"/>
      <c r="AE30" s="8"/>
      <c r="AF30" s="8" t="n">
        <v>0</v>
      </c>
      <c r="AG30" s="8" t="n">
        <v>1</v>
      </c>
      <c r="AH30" s="8" t="n">
        <v>3</v>
      </c>
    </row>
    <row r="31" customFormat="false" ht="69.75" hidden="false" customHeight="true" outlineLevel="0" collapsed="false">
      <c r="A31" s="28"/>
      <c r="B31" s="19" t="s">
        <v>208</v>
      </c>
      <c r="C31" s="7" t="n">
        <v>4.85</v>
      </c>
      <c r="D31" s="29" t="n">
        <f aca="false">(Datos_vigas!$B$10*(VLOOKUP($A$26,Datos_vigas!$A$14:$E$15,2,0)*AF31+Datos_vigas!$B$7*J31*L31/10000+Datos_vigas!$B$16*AG31)+Datos_vigas!$B$11*VLOOKUP($A$26,Datos_vigas!$A$14:$E$15,3,0)*AF31)</f>
        <v>2015.968</v>
      </c>
      <c r="E31" s="8"/>
      <c r="F31" s="29" t="n">
        <f aca="false">VLOOKUP(Y31,Datos_vigas!$A$19:$E$23,4,0)*D31*C31+IF(OR(AD31="",AE31=""),0,AD31*MAX(AE31,C31-AE31)/C31)</f>
        <v>5622.03076</v>
      </c>
      <c r="G31" s="29" t="n">
        <f aca="false">F31</f>
        <v>5622.03076</v>
      </c>
      <c r="H31" s="29" t="n">
        <f aca="false">VLOOKUP(Y31,Datos_vigas!$A$19:$E$23,2,0)*D31*C31^2+0.75*1000*IF(OR(AD31="",AE31=""),0,AD31*AE31*(C31-AE31)/C31/1000)</f>
        <v>3387.2539780104</v>
      </c>
      <c r="I31" s="29" t="n">
        <f aca="false">IF(VLOOKUP(Y31,Datos_vigas!$A$19:$E$23,3,0)=0,"---",VLOOKUP(Y31,Datos_vigas!$A$19:$E$23,3,0)*D31*C31^2+0.5*1000*IF(OR(AD31="",AE31=""),0,AD31*AE31*(C31-AE31)/C31/1000))</f>
        <v>4742.060728</v>
      </c>
      <c r="J31" s="8" t="n">
        <v>15</v>
      </c>
      <c r="K31" s="8" t="n">
        <f aca="false">L31-AH31</f>
        <v>67</v>
      </c>
      <c r="L31" s="8" t="n">
        <v>70</v>
      </c>
      <c r="M31" s="7" t="n">
        <f aca="false">IF(NOT(ISNUMBER(H31)),"---",IF(H31&lt;=0,"---",IF(H31*100/(Datos_vigas!$B$8*AB31*K31^2*Datos_vigas!$B$5)&gt;=0.5,"REVISAR",MAX((1-SQRT(1-2*H31*100/(Datos_vigas!$B$8*AB31*K31^2*Datos_vigas!$B$5)))*AB31*K31*Datos_vigas!$B$5/Datos_vigas!$B$6,0.0033*J31*K31))))</f>
        <v>3.3165</v>
      </c>
      <c r="N31" s="8" t="n">
        <v>3</v>
      </c>
      <c r="O31" s="8" t="n">
        <v>12</v>
      </c>
      <c r="P31" s="7" t="n">
        <f aca="false">IF(NOT(ISNUMBER(I31)),"---",IF(I31&lt;=0,"---",IF(I31*100/(Datos_vigas!$B$8*AC31*K31^2*Datos_vigas!$B$5)&gt;=0.5,"REVISAR",MAX((1-SQRT(1-2*I31*100/(Datos_vigas!$B$8*AC31*K31^2*Datos_vigas!$B$5)))*AC31*K31*Datos_vigas!$B$5/Datos_vigas!$B$6,0.0033*J31*K31))))</f>
        <v>3.3165</v>
      </c>
      <c r="Q31" s="8" t="n">
        <v>3</v>
      </c>
      <c r="R31" s="8" t="n">
        <v>12</v>
      </c>
      <c r="S31" s="7" t="n">
        <f aca="false">F31/(J31*0.85*K31)</f>
        <v>6.58124759730758</v>
      </c>
      <c r="T31" s="7" t="n">
        <f aca="false">G31/(J31*0.85*K31)</f>
        <v>6.58124759730758</v>
      </c>
      <c r="U31" s="8" t="n">
        <v>6</v>
      </c>
      <c r="V31" s="8" t="n">
        <v>30</v>
      </c>
      <c r="W31" s="9" t="str">
        <f aca="false">IF(OR(M31="REVISAR",P31="REVISAR"),"SECCION INSUF.",IF(NOT(AND(M31&lt;&gt;"REVISAR",P31&lt;&gt;"REVISAR",IF(ISNUMBER(M31),N31*PI()*(O31/10)^2/4&gt;=M31,TRUE()),IF(ISNUMBER(P31),Q31*PI()*(R31/10)^2/4&gt;=P31,TRUE()),IF(ISNUMBER(M31),M31&lt;=0.0163*AB31*K31,TRUE()),IF(ISNUMBER(P31),P31&lt;=0.0163*AC31*K31,TRUE()))),"NO VERIFICA FLEX.",IF(NOT(F31&lt;=Datos_vigas!$B$9*(0.53*SQRT(Datos_vigas!$B$5)*J31*K31+2*PI()*(U31/10)^2/4*Datos_vigas!$B$6*K31/V31)),"NO VERIF. CORTE",IF(NOT(L31&gt;=C31*100/VLOOKUP(Y31,Datos_vigas!$A$19:$E$23,5,0)),"VERIFICAR FLECHA","VERIFICA"))))</f>
        <v>VERIFICA</v>
      </c>
      <c r="X31" s="10" t="s">
        <v>168</v>
      </c>
      <c r="Y31" s="8" t="s">
        <v>165</v>
      </c>
      <c r="Z31" s="8" t="s">
        <v>166</v>
      </c>
      <c r="AA31" s="8" t="n">
        <v>12</v>
      </c>
      <c r="AB31" s="8" t="n">
        <f aca="false">IF(Z31="Colgante",MIN(C31*100/4,J31+16*AA31),J31)</f>
        <v>15</v>
      </c>
      <c r="AC31" s="8" t="n">
        <f aca="false">IF(Z31="Invertida",MIN(C31*100/4,J31+16*AA31),J31)</f>
        <v>121.25</v>
      </c>
      <c r="AD31" s="8"/>
      <c r="AE31" s="8"/>
      <c r="AF31" s="8" t="n">
        <v>1.699</v>
      </c>
      <c r="AG31" s="8" t="n">
        <v>1</v>
      </c>
      <c r="AH31" s="8" t="n">
        <v>3</v>
      </c>
    </row>
    <row r="32" customFormat="false" ht="69.75" hidden="false" customHeight="true" outlineLevel="0" collapsed="false">
      <c r="A32" s="28"/>
      <c r="B32" s="19" t="s">
        <v>209</v>
      </c>
      <c r="C32" s="7" t="n">
        <v>3.58</v>
      </c>
      <c r="D32" s="29" t="n">
        <f aca="false">(Datos_vigas!$B$10*(VLOOKUP($A$26,Datos_vigas!$A$14:$E$15,2,0)*AF32+Datos_vigas!$B$7*J32*L32/10000+Datos_vigas!$B$16*AG32)+Datos_vigas!$B$11*VLOOKUP($A$26,Datos_vigas!$A$14:$E$15,3,0)*AF32)</f>
        <v>2015.968</v>
      </c>
      <c r="E32" s="8"/>
      <c r="F32" s="29" t="n">
        <f aca="false">VLOOKUP(Y32,Datos_vigas!$A$19:$E$23,4,0)*D32*C32+IF(OR(AD32="",AE32=""),0,AD32*MAX(AE32,C32-AE32)/C32)</f>
        <v>4149.870128</v>
      </c>
      <c r="G32" s="29" t="n">
        <f aca="false">F32</f>
        <v>4149.870128</v>
      </c>
      <c r="H32" s="29" t="n">
        <f aca="false">VLOOKUP(Y32,Datos_vigas!$A$19:$E$23,2,0)*D32*C32^2+0.75*1000*IF(OR(AD32="",AE32=""),0,AD32*AE32*(C32-AE32)/C32/1000)</f>
        <v>1845.56921601754</v>
      </c>
      <c r="I32" s="29" t="n">
        <f aca="false">IF(VLOOKUP(Y32,Datos_vigas!$A$19:$E$23,3,0)=0,"---",VLOOKUP(Y32,Datos_vigas!$A$19:$E$23,3,0)*D32*C32^2+0.5*1000*IF(OR(AD32="",AE32=""),0,AD32*AE32*(C32-AE32)/C32/1000))</f>
        <v>2583.74522752</v>
      </c>
      <c r="J32" s="8" t="n">
        <v>15</v>
      </c>
      <c r="K32" s="8" t="n">
        <f aca="false">L32-AH32</f>
        <v>67</v>
      </c>
      <c r="L32" s="8" t="n">
        <v>70</v>
      </c>
      <c r="M32" s="7" t="n">
        <f aca="false">IF(NOT(ISNUMBER(H32)),"---",IF(H32&lt;=0,"---",IF(H32*100/(Datos_vigas!$B$8*AB32*K32^2*Datos_vigas!$B$5)&gt;=0.5,"REVISAR",MAX((1-SQRT(1-2*H32*100/(Datos_vigas!$B$8*AB32*K32^2*Datos_vigas!$B$5)))*AB32*K32*Datos_vigas!$B$5/Datos_vigas!$B$6,0.0033*J32*K32))))</f>
        <v>3.3165</v>
      </c>
      <c r="N32" s="8" t="n">
        <v>3</v>
      </c>
      <c r="O32" s="8" t="n">
        <v>12</v>
      </c>
      <c r="P32" s="7" t="n">
        <f aca="false">IF(NOT(ISNUMBER(I32)),"---",IF(I32&lt;=0,"---",IF(I32*100/(Datos_vigas!$B$8*AC32*K32^2*Datos_vigas!$B$5)&gt;=0.5,"REVISAR",MAX((1-SQRT(1-2*I32*100/(Datos_vigas!$B$8*AC32*K32^2*Datos_vigas!$B$5)))*AC32*K32*Datos_vigas!$B$5/Datos_vigas!$B$6,0.0033*J32*K32))))</f>
        <v>3.3165</v>
      </c>
      <c r="Q32" s="8" t="n">
        <v>3</v>
      </c>
      <c r="R32" s="8" t="n">
        <v>12</v>
      </c>
      <c r="S32" s="7" t="n">
        <f aca="false">F32/(J32*0.85*K32)</f>
        <v>4.85791059760023</v>
      </c>
      <c r="T32" s="7" t="n">
        <f aca="false">G32/(J32*0.85*K32)</f>
        <v>4.85791059760023</v>
      </c>
      <c r="U32" s="8" t="n">
        <v>6</v>
      </c>
      <c r="V32" s="8" t="n">
        <v>30</v>
      </c>
      <c r="W32" s="9" t="str">
        <f aca="false">IF(OR(M32="REVISAR",P32="REVISAR"),"SECCION INSUF.",IF(NOT(AND(M32&lt;&gt;"REVISAR",P32&lt;&gt;"REVISAR",IF(ISNUMBER(M32),N32*PI()*(O32/10)^2/4&gt;=M32,TRUE()),IF(ISNUMBER(P32),Q32*PI()*(R32/10)^2/4&gt;=P32,TRUE()),IF(ISNUMBER(M32),M32&lt;=0.0163*AB32*K32,TRUE()),IF(ISNUMBER(P32),P32&lt;=0.0163*AC32*K32,TRUE()))),"NO VERIFICA FLEX.",IF(NOT(F32&lt;=Datos_vigas!$B$9*(0.53*SQRT(Datos_vigas!$B$5)*J32*K32+2*PI()*(U32/10)^2/4*Datos_vigas!$B$6*K32/V32)),"NO VERIF. CORTE",IF(NOT(L32&gt;=C32*100/VLOOKUP(Y32,Datos_vigas!$A$19:$E$23,5,0)),"VERIFICAR FLECHA","VERIFICA"))))</f>
        <v>VERIFICA</v>
      </c>
      <c r="X32" s="8"/>
      <c r="Y32" s="8" t="s">
        <v>165</v>
      </c>
      <c r="Z32" s="8" t="s">
        <v>166</v>
      </c>
      <c r="AA32" s="8" t="n">
        <v>12</v>
      </c>
      <c r="AB32" s="8" t="n">
        <f aca="false">IF(Z32="Colgante",MIN(C32*100/4,J32+16*AA32),J32)</f>
        <v>15</v>
      </c>
      <c r="AC32" s="8" t="n">
        <f aca="false">IF(Z32="Invertida",MIN(C32*100/4,J32+16*AA32),J32)</f>
        <v>89.5</v>
      </c>
      <c r="AD32" s="8"/>
      <c r="AE32" s="8"/>
      <c r="AF32" s="8" t="n">
        <v>1.699</v>
      </c>
      <c r="AG32" s="8" t="n">
        <v>1</v>
      </c>
      <c r="AH32" s="8" t="n">
        <v>3</v>
      </c>
    </row>
    <row r="33" customFormat="false" ht="69.75" hidden="false" customHeight="true" outlineLevel="0" collapsed="false">
      <c r="A33" s="28"/>
      <c r="B33" s="19" t="s">
        <v>210</v>
      </c>
      <c r="C33" s="7" t="n">
        <v>1.12</v>
      </c>
      <c r="D33" s="29" t="n">
        <f aca="false">(Datos_vigas!$B$10*(VLOOKUP($A$26,Datos_vigas!$A$14:$E$15,2,0)*AF33+Datos_vigas!$B$7*J33*L33/10000+Datos_vigas!$B$16*AG33)+Datos_vigas!$B$11*VLOOKUP($A$26,Datos_vigas!$A$14:$E$15,3,0)*AF33)</f>
        <v>2015.968</v>
      </c>
      <c r="E33" s="8"/>
      <c r="F33" s="29" t="n">
        <f aca="false">VLOOKUP(Y33,Datos_vigas!$A$19:$E$23,4,0)*D33*C33+IF(OR(AD33="",AE33=""),0,AD33*MAX(AE33,C33-AE33)/C33)</f>
        <v>1298.283392</v>
      </c>
      <c r="G33" s="29" t="n">
        <f aca="false">F33</f>
        <v>1298.283392</v>
      </c>
      <c r="H33" s="29" t="n">
        <f aca="false">VLOOKUP(Y33,Datos_vigas!$A$19:$E$23,2,0)*D33*C33^2+0.75*1000*IF(OR(AD33="",AE33=""),0,AD33*AE33*(C33-AE33)/C33/1000)</f>
        <v>180.634345414656</v>
      </c>
      <c r="I33" s="29" t="n">
        <f aca="false">IF(VLOOKUP(Y33,Datos_vigas!$A$19:$E$23,3,0)=0,"---",VLOOKUP(Y33,Datos_vigas!$A$19:$E$23,3,0)*D33*C33^2+0.5*1000*IF(OR(AD33="",AE33=""),0,AD33*AE33*(C33-AE33)/C33/1000))</f>
        <v>252.88302592</v>
      </c>
      <c r="J33" s="8" t="n">
        <v>15</v>
      </c>
      <c r="K33" s="8" t="n">
        <f aca="false">L33-AH33</f>
        <v>67</v>
      </c>
      <c r="L33" s="8" t="n">
        <v>70</v>
      </c>
      <c r="M33" s="7" t="n">
        <f aca="false">IF(NOT(ISNUMBER(H33)),"---",IF(H33&lt;=0,"---",IF(H33*100/(Datos_vigas!$B$8*AB33*K33^2*Datos_vigas!$B$5)&gt;=0.5,"REVISAR",MAX((1-SQRT(1-2*H33*100/(Datos_vigas!$B$8*AB33*K33^2*Datos_vigas!$B$5)))*AB33*K33*Datos_vigas!$B$5/Datos_vigas!$B$6,0.0033*J33*K33))))</f>
        <v>3.3165</v>
      </c>
      <c r="N33" s="8" t="n">
        <v>3</v>
      </c>
      <c r="O33" s="8" t="n">
        <v>12</v>
      </c>
      <c r="P33" s="7" t="n">
        <f aca="false">IF(NOT(ISNUMBER(I33)),"---",IF(I33&lt;=0,"---",IF(I33*100/(Datos_vigas!$B$8*AC33*K33^2*Datos_vigas!$B$5)&gt;=0.5,"REVISAR",MAX((1-SQRT(1-2*I33*100/(Datos_vigas!$B$8*AC33*K33^2*Datos_vigas!$B$5)))*AC33*K33*Datos_vigas!$B$5/Datos_vigas!$B$6,0.0033*J33*K33))))</f>
        <v>3.3165</v>
      </c>
      <c r="Q33" s="8" t="n">
        <v>3</v>
      </c>
      <c r="R33" s="8" t="n">
        <v>12</v>
      </c>
      <c r="S33" s="7" t="n">
        <f aca="false">F33/(J33*0.85*K33)</f>
        <v>1.51979325958443</v>
      </c>
      <c r="T33" s="7" t="n">
        <f aca="false">G33/(J33*0.85*K33)</f>
        <v>1.51979325958443</v>
      </c>
      <c r="U33" s="8" t="n">
        <v>6</v>
      </c>
      <c r="V33" s="8" t="n">
        <v>30</v>
      </c>
      <c r="W33" s="9" t="str">
        <f aca="false">IF(OR(M33="REVISAR",P33="REVISAR"),"SECCION INSUF.",IF(NOT(AND(M33&lt;&gt;"REVISAR",P33&lt;&gt;"REVISAR",IF(ISNUMBER(M33),N33*PI()*(O33/10)^2/4&gt;=M33,TRUE()),IF(ISNUMBER(P33),Q33*PI()*(R33/10)^2/4&gt;=P33,TRUE()),IF(ISNUMBER(M33),M33&lt;=0.0163*AB33*K33,TRUE()),IF(ISNUMBER(P33),P33&lt;=0.0163*AC33*K33,TRUE()))),"NO VERIFICA FLEX.",IF(NOT(F33&lt;=Datos_vigas!$B$9*(0.53*SQRT(Datos_vigas!$B$5)*J33*K33+2*PI()*(U33/10)^2/4*Datos_vigas!$B$6*K33/V33)),"NO VERIF. CORTE",IF(NOT(L33&gt;=C33*100/VLOOKUP(Y33,Datos_vigas!$A$19:$E$23,5,0)),"VERIFICAR FLECHA","VERIFICA"))))</f>
        <v>VERIFICA</v>
      </c>
      <c r="X33" s="8"/>
      <c r="Y33" s="8" t="s">
        <v>165</v>
      </c>
      <c r="Z33" s="8" t="s">
        <v>166</v>
      </c>
      <c r="AA33" s="8" t="n">
        <v>12</v>
      </c>
      <c r="AB33" s="8" t="n">
        <f aca="false">IF(Z33="Colgante",MIN(C33*100/4,J33+16*AA33),J33)</f>
        <v>15</v>
      </c>
      <c r="AC33" s="8" t="n">
        <f aca="false">IF(Z33="Invertida",MIN(C33*100/4,J33+16*AA33),J33)</f>
        <v>28</v>
      </c>
      <c r="AD33" s="8"/>
      <c r="AE33" s="8"/>
      <c r="AF33" s="8" t="n">
        <v>1.699</v>
      </c>
      <c r="AG33" s="8" t="n">
        <v>1</v>
      </c>
      <c r="AH33" s="8" t="n">
        <v>3</v>
      </c>
    </row>
    <row r="34" customFormat="false" ht="69.75" hidden="false" customHeight="true" outlineLevel="0" collapsed="false">
      <c r="A34" s="28"/>
      <c r="B34" s="30" t="s">
        <v>211</v>
      </c>
      <c r="C34" s="12" t="n">
        <v>4.35</v>
      </c>
      <c r="D34" s="31" t="n">
        <f aca="false">(Datos_vigas!$B$10*(VLOOKUP($A$26,Datos_vigas!$A$14:$E$15,2,0)*AF34+Datos_vigas!$B$7*J34*L34/10000+Datos_vigas!$B$16*AG34)+Datos_vigas!$B$11*VLOOKUP($A$26,Datos_vigas!$A$14:$E$15,3,0)*AF34)</f>
        <v>602.4</v>
      </c>
      <c r="E34" s="13"/>
      <c r="F34" s="31" t="n">
        <f aca="false">VLOOKUP(Y34,Datos_vigas!$A$19:$E$23,4,0)*D34*C34+IF(OR(AD34="",AE34=""),0,AD34*MAX(AE34,C34-AE34)/C34)</f>
        <v>1310.22</v>
      </c>
      <c r="G34" s="31" t="n">
        <f aca="false">F34</f>
        <v>1310.22</v>
      </c>
      <c r="H34" s="31" t="n">
        <f aca="false">VLOOKUP(Y34,Datos_vigas!$A$19:$E$23,2,0)*D34*C34^2+0.75*1000*IF(OR(AD34="",AE34=""),0,AD34*AE34*(C34-AE34)/C34/1000)</f>
        <v>1424.86425</v>
      </c>
      <c r="I34" s="31" t="str">
        <f aca="false">IF(VLOOKUP(Y34,Datos_vigas!$A$19:$E$23,3,0)=0,"---",VLOOKUP(Y34,Datos_vigas!$A$19:$E$23,3,0)*D34*C34^2+0.5*1000*IF(OR(AD34="",AE34=""),0,AD34*AE34*(C34-AE34)/C34/1000))</f>
        <v>---</v>
      </c>
      <c r="J34" s="13" t="n">
        <v>15</v>
      </c>
      <c r="K34" s="13" t="n">
        <f aca="false">L34-AH34</f>
        <v>67</v>
      </c>
      <c r="L34" s="13" t="n">
        <v>70</v>
      </c>
      <c r="M34" s="12" t="n">
        <f aca="false">IF(NOT(ISNUMBER(H34)),"---",IF(H34&lt;=0,"---",IF(H34*100/(Datos_vigas!$B$8*AB34*K34^2*Datos_vigas!$B$5)&gt;=0.5,"REVISAR",MAX((1-SQRT(1-2*H34*100/(Datos_vigas!$B$8*AB34*K34^2*Datos_vigas!$B$5)))*AB34*K34*Datos_vigas!$B$5/Datos_vigas!$B$6,0.0033*J34*K34))))</f>
        <v>3.3165</v>
      </c>
      <c r="N34" s="13" t="n">
        <v>3</v>
      </c>
      <c r="O34" s="13" t="n">
        <v>12</v>
      </c>
      <c r="P34" s="12" t="str">
        <f aca="false">IF(NOT(ISNUMBER(I34)),"---",IF(I34&lt;=0,"---",IF(I34*100/(Datos_vigas!$B$8*AC34*K34^2*Datos_vigas!$B$5)&gt;=0.5,"REVISAR",MAX((1-SQRT(1-2*I34*100/(Datos_vigas!$B$8*AC34*K34^2*Datos_vigas!$B$5)))*AC34*K34*Datos_vigas!$B$5/Datos_vigas!$B$6,0.0033*J34*K34))))</f>
        <v>---</v>
      </c>
      <c r="Q34" s="13" t="s">
        <v>186</v>
      </c>
      <c r="R34" s="13" t="s">
        <v>186</v>
      </c>
      <c r="S34" s="12" t="n">
        <f aca="false">F34/(J34*0.85*K34)</f>
        <v>1.5337664618086</v>
      </c>
      <c r="T34" s="12" t="n">
        <f aca="false">G34/(J34*0.85*K34)</f>
        <v>1.5337664618086</v>
      </c>
      <c r="U34" s="13" t="n">
        <v>6</v>
      </c>
      <c r="V34" s="13" t="n">
        <v>30</v>
      </c>
      <c r="W34" s="14" t="str">
        <f aca="false">IF(OR(M34="REVISAR",P34="REVISAR"),"SECCION INSUF.",IF(NOT(AND(M34&lt;&gt;"REVISAR",P34&lt;&gt;"REVISAR",IF(ISNUMBER(M34),N34*PI()*(O34/10)^2/4&gt;=M34,TRUE()),IF(ISNUMBER(P34),Q34*PI()*(R34/10)^2/4&gt;=P34,TRUE()),IF(ISNUMBER(M34),M34&lt;=0.0163*AB34*K34,TRUE()),IF(ISNUMBER(P34),P34&lt;=0.0163*AC34*K34,TRUE()))),"NO VERIFICA FLEX.",IF(NOT(F34&lt;=Datos_vigas!$B$9*(0.53*SQRT(Datos_vigas!$B$5)*J34*K34+2*PI()*(U34/10)^2/4*Datos_vigas!$B$6*K34/V34)),"NO VERIF. CORTE",IF(NOT(L34&gt;=C34*100/VLOOKUP(Y34,Datos_vigas!$A$19:$E$23,5,0)),"VERIFICAR FLECHA","VERIFICA"))))</f>
        <v>VERIFICA</v>
      </c>
      <c r="X34" s="13"/>
      <c r="Y34" s="13" t="s">
        <v>188</v>
      </c>
      <c r="Z34" s="13" t="s">
        <v>166</v>
      </c>
      <c r="AA34" s="13" t="n">
        <v>12</v>
      </c>
      <c r="AB34" s="13" t="n">
        <f aca="false">IF(Z34="Colgante",MIN(C34*100/4,J34+16*AA34),J34)</f>
        <v>15</v>
      </c>
      <c r="AC34" s="13" t="n">
        <f aca="false">IF(Z34="Invertida",MIN(C34*100/4,J34+16*AA34),J34)</f>
        <v>108.75</v>
      </c>
      <c r="AD34" s="13"/>
      <c r="AE34" s="13"/>
      <c r="AF34" s="13" t="n">
        <v>0</v>
      </c>
      <c r="AG34" s="13" t="n">
        <v>1</v>
      </c>
      <c r="AH34" s="13" t="n">
        <v>3</v>
      </c>
    </row>
  </sheetData>
  <mergeCells count="17">
    <mergeCell ref="A1:AH1"/>
    <mergeCell ref="A2:A3"/>
    <mergeCell ref="B2:B3"/>
    <mergeCell ref="C2:C3"/>
    <mergeCell ref="D2:E2"/>
    <mergeCell ref="F2:G2"/>
    <mergeCell ref="H2:H3"/>
    <mergeCell ref="I2:I3"/>
    <mergeCell ref="J2:L2"/>
    <mergeCell ref="M2:O2"/>
    <mergeCell ref="P2:R2"/>
    <mergeCell ref="S2:U2"/>
    <mergeCell ref="W2:W3"/>
    <mergeCell ref="X2:X3"/>
    <mergeCell ref="Y2:AH2"/>
    <mergeCell ref="A4:A25"/>
    <mergeCell ref="A26:A34"/>
  </mergeCells>
  <conditionalFormatting sqref="W4:W34">
    <cfRule type="cellIs" priority="2" operator="equal" aboveAverage="0" equalAverage="0" bottom="0" percent="0" rank="0" text="" dxfId="0">
      <formula>"VERIFICA"</formula>
    </cfRule>
    <cfRule type="cellIs" priority="3" operator="equal" aboveAverage="0" equalAverage="0" bottom="0" percent="0" rank="0" text="" dxfId="1">
      <formula>"NO VERIFICA FLEX."</formula>
    </cfRule>
    <cfRule type="cellIs" priority="4" operator="equal" aboveAverage="0" equalAverage="0" bottom="0" percent="0" rank="0" text="" dxfId="1">
      <formula>"NO VERIF. CORTE"</formula>
    </cfRule>
    <cfRule type="cellIs" priority="5" operator="equal" aboveAverage="0" equalAverage="0" bottom="0" percent="0" rank="0" text="" dxfId="1">
      <formula>"VERIFICAR FLECHA"</formula>
    </cfRule>
  </conditionalFormatting>
  <dataValidations count="3">
    <dataValidation allowBlank="true" errorStyle="stop" operator="between" showDropDown="false" showErrorMessage="false" showInputMessage="false" sqref="Y4:Y34" type="list">
      <formula1>Datos_vigas!$A$19:$A$23</formula1>
      <formula2>0</formula2>
    </dataValidation>
    <dataValidation allowBlank="true" errorStyle="stop" operator="between" showDropDown="false" showErrorMessage="false" showInputMessage="false" sqref="Z4:Z34" type="list">
      <formula1>"Invertida,Colgante"</formula1>
      <formula2>0</formula2>
    </dataValidation>
    <dataValidation allowBlank="true" errorStyle="stop" operator="between" showDropDown="false" showErrorMessage="false" showInputMessage="false" sqref="O4:O34 R4:R34 U4:U34" type="list">
      <formula1>"6,8,10,12,16,20,25"</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T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2"/>
    <col collapsed="false" customWidth="true" hidden="false" outlineLevel="0" max="2" min="2" style="0" width="13.5"/>
    <col collapsed="false" customWidth="true" hidden="false" outlineLevel="0" max="3" min="3" style="0" width="12.2"/>
    <col collapsed="false" customWidth="true" hidden="false" outlineLevel="0" max="4" min="4" style="0" width="17.61"/>
    <col collapsed="false" customWidth="true" hidden="false" outlineLevel="0" max="5" min="5" style="0" width="12.2"/>
    <col collapsed="false" customWidth="true" hidden="false" outlineLevel="0" max="6" min="6" style="0" width="43.2"/>
    <col collapsed="false" customWidth="true" hidden="false" outlineLevel="0" max="8" min="7" style="0" width="8.1"/>
    <col collapsed="false" customWidth="true" hidden="false" outlineLevel="0" max="9" min="9" style="0" width="16.2"/>
    <col collapsed="false" customWidth="true" hidden="false" outlineLevel="0" max="10" min="10" style="0" width="10.8"/>
    <col collapsed="false" customWidth="true" hidden="false" outlineLevel="0" max="11" min="11" style="0" width="8.1"/>
    <col collapsed="false" customWidth="true" hidden="false" outlineLevel="0" max="13" min="12" style="0" width="10.8"/>
    <col collapsed="false" customWidth="true" hidden="false" outlineLevel="0" max="14" min="14" style="0" width="8.1"/>
    <col collapsed="false" customWidth="true" hidden="false" outlineLevel="0" max="15" min="15" style="0" width="10.8"/>
    <col collapsed="false" customWidth="true" hidden="false" outlineLevel="0" max="17" min="16" style="0" width="12.2"/>
    <col collapsed="false" customWidth="true" hidden="false" outlineLevel="0" max="18" min="18" style="0" width="54"/>
    <col collapsed="false" customWidth="true" hidden="false" outlineLevel="0" max="19" min="19" style="0" width="13.5"/>
    <col collapsed="false" customWidth="true" hidden="false" outlineLevel="0" max="20" min="20" style="0" width="10.8"/>
  </cols>
  <sheetData>
    <row r="1" customFormat="false" ht="39" hidden="false" customHeight="true" outlineLevel="0" collapsed="false">
      <c r="A1" s="27" t="s">
        <v>212</v>
      </c>
      <c r="B1" s="27"/>
      <c r="C1" s="27"/>
      <c r="D1" s="27"/>
      <c r="E1" s="27"/>
      <c r="F1" s="27"/>
      <c r="G1" s="27"/>
      <c r="H1" s="27"/>
      <c r="I1" s="27"/>
      <c r="J1" s="27"/>
      <c r="K1" s="27"/>
      <c r="L1" s="27"/>
      <c r="M1" s="27"/>
      <c r="N1" s="27"/>
      <c r="O1" s="27"/>
      <c r="P1" s="27"/>
      <c r="Q1" s="27"/>
      <c r="R1" s="27"/>
      <c r="S1" s="27"/>
      <c r="T1" s="27"/>
    </row>
    <row r="2" customFormat="false" ht="39" hidden="false" customHeight="true" outlineLevel="0" collapsed="false">
      <c r="A2" s="2" t="s">
        <v>127</v>
      </c>
      <c r="B2" s="2" t="s">
        <v>128</v>
      </c>
      <c r="C2" s="2" t="s">
        <v>129</v>
      </c>
      <c r="D2" s="2" t="s">
        <v>213</v>
      </c>
      <c r="E2" s="2" t="s">
        <v>130</v>
      </c>
      <c r="F2" s="2"/>
      <c r="G2" s="2" t="s">
        <v>134</v>
      </c>
      <c r="H2" s="2"/>
      <c r="I2" s="2" t="s">
        <v>132</v>
      </c>
      <c r="J2" s="2" t="s">
        <v>214</v>
      </c>
      <c r="K2" s="2"/>
      <c r="L2" s="2"/>
      <c r="M2" s="2" t="s">
        <v>215</v>
      </c>
      <c r="N2" s="2"/>
      <c r="O2" s="2"/>
      <c r="P2" s="2" t="s">
        <v>216</v>
      </c>
      <c r="Q2" s="2"/>
      <c r="R2" s="2" t="s">
        <v>8</v>
      </c>
      <c r="S2" s="2" t="s">
        <v>139</v>
      </c>
      <c r="T2" s="2"/>
    </row>
    <row r="3" customFormat="false" ht="39" hidden="false" customHeight="true" outlineLevel="0" collapsed="false">
      <c r="A3" s="2"/>
      <c r="B3" s="2"/>
      <c r="C3" s="2"/>
      <c r="D3" s="2"/>
      <c r="E3" s="3" t="s">
        <v>140</v>
      </c>
      <c r="F3" s="3" t="s">
        <v>141</v>
      </c>
      <c r="G3" s="3" t="s">
        <v>145</v>
      </c>
      <c r="H3" s="3" t="s">
        <v>146</v>
      </c>
      <c r="I3" s="2"/>
      <c r="J3" s="3" t="s">
        <v>147</v>
      </c>
      <c r="K3" s="3" t="s">
        <v>149</v>
      </c>
      <c r="L3" s="3" t="s">
        <v>217</v>
      </c>
      <c r="M3" s="3" t="s">
        <v>147</v>
      </c>
      <c r="N3" s="3" t="s">
        <v>149</v>
      </c>
      <c r="O3" s="3" t="s">
        <v>217</v>
      </c>
      <c r="P3" s="3" t="s">
        <v>218</v>
      </c>
      <c r="Q3" s="3" t="s">
        <v>219</v>
      </c>
      <c r="R3" s="2"/>
      <c r="S3" s="3" t="s">
        <v>220</v>
      </c>
      <c r="T3" s="3" t="s">
        <v>221</v>
      </c>
    </row>
    <row r="4" customFormat="false" ht="69.75" hidden="false" customHeight="true" outlineLevel="0" collapsed="false">
      <c r="A4" s="28" t="s">
        <v>222</v>
      </c>
      <c r="B4" s="19" t="s">
        <v>223</v>
      </c>
      <c r="C4" s="7" t="n">
        <v>3.65</v>
      </c>
      <c r="D4" s="8" t="s">
        <v>224</v>
      </c>
      <c r="E4" s="29" t="n">
        <f aca="false">(Datos_losas!$B$9*H4/100+VLOOKUP($A$4,Datos_losas!$A$16:$C$17,2,0)+VLOOKUP($A$4,Datos_losas!$A$16:$C$17,3,0))*T4</f>
        <v>706</v>
      </c>
      <c r="F4" s="8"/>
      <c r="G4" s="32" t="n">
        <f aca="false">H4-Datos_losas!$B$10</f>
        <v>9.5</v>
      </c>
      <c r="H4" s="8" t="n">
        <v>11</v>
      </c>
      <c r="I4" s="29" t="n">
        <f aca="false">IF(C4="","",VLOOKUP(D4,Datos_losas!$A$21:$D$25,2,0)*E4*C4^2)</f>
        <v>1175.710625</v>
      </c>
      <c r="J4" s="7" t="n">
        <f aca="false">IF(I4="","",MAX(I4*100/(Datos_losas!$B$7*Datos_losas!$B$8*G4),Datos_losas!$B$13))</f>
        <v>5.72958394249513</v>
      </c>
      <c r="K4" s="8" t="n">
        <v>12</v>
      </c>
      <c r="L4" s="8" t="n">
        <f aca="false">IF(J4="","",MIN(Datos_losas!$B$11,ROUND(100*PI()*(K4/10)^2/4/J4,0)))</f>
        <v>20</v>
      </c>
      <c r="M4" s="7" t="n">
        <f aca="false">IF(J4="","",MAX(Datos_losas!$B$12*J4,Datos_losas!$B$13))</f>
        <v>1.14591678849903</v>
      </c>
      <c r="N4" s="8" t="n">
        <v>6</v>
      </c>
      <c r="O4" s="8" t="n">
        <f aca="false">IF(M4="","",MIN(Datos_losas!$B$11,ROUND(100*PI()*(N4/10)^2/4/M4,0)))</f>
        <v>20</v>
      </c>
      <c r="P4" s="29" t="n">
        <f aca="false">IF(C4="","",VLOOKUP(D4,Datos_losas!$A$21:$D$25,3,0)*E4*C4)</f>
        <v>1288.45</v>
      </c>
      <c r="Q4" s="29" t="n">
        <f aca="false">IF(C4="","",IF(VLOOKUP(D4,Datos_losas!$A$21:$D$25,4,0)="Voladizo","---",P4))</f>
        <v>1288.45</v>
      </c>
      <c r="R4" s="10"/>
      <c r="S4" s="8"/>
      <c r="T4" s="33" t="n">
        <f aca="false">IF(S4="",1,S4^4/(C4^4+S4^4))</f>
        <v>1</v>
      </c>
    </row>
    <row r="5" customFormat="false" ht="69.75" hidden="false" customHeight="true" outlineLevel="0" collapsed="false">
      <c r="A5" s="28"/>
      <c r="B5" s="19" t="s">
        <v>225</v>
      </c>
      <c r="C5" s="7" t="n">
        <v>0.8</v>
      </c>
      <c r="D5" s="8" t="s">
        <v>226</v>
      </c>
      <c r="E5" s="29" t="n">
        <f aca="false">(Datos_losas!$B$9*H5/100+VLOOKUP($A$4,Datos_losas!$A$16:$C$17,2,0)+VLOOKUP($A$4,Datos_losas!$A$16:$C$17,3,0))*T5</f>
        <v>658</v>
      </c>
      <c r="F5" s="8"/>
      <c r="G5" s="32" t="n">
        <f aca="false">H5-Datos_losas!$B$10</f>
        <v>7.5</v>
      </c>
      <c r="H5" s="8" t="n">
        <v>9</v>
      </c>
      <c r="I5" s="29" t="n">
        <f aca="false">IF(C5="","",VLOOKUP(D5,Datos_losas!$A$21:$D$25,2,0)*E5*C5^2)</f>
        <v>210.56</v>
      </c>
      <c r="J5" s="7" t="n">
        <f aca="false">IF(I5="","",MAX(I5*100/(Datos_losas!$B$7*Datos_losas!$B$8*G5),Datos_losas!$B$13))</f>
        <v>1.29975308641975</v>
      </c>
      <c r="K5" s="8" t="n">
        <v>12</v>
      </c>
      <c r="L5" s="8" t="n">
        <f aca="false">IF(J5="","",MIN(Datos_losas!$B$11,ROUND(100*PI()*(K5/10)^2/4/J5,0)))</f>
        <v>20</v>
      </c>
      <c r="M5" s="7" t="n">
        <f aca="false">IF(J5="","",MAX(Datos_losas!$B$12*J5,Datos_losas!$B$13))</f>
        <v>0.3</v>
      </c>
      <c r="N5" s="8" t="n">
        <v>6</v>
      </c>
      <c r="O5" s="8" t="n">
        <f aca="false">IF(M5="","",MIN(Datos_losas!$B$11,ROUND(100*PI()*(N5/10)^2/4/M5,0)))</f>
        <v>20</v>
      </c>
      <c r="P5" s="29" t="n">
        <f aca="false">IF(C5="","",VLOOKUP(D5,Datos_losas!$A$21:$D$25,3,0)*E5*C5)</f>
        <v>526.4</v>
      </c>
      <c r="Q5" s="29" t="str">
        <f aca="false">IF(C5="","",IF(VLOOKUP(D5,Datos_losas!$A$21:$D$25,4,0)="Voladizo","---",P5))</f>
        <v>---</v>
      </c>
      <c r="R5" s="10" t="s">
        <v>227</v>
      </c>
      <c r="S5" s="8"/>
      <c r="T5" s="33" t="n">
        <f aca="false">IF(S5="",1,S5^4/(C5^4+S5^4))</f>
        <v>1</v>
      </c>
    </row>
    <row r="6" customFormat="false" ht="69.75" hidden="false" customHeight="true" outlineLevel="0" collapsed="false">
      <c r="A6" s="28"/>
      <c r="B6" s="19" t="s">
        <v>228</v>
      </c>
      <c r="C6" s="7" t="n">
        <v>4.15</v>
      </c>
      <c r="D6" s="8" t="s">
        <v>224</v>
      </c>
      <c r="E6" s="29" t="n">
        <f aca="false">(Datos_losas!$B$9*H6/100+VLOOKUP($A$4,Datos_losas!$A$16:$C$17,2,0)+VLOOKUP($A$4,Datos_losas!$A$16:$C$17,3,0))*T6</f>
        <v>754</v>
      </c>
      <c r="F6" s="8"/>
      <c r="G6" s="32" t="n">
        <f aca="false">H6-Datos_losas!$B$10</f>
        <v>11.5</v>
      </c>
      <c r="H6" s="8" t="n">
        <v>13</v>
      </c>
      <c r="I6" s="29" t="n">
        <f aca="false">IF(C6="","",VLOOKUP(D6,Datos_losas!$A$21:$D$25,2,0)*E6*C6^2)</f>
        <v>1623.220625</v>
      </c>
      <c r="J6" s="7" t="n">
        <f aca="false">IF(I6="","",MAX(I6*100/(Datos_losas!$B$7*Datos_losas!$B$8*G6),Datos_losas!$B$13))</f>
        <v>6.53470460950081</v>
      </c>
      <c r="K6" s="8" t="n">
        <v>12</v>
      </c>
      <c r="L6" s="8" t="n">
        <f aca="false">IF(J6="","",MIN(Datos_losas!$B$11,ROUND(100*PI()*(K6/10)^2/4/J6,0)))</f>
        <v>17</v>
      </c>
      <c r="M6" s="7" t="n">
        <f aca="false">IF(J6="","",MAX(Datos_losas!$B$12*J6,Datos_losas!$B$13))</f>
        <v>1.30694092190016</v>
      </c>
      <c r="N6" s="8" t="n">
        <v>6</v>
      </c>
      <c r="O6" s="8" t="n">
        <f aca="false">IF(M6="","",MIN(Datos_losas!$B$11,ROUND(100*PI()*(N6/10)^2/4/M6,0)))</f>
        <v>20</v>
      </c>
      <c r="P6" s="29" t="n">
        <f aca="false">IF(C6="","",VLOOKUP(D6,Datos_losas!$A$21:$D$25,3,0)*E6*C6)</f>
        <v>1564.55</v>
      </c>
      <c r="Q6" s="29" t="n">
        <f aca="false">IF(C6="","",IF(VLOOKUP(D6,Datos_losas!$A$21:$D$25,4,0)="Voladizo","---",P6))</f>
        <v>1564.55</v>
      </c>
      <c r="R6" s="10"/>
      <c r="S6" s="8"/>
      <c r="T6" s="33" t="n">
        <f aca="false">IF(S6="",1,S6^4/(C6^4+S6^4))</f>
        <v>1</v>
      </c>
    </row>
    <row r="7" customFormat="false" ht="69.75" hidden="false" customHeight="true" outlineLevel="0" collapsed="false">
      <c r="A7" s="28"/>
      <c r="B7" s="19" t="s">
        <v>229</v>
      </c>
      <c r="C7" s="7" t="n">
        <v>3.73</v>
      </c>
      <c r="D7" s="8" t="s">
        <v>224</v>
      </c>
      <c r="E7" s="29" t="n">
        <f aca="false">(Datos_losas!$B$9*H7/100+VLOOKUP($A$4,Datos_losas!$A$16:$C$17,2,0)+VLOOKUP($A$4,Datos_losas!$A$16:$C$17,3,0))*T7</f>
        <v>706</v>
      </c>
      <c r="F7" s="8"/>
      <c r="G7" s="32" t="n">
        <f aca="false">H7-Datos_losas!$B$10</f>
        <v>9.5</v>
      </c>
      <c r="H7" s="8" t="n">
        <v>11</v>
      </c>
      <c r="I7" s="29" t="n">
        <f aca="false">IF(C7="","",VLOOKUP(D7,Datos_losas!$A$21:$D$25,2,0)*E7*C7^2)</f>
        <v>1227.813425</v>
      </c>
      <c r="J7" s="7" t="n">
        <f aca="false">IF(I7="","",MAX(I7*100/(Datos_losas!$B$7*Datos_losas!$B$8*G7),Datos_losas!$B$13))</f>
        <v>5.98349622319688</v>
      </c>
      <c r="K7" s="8" t="n">
        <v>12</v>
      </c>
      <c r="L7" s="8" t="n">
        <f aca="false">IF(J7="","",MIN(Datos_losas!$B$11,ROUND(100*PI()*(K7/10)^2/4/J7,0)))</f>
        <v>19</v>
      </c>
      <c r="M7" s="7" t="n">
        <f aca="false">IF(J7="","",MAX(Datos_losas!$B$12*J7,Datos_losas!$B$13))</f>
        <v>1.19669924463938</v>
      </c>
      <c r="N7" s="8" t="n">
        <v>6</v>
      </c>
      <c r="O7" s="8" t="n">
        <f aca="false">IF(M7="","",MIN(Datos_losas!$B$11,ROUND(100*PI()*(N7/10)^2/4/M7,0)))</f>
        <v>20</v>
      </c>
      <c r="P7" s="29" t="n">
        <f aca="false">IF(C7="","",VLOOKUP(D7,Datos_losas!$A$21:$D$25,3,0)*E7*C7)</f>
        <v>1316.69</v>
      </c>
      <c r="Q7" s="29" t="n">
        <f aca="false">IF(C7="","",IF(VLOOKUP(D7,Datos_losas!$A$21:$D$25,4,0)="Voladizo","---",P7))</f>
        <v>1316.69</v>
      </c>
      <c r="R7" s="10"/>
      <c r="S7" s="8"/>
      <c r="T7" s="33" t="n">
        <f aca="false">IF(S7="",1,S7^4/(C7^4+S7^4))</f>
        <v>1</v>
      </c>
    </row>
    <row r="8" customFormat="false" ht="69.75" hidden="false" customHeight="true" outlineLevel="0" collapsed="false">
      <c r="A8" s="28"/>
      <c r="B8" s="19" t="s">
        <v>230</v>
      </c>
      <c r="C8" s="7" t="n">
        <v>3.73</v>
      </c>
      <c r="D8" s="8" t="s">
        <v>224</v>
      </c>
      <c r="E8" s="29" t="n">
        <f aca="false">(Datos_losas!$B$9*H8/100+VLOOKUP($A$4,Datos_losas!$A$16:$C$17,2,0)+VLOOKUP($A$4,Datos_losas!$A$16:$C$17,3,0))*T8</f>
        <v>706</v>
      </c>
      <c r="F8" s="8"/>
      <c r="G8" s="32" t="n">
        <f aca="false">H8-Datos_losas!$B$10</f>
        <v>9.5</v>
      </c>
      <c r="H8" s="8" t="n">
        <v>11</v>
      </c>
      <c r="I8" s="29" t="n">
        <f aca="false">IF(C8="","",VLOOKUP(D8,Datos_losas!$A$21:$D$25,2,0)*E8*C8^2)</f>
        <v>1227.813425</v>
      </c>
      <c r="J8" s="7" t="n">
        <f aca="false">IF(I8="","",MAX(I8*100/(Datos_losas!$B$7*Datos_losas!$B$8*G8),Datos_losas!$B$13))</f>
        <v>5.98349622319688</v>
      </c>
      <c r="K8" s="8" t="n">
        <v>12</v>
      </c>
      <c r="L8" s="8" t="n">
        <f aca="false">IF(J8="","",MIN(Datos_losas!$B$11,ROUND(100*PI()*(K8/10)^2/4/J8,0)))</f>
        <v>19</v>
      </c>
      <c r="M8" s="7" t="n">
        <f aca="false">IF(J8="","",MAX(Datos_losas!$B$12*J8,Datos_losas!$B$13))</f>
        <v>1.19669924463938</v>
      </c>
      <c r="N8" s="8" t="n">
        <v>6</v>
      </c>
      <c r="O8" s="8" t="n">
        <f aca="false">IF(M8="","",MIN(Datos_losas!$B$11,ROUND(100*PI()*(N8/10)^2/4/M8,0)))</f>
        <v>20</v>
      </c>
      <c r="P8" s="29" t="n">
        <f aca="false">IF(C8="","",VLOOKUP(D8,Datos_losas!$A$21:$D$25,3,0)*E8*C8)</f>
        <v>1316.69</v>
      </c>
      <c r="Q8" s="29" t="n">
        <f aca="false">IF(C8="","",IF(VLOOKUP(D8,Datos_losas!$A$21:$D$25,4,0)="Voladizo","---",P8))</f>
        <v>1316.69</v>
      </c>
      <c r="R8" s="10"/>
      <c r="S8" s="8"/>
      <c r="T8" s="33" t="n">
        <f aca="false">IF(S8="",1,S8^4/(C8^4+S8^4))</f>
        <v>1</v>
      </c>
    </row>
    <row r="9" customFormat="false" ht="69.75" hidden="false" customHeight="true" outlineLevel="0" collapsed="false">
      <c r="A9" s="28"/>
      <c r="B9" s="19" t="s">
        <v>231</v>
      </c>
      <c r="C9" s="7" t="n">
        <v>2.15</v>
      </c>
      <c r="D9" s="8" t="s">
        <v>224</v>
      </c>
      <c r="E9" s="29" t="n">
        <f aca="false">(Datos_losas!$B$9*H9/100+VLOOKUP($A$4,Datos_losas!$A$16:$C$17,2,0)+VLOOKUP($A$4,Datos_losas!$A$16:$C$17,3,0))*T9</f>
        <v>634</v>
      </c>
      <c r="F9" s="8"/>
      <c r="G9" s="32" t="n">
        <f aca="false">H9-Datos_losas!$B$10</f>
        <v>6.5</v>
      </c>
      <c r="H9" s="8" t="n">
        <v>8</v>
      </c>
      <c r="I9" s="29" t="n">
        <f aca="false">IF(C9="","",VLOOKUP(D9,Datos_losas!$A$21:$D$25,2,0)*E9*C9^2)</f>
        <v>366.333125</v>
      </c>
      <c r="J9" s="7" t="n">
        <f aca="false">IF(I9="","",MAX(I9*100/(Datos_losas!$B$7*Datos_losas!$B$8*G9),Datos_losas!$B$13))</f>
        <v>2.60921029202279</v>
      </c>
      <c r="K9" s="8" t="n">
        <v>12</v>
      </c>
      <c r="L9" s="8" t="n">
        <f aca="false">IF(J9="","",MIN(Datos_losas!$B$11,ROUND(100*PI()*(K9/10)^2/4/J9,0)))</f>
        <v>20</v>
      </c>
      <c r="M9" s="7" t="n">
        <f aca="false">IF(J9="","",MAX(Datos_losas!$B$12*J9,Datos_losas!$B$13))</f>
        <v>0.521842058404558</v>
      </c>
      <c r="N9" s="8" t="n">
        <v>6</v>
      </c>
      <c r="O9" s="8" t="n">
        <f aca="false">IF(M9="","",MIN(Datos_losas!$B$11,ROUND(100*PI()*(N9/10)^2/4/M9,0)))</f>
        <v>20</v>
      </c>
      <c r="P9" s="29" t="n">
        <f aca="false">IF(C9="","",VLOOKUP(D9,Datos_losas!$A$21:$D$25,3,0)*E9*C9)</f>
        <v>681.55</v>
      </c>
      <c r="Q9" s="29" t="n">
        <f aca="false">IF(C9="","",IF(VLOOKUP(D9,Datos_losas!$A$21:$D$25,4,0)="Voladizo","---",P9))</f>
        <v>681.55</v>
      </c>
      <c r="R9" s="10"/>
      <c r="S9" s="8"/>
      <c r="T9" s="33" t="n">
        <f aca="false">IF(S9="",1,S9^4/(C9^4+S9^4))</f>
        <v>1</v>
      </c>
    </row>
    <row r="10" customFormat="false" ht="69.75" hidden="false" customHeight="true" outlineLevel="0" collapsed="false">
      <c r="A10" s="28"/>
      <c r="B10" s="19" t="s">
        <v>232</v>
      </c>
      <c r="C10" s="7" t="n">
        <v>4.85</v>
      </c>
      <c r="D10" s="8" t="s">
        <v>224</v>
      </c>
      <c r="E10" s="29" t="n">
        <f aca="false">(Datos_losas!$B$9*H10/100+VLOOKUP($A$4,Datos_losas!$A$16:$C$17,2,0)+VLOOKUP($A$4,Datos_losas!$A$16:$C$17,3,0))*T10</f>
        <v>467.164245734151</v>
      </c>
      <c r="F10" s="8"/>
      <c r="G10" s="32" t="n">
        <f aca="false">H10-Datos_losas!$B$10</f>
        <v>10.5</v>
      </c>
      <c r="H10" s="8" t="n">
        <v>12</v>
      </c>
      <c r="I10" s="29" t="n">
        <f aca="false">IF(C10="","",VLOOKUP(D10,Datos_losas!$A$21:$D$25,2,0)*E10*C10^2)</f>
        <v>1373.60887128519</v>
      </c>
      <c r="J10" s="7" t="n">
        <f aca="false">IF(I10="","",MAX(I10*100/(Datos_losas!$B$7*Datos_losas!$B$8*G10),Datos_losas!$B$13))</f>
        <v>6.05647650478481</v>
      </c>
      <c r="K10" s="8" t="n">
        <v>12</v>
      </c>
      <c r="L10" s="8" t="n">
        <f aca="false">IF(J10="","",MIN(Datos_losas!$B$11,ROUND(100*PI()*(K10/10)^2/4/J10,0)))</f>
        <v>19</v>
      </c>
      <c r="M10" s="7" t="n">
        <f aca="false">IF(J10="","",MAX(Datos_losas!$B$12*J10,Datos_losas!$B$13))</f>
        <v>1.21129530095696</v>
      </c>
      <c r="N10" s="8" t="n">
        <v>6</v>
      </c>
      <c r="O10" s="8" t="n">
        <f aca="false">IF(M10="","",MIN(Datos_losas!$B$11,ROUND(100*PI()*(N10/10)^2/4/M10,0)))</f>
        <v>20</v>
      </c>
      <c r="P10" s="29" t="n">
        <f aca="false">IF(C10="","",VLOOKUP(D10,Datos_losas!$A$21:$D$25,3,0)*E10*C10)</f>
        <v>1132.87329590532</v>
      </c>
      <c r="Q10" s="29" t="n">
        <f aca="false">IF(C10="","",IF(VLOOKUP(D10,Datos_losas!$A$21:$D$25,4,0)="Voladizo","---",P10))</f>
        <v>1132.87329590532</v>
      </c>
      <c r="R10" s="10" t="s">
        <v>233</v>
      </c>
      <c r="S10" s="8" t="n">
        <v>5.6</v>
      </c>
      <c r="T10" s="33" t="n">
        <f aca="false">IF(S10="",1,S10^4/(C10^4+S10^4))</f>
        <v>0.639951021553631</v>
      </c>
    </row>
    <row r="11" customFormat="false" ht="69.75" hidden="false" customHeight="true" outlineLevel="0" collapsed="false">
      <c r="A11" s="28"/>
      <c r="B11" s="19" t="s">
        <v>234</v>
      </c>
      <c r="C11" s="7" t="n">
        <v>5.6</v>
      </c>
      <c r="D11" s="8" t="s">
        <v>224</v>
      </c>
      <c r="E11" s="29" t="n">
        <f aca="false">(Datos_losas!$B$9*H11/100+VLOOKUP($A$4,Datos_losas!$A$16:$C$17,2,0)+VLOOKUP($A$4,Datos_losas!$A$16:$C$17,3,0))*T11</f>
        <v>262.835754265849</v>
      </c>
      <c r="F11" s="8"/>
      <c r="G11" s="32" t="n">
        <f aca="false">H11-Datos_losas!$B$10</f>
        <v>10.5</v>
      </c>
      <c r="H11" s="8" t="n">
        <v>12</v>
      </c>
      <c r="I11" s="29" t="n">
        <f aca="false">IF(C11="","",VLOOKUP(D11,Datos_losas!$A$21:$D$25,2,0)*E11*C11^2)</f>
        <v>1030.31615672213</v>
      </c>
      <c r="J11" s="7" t="n">
        <f aca="false">IF(I11="","",MAX(I11*100/(Datos_losas!$B$7*Datos_losas!$B$8*G11),Datos_losas!$B$13))</f>
        <v>4.54284019718752</v>
      </c>
      <c r="K11" s="8" t="n">
        <v>12</v>
      </c>
      <c r="L11" s="8" t="n">
        <f aca="false">IF(J11="","",MIN(Datos_losas!$B$11,ROUND(100*PI()*(K11/10)^2/4/J11,0)))</f>
        <v>20</v>
      </c>
      <c r="M11" s="7" t="n">
        <f aca="false">IF(J11="","",MAX(Datos_losas!$B$12*J11,Datos_losas!$B$13))</f>
        <v>0.908568039437504</v>
      </c>
      <c r="N11" s="8" t="n">
        <v>6</v>
      </c>
      <c r="O11" s="8" t="n">
        <f aca="false">IF(M11="","",MIN(Datos_losas!$B$11,ROUND(100*PI()*(N11/10)^2/4/M11,0)))</f>
        <v>20</v>
      </c>
      <c r="P11" s="29" t="n">
        <f aca="false">IF(C11="","",VLOOKUP(D11,Datos_losas!$A$21:$D$25,3,0)*E11*C11)</f>
        <v>735.940111944378</v>
      </c>
      <c r="Q11" s="29" t="n">
        <f aca="false">IF(C11="","",IF(VLOOKUP(D11,Datos_losas!$A$21:$D$25,4,0)="Voladizo","---",P11))</f>
        <v>735.940111944378</v>
      </c>
      <c r="R11" s="10" t="s">
        <v>235</v>
      </c>
      <c r="S11" s="8" t="n">
        <v>4.85</v>
      </c>
      <c r="T11" s="33" t="n">
        <f aca="false">IF(S11="",1,S11^4/(C11^4+S11^4))</f>
        <v>0.360048978446369</v>
      </c>
    </row>
    <row r="12" customFormat="false" ht="69.75" hidden="false" customHeight="true" outlineLevel="0" collapsed="false">
      <c r="A12" s="28"/>
      <c r="B12" s="30" t="s">
        <v>236</v>
      </c>
      <c r="C12" s="12" t="n">
        <v>0.75</v>
      </c>
      <c r="D12" s="13" t="s">
        <v>226</v>
      </c>
      <c r="E12" s="31" t="n">
        <f aca="false">(Datos_losas!$B$9*H12/100+VLOOKUP($A$4,Datos_losas!$A$16:$C$17,2,0)+VLOOKUP($A$4,Datos_losas!$A$16:$C$17,3,0))*T12</f>
        <v>682</v>
      </c>
      <c r="F12" s="13"/>
      <c r="G12" s="34" t="n">
        <f aca="false">H12-Datos_losas!$B$10</f>
        <v>8.5</v>
      </c>
      <c r="H12" s="13" t="n">
        <v>10</v>
      </c>
      <c r="I12" s="31" t="n">
        <f aca="false">IF(C12="","",VLOOKUP(D12,Datos_losas!$A$21:$D$25,2,0)*E12*C12^2)</f>
        <v>191.8125</v>
      </c>
      <c r="J12" s="12" t="n">
        <f aca="false">IF(I12="","",MAX(I12*100/(Datos_losas!$B$7*Datos_losas!$B$8*G12),Datos_losas!$B$13))</f>
        <v>1.04473039215686</v>
      </c>
      <c r="K12" s="13" t="n">
        <v>12</v>
      </c>
      <c r="L12" s="13" t="n">
        <f aca="false">IF(J12="","",MIN(Datos_losas!$B$11,ROUND(100*PI()*(K12/10)^2/4/J12,0)))</f>
        <v>20</v>
      </c>
      <c r="M12" s="12" t="n">
        <f aca="false">IF(J12="","",MAX(Datos_losas!$B$12*J12,Datos_losas!$B$13))</f>
        <v>0.3</v>
      </c>
      <c r="N12" s="13" t="n">
        <v>6</v>
      </c>
      <c r="O12" s="13" t="n">
        <f aca="false">IF(M12="","",MIN(Datos_losas!$B$11,ROUND(100*PI()*(N12/10)^2/4/M12,0)))</f>
        <v>20</v>
      </c>
      <c r="P12" s="31" t="n">
        <f aca="false">IF(C12="","",VLOOKUP(D12,Datos_losas!$A$21:$D$25,3,0)*E12*C12)</f>
        <v>511.5</v>
      </c>
      <c r="Q12" s="31" t="str">
        <f aca="false">IF(C12="","",IF(VLOOKUP(D12,Datos_losas!$A$21:$D$25,4,0)="Voladizo","---",P12))</f>
        <v>---</v>
      </c>
      <c r="R12" s="15" t="s">
        <v>227</v>
      </c>
      <c r="S12" s="13"/>
      <c r="T12" s="35" t="n">
        <f aca="false">IF(S12="",1,S12^4/(C12^4+S12^4))</f>
        <v>1</v>
      </c>
    </row>
    <row r="13" customFormat="false" ht="69.75" hidden="false" customHeight="true" outlineLevel="0" collapsed="false">
      <c r="A13" s="28" t="s">
        <v>237</v>
      </c>
      <c r="B13" s="19" t="s">
        <v>238</v>
      </c>
      <c r="C13" s="7" t="n">
        <v>4.2</v>
      </c>
      <c r="D13" s="8" t="s">
        <v>224</v>
      </c>
      <c r="E13" s="29" t="n">
        <f aca="false">(Datos_losas!$B$9*H13/100+VLOOKUP($A$13,Datos_losas!$A$16:$C$17,2,0)+VLOOKUP($A$13,Datos_losas!$A$16:$C$17,3,0))*T13</f>
        <v>664</v>
      </c>
      <c r="F13" s="8"/>
      <c r="G13" s="32" t="n">
        <f aca="false">H13-Datos_losas!$B$10</f>
        <v>11.5</v>
      </c>
      <c r="H13" s="8" t="n">
        <v>13</v>
      </c>
      <c r="I13" s="29" t="n">
        <f aca="false">IF(C13="","",VLOOKUP(D13,Datos_losas!$A$21:$D$25,2,0)*E13*C13^2)</f>
        <v>1464.12</v>
      </c>
      <c r="J13" s="7" t="n">
        <f aca="false">IF(I13="","",MAX(I13*100/(Datos_losas!$B$7*Datos_losas!$B$8*G13),Datos_losas!$B$13))</f>
        <v>5.89420289855072</v>
      </c>
      <c r="K13" s="8" t="n">
        <v>12</v>
      </c>
      <c r="L13" s="8" t="n">
        <f aca="false">IF(J13="","",MIN(Datos_losas!$B$11,ROUND(100*PI()*(K13/10)^2/4/J13,0)))</f>
        <v>19</v>
      </c>
      <c r="M13" s="7" t="n">
        <f aca="false">IF(J13="","",MAX(Datos_losas!$B$12*J13,Datos_losas!$B$13))</f>
        <v>1.17884057971014</v>
      </c>
      <c r="N13" s="8" t="n">
        <v>6</v>
      </c>
      <c r="O13" s="8" t="n">
        <f aca="false">IF(M13="","",MIN(Datos_losas!$B$11,ROUND(100*PI()*(N13/10)^2/4/M13,0)))</f>
        <v>20</v>
      </c>
      <c r="P13" s="29" t="n">
        <f aca="false">IF(C13="","",VLOOKUP(D13,Datos_losas!$A$21:$D$25,3,0)*E13*C13)</f>
        <v>1394.4</v>
      </c>
      <c r="Q13" s="29" t="n">
        <f aca="false">IF(C13="","",IF(VLOOKUP(D13,Datos_losas!$A$21:$D$25,4,0)="Voladizo","---",P13))</f>
        <v>1394.4</v>
      </c>
      <c r="R13" s="10"/>
      <c r="S13" s="8"/>
      <c r="T13" s="33" t="n">
        <f aca="false">IF(S13="",1,S13^4/(C13^4+S13^4))</f>
        <v>1</v>
      </c>
    </row>
    <row r="14" customFormat="false" ht="69.75" hidden="false" customHeight="true" outlineLevel="0" collapsed="false">
      <c r="A14" s="28"/>
      <c r="B14" s="19" t="s">
        <v>239</v>
      </c>
      <c r="C14" s="7" t="n">
        <v>4.85</v>
      </c>
      <c r="D14" s="8" t="s">
        <v>224</v>
      </c>
      <c r="E14" s="29" t="n">
        <f aca="false">(Datos_losas!$B$9*H14/100+VLOOKUP($A$13,Datos_losas!$A$16:$C$17,2,0)+VLOOKUP($A$13,Datos_losas!$A$16:$C$17,3,0))*T14</f>
        <v>448.51371280327</v>
      </c>
      <c r="F14" s="8"/>
      <c r="G14" s="32" t="n">
        <f aca="false">H14-Datos_losas!$B$10</f>
        <v>10.5</v>
      </c>
      <c r="H14" s="8" t="n">
        <v>12</v>
      </c>
      <c r="I14" s="29" t="n">
        <f aca="false">IF(C14="","",VLOOKUP(D14,Datos_losas!$A$21:$D$25,2,0)*E14*C14^2)</f>
        <v>1318.77047617686</v>
      </c>
      <c r="J14" s="7" t="n">
        <f aca="false">IF(I14="","",MAX(I14*100/(Datos_losas!$B$7*Datos_losas!$B$8*G14),Datos_losas!$B$13))</f>
        <v>5.8146846392278</v>
      </c>
      <c r="K14" s="8" t="n">
        <v>12</v>
      </c>
      <c r="L14" s="8" t="n">
        <f aca="false">IF(J14="","",MIN(Datos_losas!$B$11,ROUND(100*PI()*(K14/10)^2/4/J14,0)))</f>
        <v>19</v>
      </c>
      <c r="M14" s="7" t="n">
        <f aca="false">IF(J14="","",MAX(Datos_losas!$B$12*J14,Datos_losas!$B$13))</f>
        <v>1.16293692784556</v>
      </c>
      <c r="N14" s="8" t="n">
        <v>6</v>
      </c>
      <c r="O14" s="8" t="n">
        <f aca="false">IF(M14="","",MIN(Datos_losas!$B$11,ROUND(100*PI()*(N14/10)^2/4/M14,0)))</f>
        <v>20</v>
      </c>
      <c r="P14" s="29" t="n">
        <f aca="false">IF(C14="","",VLOOKUP(D14,Datos_losas!$A$21:$D$25,3,0)*E14*C14)</f>
        <v>1087.64575354793</v>
      </c>
      <c r="Q14" s="29" t="n">
        <f aca="false">IF(C14="","",IF(VLOOKUP(D14,Datos_losas!$A$21:$D$25,4,0)="Voladizo","---",P14))</f>
        <v>1087.64575354793</v>
      </c>
      <c r="R14" s="10" t="s">
        <v>240</v>
      </c>
      <c r="S14" s="8" t="n">
        <v>6</v>
      </c>
      <c r="T14" s="33" t="n">
        <f aca="false">IF(S14="",1,S14^4/(C14^4+S14^4))</f>
        <v>0.700802676255109</v>
      </c>
    </row>
    <row r="15" customFormat="false" ht="69.75" hidden="false" customHeight="true" outlineLevel="0" collapsed="false">
      <c r="A15" s="28"/>
      <c r="B15" s="30" t="s">
        <v>241</v>
      </c>
      <c r="C15" s="12" t="n">
        <v>6</v>
      </c>
      <c r="D15" s="13" t="s">
        <v>224</v>
      </c>
      <c r="E15" s="31" t="n">
        <f aca="false">(Datos_losas!$B$9*H15/100+VLOOKUP($A$13,Datos_losas!$A$16:$C$17,2,0)+VLOOKUP($A$13,Datos_losas!$A$16:$C$17,3,0))*T15</f>
        <v>191.48628719673</v>
      </c>
      <c r="F15" s="13"/>
      <c r="G15" s="34" t="n">
        <f aca="false">H15-Datos_losas!$B$10</f>
        <v>10.5</v>
      </c>
      <c r="H15" s="13" t="n">
        <v>12</v>
      </c>
      <c r="I15" s="31" t="n">
        <f aca="false">IF(C15="","",VLOOKUP(D15,Datos_losas!$A$21:$D$25,2,0)*E15*C15^2)</f>
        <v>861.688292385286</v>
      </c>
      <c r="J15" s="12" t="n">
        <f aca="false">IF(I15="","",MAX(I15*100/(Datos_losas!$B$7*Datos_losas!$B$8*G15),Datos_losas!$B$13))</f>
        <v>3.79933109517322</v>
      </c>
      <c r="K15" s="13" t="n">
        <v>12</v>
      </c>
      <c r="L15" s="13" t="n">
        <f aca="false">IF(J15="","",MIN(Datos_losas!$B$11,ROUND(100*PI()*(K15/10)^2/4/J15,0)))</f>
        <v>20</v>
      </c>
      <c r="M15" s="12" t="n">
        <f aca="false">IF(J15="","",MAX(Datos_losas!$B$12*J15,Datos_losas!$B$13))</f>
        <v>0.759866219034644</v>
      </c>
      <c r="N15" s="13" t="n">
        <v>6</v>
      </c>
      <c r="O15" s="13" t="n">
        <f aca="false">IF(M15="","",MIN(Datos_losas!$B$11,ROUND(100*PI()*(N15/10)^2/4/M15,0)))</f>
        <v>20</v>
      </c>
      <c r="P15" s="31" t="n">
        <f aca="false">IF(C15="","",VLOOKUP(D15,Datos_losas!$A$21:$D$25,3,0)*E15*C15)</f>
        <v>574.45886159019</v>
      </c>
      <c r="Q15" s="31" t="n">
        <f aca="false">IF(C15="","",IF(VLOOKUP(D15,Datos_losas!$A$21:$D$25,4,0)="Voladizo","---",P15))</f>
        <v>574.45886159019</v>
      </c>
      <c r="R15" s="15" t="s">
        <v>242</v>
      </c>
      <c r="S15" s="13" t="n">
        <v>4.85</v>
      </c>
      <c r="T15" s="35" t="n">
        <f aca="false">IF(S15="",1,S15^4/(C15^4+S15^4))</f>
        <v>0.299197323744891</v>
      </c>
    </row>
  </sheetData>
  <mergeCells count="15">
    <mergeCell ref="A1:T1"/>
    <mergeCell ref="A2:A3"/>
    <mergeCell ref="B2:B3"/>
    <mergeCell ref="C2:C3"/>
    <mergeCell ref="D2:D3"/>
    <mergeCell ref="E2:F2"/>
    <mergeCell ref="G2:H2"/>
    <mergeCell ref="I2:I3"/>
    <mergeCell ref="J2:L2"/>
    <mergeCell ref="M2:O2"/>
    <mergeCell ref="P2:Q2"/>
    <mergeCell ref="R2:R3"/>
    <mergeCell ref="S2:T2"/>
    <mergeCell ref="A4:A12"/>
    <mergeCell ref="A13:A15"/>
  </mergeCells>
  <dataValidations count="2">
    <dataValidation allowBlank="true" errorStyle="stop" operator="between" showDropDown="false" showErrorMessage="false" showInputMessage="false" sqref="D4:D15" type="list">
      <formula1>Datos_losas!$A$21:$A$25</formula1>
      <formula2>0</formula2>
    </dataValidation>
    <dataValidation allowBlank="true" errorStyle="stop" operator="between" showDropDown="false" showErrorMessage="false" showInputMessage="false" sqref="K4:K15 N4:N15" type="list">
      <formula1>"6,8,10,12,16"</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R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2"/>
    <col collapsed="false" customWidth="true" hidden="false" outlineLevel="0" max="4" min="2" style="0" width="13.5"/>
    <col collapsed="false" customWidth="true" hidden="false" outlineLevel="0" max="6" min="5" style="0" width="9.51"/>
    <col collapsed="false" customWidth="true" hidden="false" outlineLevel="0" max="8" min="7" style="0" width="10.8"/>
    <col collapsed="false" customWidth="true" hidden="false" outlineLevel="0" max="11" min="9" style="0" width="8.1"/>
    <col collapsed="false" customWidth="true" hidden="false" outlineLevel="0" max="12" min="12" style="0" width="10.8"/>
    <col collapsed="false" customWidth="true" hidden="false" outlineLevel="0" max="13" min="13" style="0" width="18.9"/>
    <col collapsed="false" customWidth="true" hidden="false" outlineLevel="0" max="14" min="14" style="0" width="56.7"/>
    <col collapsed="false" customWidth="true" hidden="false" outlineLevel="0" max="15" min="15" style="0" width="12.2"/>
    <col collapsed="false" customWidth="true" hidden="false" outlineLevel="0" max="16" min="16" style="0" width="13.5"/>
    <col collapsed="false" customWidth="true" hidden="false" outlineLevel="0" max="17" min="17" style="0" width="12.2"/>
    <col collapsed="false" customWidth="true" hidden="false" outlineLevel="0" max="18" min="18" style="0" width="16.2"/>
  </cols>
  <sheetData>
    <row r="1" customFormat="false" ht="39" hidden="false" customHeight="true" outlineLevel="0" collapsed="false">
      <c r="A1" s="36" t="s">
        <v>243</v>
      </c>
      <c r="B1" s="36"/>
      <c r="C1" s="36"/>
      <c r="D1" s="36"/>
      <c r="E1" s="36"/>
      <c r="F1" s="36"/>
      <c r="G1" s="36"/>
      <c r="H1" s="36"/>
      <c r="I1" s="36"/>
      <c r="J1" s="36"/>
      <c r="K1" s="36"/>
      <c r="L1" s="36"/>
      <c r="M1" s="36"/>
      <c r="N1" s="36"/>
      <c r="O1" s="36"/>
      <c r="P1" s="36"/>
      <c r="Q1" s="36"/>
      <c r="R1" s="36"/>
    </row>
    <row r="2" customFormat="false" ht="39" hidden="false" customHeight="true" outlineLevel="0" collapsed="false">
      <c r="A2" s="2" t="s">
        <v>127</v>
      </c>
      <c r="B2" s="2" t="s">
        <v>128</v>
      </c>
      <c r="C2" s="2" t="s">
        <v>244</v>
      </c>
      <c r="D2" s="2" t="s">
        <v>245</v>
      </c>
      <c r="E2" s="2" t="s">
        <v>246</v>
      </c>
      <c r="F2" s="2"/>
      <c r="G2" s="2"/>
      <c r="H2" s="2" t="s">
        <v>247</v>
      </c>
      <c r="I2" s="2"/>
      <c r="J2" s="2"/>
      <c r="K2" s="2" t="s">
        <v>138</v>
      </c>
      <c r="L2" s="2"/>
      <c r="M2" s="2" t="s">
        <v>7</v>
      </c>
      <c r="N2" s="2" t="s">
        <v>8</v>
      </c>
      <c r="O2" s="2" t="s">
        <v>139</v>
      </c>
      <c r="P2" s="2"/>
      <c r="Q2" s="2"/>
      <c r="R2" s="2"/>
    </row>
    <row r="3" customFormat="false" ht="39" hidden="false" customHeight="true" outlineLevel="0" collapsed="false">
      <c r="A3" s="2"/>
      <c r="B3" s="2"/>
      <c r="C3" s="2"/>
      <c r="D3" s="2"/>
      <c r="E3" s="3" t="s">
        <v>150</v>
      </c>
      <c r="F3" s="3" t="s">
        <v>151</v>
      </c>
      <c r="G3" s="3" t="s">
        <v>248</v>
      </c>
      <c r="H3" s="3" t="s">
        <v>147</v>
      </c>
      <c r="I3" s="3" t="s">
        <v>148</v>
      </c>
      <c r="J3" s="3" t="s">
        <v>149</v>
      </c>
      <c r="K3" s="3" t="s">
        <v>149</v>
      </c>
      <c r="L3" s="3" t="s">
        <v>152</v>
      </c>
      <c r="M3" s="2"/>
      <c r="N3" s="2"/>
      <c r="O3" s="3" t="s">
        <v>249</v>
      </c>
      <c r="P3" s="3" t="s">
        <v>250</v>
      </c>
      <c r="Q3" s="3" t="s">
        <v>251</v>
      </c>
      <c r="R3" s="3" t="s">
        <v>252</v>
      </c>
    </row>
    <row r="4" customFormat="false" ht="69.75" hidden="false" customHeight="true" outlineLevel="0" collapsed="false">
      <c r="A4" s="28" t="s">
        <v>29</v>
      </c>
      <c r="B4" s="19" t="s">
        <v>253</v>
      </c>
      <c r="C4" s="7" t="n">
        <v>3.22</v>
      </c>
      <c r="D4" s="8" t="n">
        <v>12.71</v>
      </c>
      <c r="E4" s="8" t="n">
        <v>20</v>
      </c>
      <c r="F4" s="8" t="n">
        <v>20</v>
      </c>
      <c r="G4" s="8" t="n">
        <f aca="false">E4*F4</f>
        <v>400</v>
      </c>
      <c r="H4" s="7" t="n">
        <f aca="false">Datos_columnas!$B$8*G4</f>
        <v>3.2</v>
      </c>
      <c r="I4" s="8" t="n">
        <v>4</v>
      </c>
      <c r="J4" s="8" t="n">
        <v>12</v>
      </c>
      <c r="K4" s="8" t="n">
        <v>6</v>
      </c>
      <c r="L4" s="8" t="n">
        <f aca="false">FLOOR(MIN(12*J4/10,48*K4/10,MIN(E4,F4)),5)</f>
        <v>10</v>
      </c>
      <c r="M4" s="9" t="str">
        <f aca="false">IF(D4="","FALTA CARGA",IF(O4&lt;H4,"ARM. INSUFIC.",IF(D4&gt;P4,"NO VERIFICA",IF(D4&gt;0.85*P4,"AL LIMITE",IF(Q4&gt;34,"VERIF. ESBELTEZ","VERIFICA")))))</f>
        <v>VERIF. ESBELTEZ</v>
      </c>
      <c r="N4" s="10" t="s">
        <v>254</v>
      </c>
      <c r="O4" s="7" t="n">
        <f aca="false">I4*PI()*(J4/10)^2/4</f>
        <v>4.5238934211693</v>
      </c>
      <c r="P4" s="7" t="n">
        <f aca="false">Datos_columnas!$B$7*0.8*(0.85*Datos_columnas!$B$4*(G4-O4)+Datos_columnas!$B$5*O4)/1000</f>
        <v>46.5882754444808</v>
      </c>
      <c r="Q4" s="29" t="n">
        <f aca="false">100*C4/(0.3*MIN(E4,F4))</f>
        <v>53.6666666666667</v>
      </c>
      <c r="R4" s="7" t="n">
        <v>12.71</v>
      </c>
    </row>
    <row r="5" customFormat="false" ht="69.75" hidden="false" customHeight="true" outlineLevel="0" collapsed="false">
      <c r="A5" s="28"/>
      <c r="B5" s="19" t="s">
        <v>255</v>
      </c>
      <c r="C5" s="7" t="n">
        <v>3.22</v>
      </c>
      <c r="D5" s="8" t="n">
        <v>22.55</v>
      </c>
      <c r="E5" s="8" t="n">
        <v>30</v>
      </c>
      <c r="F5" s="8" t="n">
        <v>15</v>
      </c>
      <c r="G5" s="8" t="n">
        <f aca="false">E5*F5</f>
        <v>450</v>
      </c>
      <c r="H5" s="7" t="n">
        <f aca="false">Datos_columnas!$B$8*G5</f>
        <v>3.6</v>
      </c>
      <c r="I5" s="8" t="n">
        <v>4</v>
      </c>
      <c r="J5" s="8" t="n">
        <v>12</v>
      </c>
      <c r="K5" s="8" t="n">
        <v>6</v>
      </c>
      <c r="L5" s="8" t="n">
        <f aca="false">FLOOR(MIN(12*J5/10,48*K5/10,MIN(E5,F5)),5)</f>
        <v>10</v>
      </c>
      <c r="M5" s="9" t="str">
        <f aca="false">IF(D5="","FALTA CARGA",IF(O5&lt;H5,"ARM. INSUFIC.",IF(D5&gt;P5,"NO VERIFICA",IF(D5&gt;0.85*P5,"AL LIMITE",IF(Q5&gt;34,"VERIF. ESBELTEZ","VERIFICA")))))</f>
        <v>VERIF. ESBELTEZ</v>
      </c>
      <c r="N5" s="10" t="s">
        <v>256</v>
      </c>
      <c r="O5" s="7" t="n">
        <f aca="false">I5*PI()*(J5/10)^2/4</f>
        <v>4.5238934211693</v>
      </c>
      <c r="P5" s="7" t="n">
        <f aca="false">Datos_columnas!$B$7*0.8*(0.85*Datos_columnas!$B$4*(G5-O5)+Datos_columnas!$B$5*O5)/1000</f>
        <v>51.2292754444808</v>
      </c>
      <c r="Q5" s="29" t="n">
        <f aca="false">100*C5/(0.3*MIN(E5,F5))</f>
        <v>71.5555555555556</v>
      </c>
      <c r="R5" s="7" t="n">
        <v>22.55</v>
      </c>
    </row>
    <row r="6" customFormat="false" ht="69.75" hidden="false" customHeight="true" outlineLevel="0" collapsed="false">
      <c r="A6" s="28"/>
      <c r="B6" s="19" t="s">
        <v>257</v>
      </c>
      <c r="C6" s="7" t="n">
        <v>3.22</v>
      </c>
      <c r="D6" s="8" t="n">
        <v>15.12</v>
      </c>
      <c r="E6" s="8" t="n">
        <v>15</v>
      </c>
      <c r="F6" s="8" t="n">
        <v>30</v>
      </c>
      <c r="G6" s="8" t="n">
        <f aca="false">E6*F6</f>
        <v>450</v>
      </c>
      <c r="H6" s="7" t="n">
        <f aca="false">Datos_columnas!$B$8*G6</f>
        <v>3.6</v>
      </c>
      <c r="I6" s="8" t="n">
        <v>4</v>
      </c>
      <c r="J6" s="8" t="n">
        <v>12</v>
      </c>
      <c r="K6" s="8" t="n">
        <v>6</v>
      </c>
      <c r="L6" s="8" t="n">
        <f aca="false">FLOOR(MIN(12*J6/10,48*K6/10,MIN(E6,F6)),5)</f>
        <v>10</v>
      </c>
      <c r="M6" s="9" t="str">
        <f aca="false">IF(D6="","FALTA CARGA",IF(O6&lt;H6,"ARM. INSUFIC.",IF(D6&gt;P6,"NO VERIFICA",IF(D6&gt;0.85*P6,"AL LIMITE",IF(Q6&gt;34,"VERIF. ESBELTEZ","VERIFICA")))))</f>
        <v>VERIF. ESBELTEZ</v>
      </c>
      <c r="N6" s="10" t="s">
        <v>258</v>
      </c>
      <c r="O6" s="7" t="n">
        <f aca="false">I6*PI()*(J6/10)^2/4</f>
        <v>4.5238934211693</v>
      </c>
      <c r="P6" s="7" t="n">
        <f aca="false">Datos_columnas!$B$7*0.8*(0.85*Datos_columnas!$B$4*(G6-O6)+Datos_columnas!$B$5*O6)/1000</f>
        <v>51.2292754444808</v>
      </c>
      <c r="Q6" s="29" t="n">
        <f aca="false">100*C6/(0.3*MIN(E6,F6))</f>
        <v>71.5555555555556</v>
      </c>
      <c r="R6" s="7" t="n">
        <v>15.12</v>
      </c>
    </row>
    <row r="7" customFormat="false" ht="69.75" hidden="false" customHeight="true" outlineLevel="0" collapsed="false">
      <c r="A7" s="28"/>
      <c r="B7" s="30" t="s">
        <v>259</v>
      </c>
      <c r="C7" s="12" t="n">
        <v>3.22</v>
      </c>
      <c r="D7" s="13" t="n">
        <v>20.35</v>
      </c>
      <c r="E7" s="13" t="n">
        <v>15</v>
      </c>
      <c r="F7" s="13" t="n">
        <v>30</v>
      </c>
      <c r="G7" s="13" t="n">
        <f aca="false">E7*F7</f>
        <v>450</v>
      </c>
      <c r="H7" s="12" t="n">
        <f aca="false">Datos_columnas!$B$8*G7</f>
        <v>3.6</v>
      </c>
      <c r="I7" s="13" t="n">
        <v>4</v>
      </c>
      <c r="J7" s="13" t="n">
        <v>12</v>
      </c>
      <c r="K7" s="13" t="n">
        <v>6</v>
      </c>
      <c r="L7" s="13" t="n">
        <f aca="false">FLOOR(MIN(12*J7/10,48*K7/10,MIN(E7,F7)),5)</f>
        <v>10</v>
      </c>
      <c r="M7" s="14" t="str">
        <f aca="false">IF(D7="","FALTA CARGA",IF(O7&lt;H7,"ARM. INSUFIC.",IF(D7&gt;P7,"NO VERIFICA",IF(D7&gt;0.85*P7,"AL LIMITE",IF(Q7&gt;34,"VERIF. ESBELTEZ","VERIFICA")))))</f>
        <v>VERIF. ESBELTEZ</v>
      </c>
      <c r="N7" s="15" t="s">
        <v>258</v>
      </c>
      <c r="O7" s="12" t="n">
        <f aca="false">I7*PI()*(J7/10)^2/4</f>
        <v>4.5238934211693</v>
      </c>
      <c r="P7" s="12" t="n">
        <f aca="false">Datos_columnas!$B$7*0.8*(0.85*Datos_columnas!$B$4*(G7-O7)+Datos_columnas!$B$5*O7)/1000</f>
        <v>51.2292754444808</v>
      </c>
      <c r="Q7" s="31" t="n">
        <f aca="false">100*C7/(0.3*MIN(E7,F7))</f>
        <v>71.5555555555556</v>
      </c>
      <c r="R7" s="12" t="n">
        <v>20.35</v>
      </c>
    </row>
    <row r="8" customFormat="false" ht="69.75" hidden="false" customHeight="true" outlineLevel="0" collapsed="false">
      <c r="A8" s="28" t="s">
        <v>12</v>
      </c>
      <c r="B8" s="19" t="s">
        <v>260</v>
      </c>
      <c r="C8" s="7" t="n">
        <v>3.15</v>
      </c>
      <c r="D8" s="8" t="n">
        <v>2.49</v>
      </c>
      <c r="E8" s="8" t="n">
        <v>15</v>
      </c>
      <c r="F8" s="8" t="n">
        <v>30</v>
      </c>
      <c r="G8" s="8" t="n">
        <f aca="false">E8*F8</f>
        <v>450</v>
      </c>
      <c r="H8" s="7" t="n">
        <f aca="false">Datos_columnas!$B$8*G8</f>
        <v>3.6</v>
      </c>
      <c r="I8" s="8" t="n">
        <v>4</v>
      </c>
      <c r="J8" s="8" t="n">
        <v>12</v>
      </c>
      <c r="K8" s="8" t="n">
        <v>6</v>
      </c>
      <c r="L8" s="8" t="n">
        <f aca="false">FLOOR(MIN(12*J8/10,48*K8/10,MIN(E8,F8)),5)</f>
        <v>10</v>
      </c>
      <c r="M8" s="9" t="str">
        <f aca="false">IF(D8="","FALTA CARGA",IF(O8&lt;H8,"ARM. INSUFIC.",IF(D8&gt;P8,"NO VERIFICA",IF(D8&gt;0.85*P8,"AL LIMITE",IF(Q8&gt;34,"VERIF. ESBELTEZ","VERIFICA")))))</f>
        <v>VERIF. ESBELTEZ</v>
      </c>
      <c r="N8" s="10" t="s">
        <v>261</v>
      </c>
      <c r="O8" s="7" t="n">
        <f aca="false">I8*PI()*(J8/10)^2/4</f>
        <v>4.5238934211693</v>
      </c>
      <c r="P8" s="7" t="n">
        <f aca="false">Datos_columnas!$B$7*0.8*(0.85*Datos_columnas!$B$4*(G8-O8)+Datos_columnas!$B$5*O8)/1000</f>
        <v>51.2292754444808</v>
      </c>
      <c r="Q8" s="29" t="n">
        <f aca="false">100*C8/(0.3*MIN(E8,F8))</f>
        <v>70</v>
      </c>
      <c r="R8" s="7" t="n">
        <v>2.49</v>
      </c>
    </row>
    <row r="9" customFormat="false" ht="69.75" hidden="false" customHeight="true" outlineLevel="0" collapsed="false">
      <c r="A9" s="28"/>
      <c r="B9" s="19" t="s">
        <v>262</v>
      </c>
      <c r="C9" s="7" t="n">
        <v>3.15</v>
      </c>
      <c r="D9" s="8" t="n">
        <v>29.46</v>
      </c>
      <c r="E9" s="8" t="n">
        <v>15</v>
      </c>
      <c r="F9" s="8" t="n">
        <v>30</v>
      </c>
      <c r="G9" s="8" t="n">
        <f aca="false">E9*F9</f>
        <v>450</v>
      </c>
      <c r="H9" s="7" t="n">
        <f aca="false">Datos_columnas!$B$8*G9</f>
        <v>3.6</v>
      </c>
      <c r="I9" s="8" t="n">
        <v>4</v>
      </c>
      <c r="J9" s="8" t="n">
        <v>12</v>
      </c>
      <c r="K9" s="8" t="n">
        <v>6</v>
      </c>
      <c r="L9" s="8" t="n">
        <f aca="false">FLOOR(MIN(12*J9/10,48*K9/10,MIN(E9,F9)),5)</f>
        <v>10</v>
      </c>
      <c r="M9" s="9" t="str">
        <f aca="false">IF(D9="","FALTA CARGA",IF(O9&lt;H9,"ARM. INSUFIC.",IF(D9&gt;P9,"NO VERIFICA",IF(D9&gt;0.85*P9,"AL LIMITE",IF(Q9&gt;34,"VERIF. ESBELTEZ","VERIFICA")))))</f>
        <v>VERIF. ESBELTEZ</v>
      </c>
      <c r="N9" s="10" t="s">
        <v>261</v>
      </c>
      <c r="O9" s="7" t="n">
        <f aca="false">I9*PI()*(J9/10)^2/4</f>
        <v>4.5238934211693</v>
      </c>
      <c r="P9" s="7" t="n">
        <f aca="false">Datos_columnas!$B$7*0.8*(0.85*Datos_columnas!$B$4*(G9-O9)+Datos_columnas!$B$5*O9)/1000</f>
        <v>51.2292754444808</v>
      </c>
      <c r="Q9" s="29" t="n">
        <f aca="false">100*C9/(0.3*MIN(E9,F9))</f>
        <v>70</v>
      </c>
      <c r="R9" s="7" t="n">
        <v>29.46</v>
      </c>
    </row>
    <row r="10" customFormat="false" ht="69.75" hidden="false" customHeight="true" outlineLevel="0" collapsed="false">
      <c r="A10" s="28"/>
      <c r="B10" s="19" t="s">
        <v>263</v>
      </c>
      <c r="C10" s="7" t="n">
        <v>3.15</v>
      </c>
      <c r="D10" s="8" t="n">
        <v>13.89</v>
      </c>
      <c r="E10" s="8" t="n">
        <v>30</v>
      </c>
      <c r="F10" s="8" t="n">
        <v>15</v>
      </c>
      <c r="G10" s="8" t="n">
        <f aca="false">E10*F10</f>
        <v>450</v>
      </c>
      <c r="H10" s="7" t="n">
        <f aca="false">Datos_columnas!$B$8*G10</f>
        <v>3.6</v>
      </c>
      <c r="I10" s="8" t="n">
        <v>4</v>
      </c>
      <c r="J10" s="8" t="n">
        <v>12</v>
      </c>
      <c r="K10" s="8" t="n">
        <v>6</v>
      </c>
      <c r="L10" s="8" t="n">
        <f aca="false">FLOOR(MIN(12*J10/10,48*K10/10,MIN(E10,F10)),5)</f>
        <v>10</v>
      </c>
      <c r="M10" s="9" t="str">
        <f aca="false">IF(D10="","FALTA CARGA",IF(O10&lt;H10,"ARM. INSUFIC.",IF(D10&gt;P10,"NO VERIFICA",IF(D10&gt;0.85*P10,"AL LIMITE",IF(Q10&gt;34,"VERIF. ESBELTEZ","VERIFICA")))))</f>
        <v>VERIF. ESBELTEZ</v>
      </c>
      <c r="N10" s="10" t="s">
        <v>264</v>
      </c>
      <c r="O10" s="7" t="n">
        <f aca="false">I10*PI()*(J10/10)^2/4</f>
        <v>4.5238934211693</v>
      </c>
      <c r="P10" s="7" t="n">
        <f aca="false">Datos_columnas!$B$7*0.8*(0.85*Datos_columnas!$B$4*(G10-O10)+Datos_columnas!$B$5*O10)/1000</f>
        <v>51.2292754444808</v>
      </c>
      <c r="Q10" s="29" t="n">
        <f aca="false">100*C10/(0.3*MIN(E10,F10))</f>
        <v>70</v>
      </c>
      <c r="R10" s="7" t="n">
        <v>13.89</v>
      </c>
    </row>
    <row r="11" customFormat="false" ht="69.75" hidden="false" customHeight="true" outlineLevel="0" collapsed="false">
      <c r="A11" s="28"/>
      <c r="B11" s="19" t="s">
        <v>265</v>
      </c>
      <c r="C11" s="7" t="n">
        <v>3.15</v>
      </c>
      <c r="D11" s="8" t="n">
        <v>10.28</v>
      </c>
      <c r="E11" s="8" t="n">
        <v>10</v>
      </c>
      <c r="F11" s="8" t="n">
        <v>10</v>
      </c>
      <c r="G11" s="8" t="n">
        <f aca="false">E11*F11</f>
        <v>100</v>
      </c>
      <c r="H11" s="7" t="n">
        <f aca="false">Datos_columnas!$B$8*G11</f>
        <v>0.8</v>
      </c>
      <c r="I11" s="8" t="n">
        <v>4</v>
      </c>
      <c r="J11" s="8" t="n">
        <v>12</v>
      </c>
      <c r="K11" s="8" t="n">
        <v>6</v>
      </c>
      <c r="L11" s="8" t="n">
        <f aca="false">FLOOR(MIN(12*J11/10,48*K11/10,MIN(E11,F11)),5)</f>
        <v>10</v>
      </c>
      <c r="M11" s="9" t="str">
        <f aca="false">IF(D11="","FALTA CARGA",IF(O11&lt;H11,"ARM. INSUFIC.",IF(D11&gt;P11,"NO VERIFICA",IF(D11&gt;0.85*P11,"AL LIMITE",IF(Q11&gt;34,"VERIF. ESBELTEZ","VERIFICA")))))</f>
        <v>VERIF. ESBELTEZ</v>
      </c>
      <c r="N11" s="10" t="s">
        <v>266</v>
      </c>
      <c r="O11" s="7" t="n">
        <f aca="false">I11*PI()*(J11/10)^2/4</f>
        <v>4.5238934211693</v>
      </c>
      <c r="P11" s="7" t="n">
        <f aca="false">Datos_columnas!$B$7*0.8*(0.85*Datos_columnas!$B$4*(G11-O11)+Datos_columnas!$B$5*O11)/1000</f>
        <v>18.7422754444808</v>
      </c>
      <c r="Q11" s="29" t="n">
        <f aca="false">100*C11/(0.3*MIN(E11,F11))</f>
        <v>105</v>
      </c>
      <c r="R11" s="7" t="n">
        <v>10.28</v>
      </c>
    </row>
    <row r="12" customFormat="false" ht="69.75" hidden="false" customHeight="true" outlineLevel="0" collapsed="false">
      <c r="A12" s="28"/>
      <c r="B12" s="19" t="s">
        <v>267</v>
      </c>
      <c r="C12" s="7" t="n">
        <v>3.15</v>
      </c>
      <c r="D12" s="8" t="n">
        <v>15.96</v>
      </c>
      <c r="E12" s="8" t="n">
        <v>15</v>
      </c>
      <c r="F12" s="8" t="n">
        <v>30</v>
      </c>
      <c r="G12" s="8" t="n">
        <f aca="false">E12*F12</f>
        <v>450</v>
      </c>
      <c r="H12" s="7" t="n">
        <f aca="false">Datos_columnas!$B$8*G12</f>
        <v>3.6</v>
      </c>
      <c r="I12" s="8" t="n">
        <v>4</v>
      </c>
      <c r="J12" s="8" t="n">
        <v>12</v>
      </c>
      <c r="K12" s="8" t="n">
        <v>6</v>
      </c>
      <c r="L12" s="8" t="n">
        <f aca="false">FLOOR(MIN(12*J12/10,48*K12/10,MIN(E12,F12)),5)</f>
        <v>10</v>
      </c>
      <c r="M12" s="9" t="str">
        <f aca="false">IF(D12="","FALTA CARGA",IF(O12&lt;H12,"ARM. INSUFIC.",IF(D12&gt;P12,"NO VERIFICA",IF(D12&gt;0.85*P12,"AL LIMITE",IF(Q12&gt;34,"VERIF. ESBELTEZ","VERIFICA")))))</f>
        <v>VERIF. ESBELTEZ</v>
      </c>
      <c r="N12" s="10" t="s">
        <v>261</v>
      </c>
      <c r="O12" s="7" t="n">
        <f aca="false">I12*PI()*(J12/10)^2/4</f>
        <v>4.5238934211693</v>
      </c>
      <c r="P12" s="7" t="n">
        <f aca="false">Datos_columnas!$B$7*0.8*(0.85*Datos_columnas!$B$4*(G12-O12)+Datos_columnas!$B$5*O12)/1000</f>
        <v>51.2292754444808</v>
      </c>
      <c r="Q12" s="29" t="n">
        <f aca="false">100*C12/(0.3*MIN(E12,F12))</f>
        <v>70</v>
      </c>
      <c r="R12" s="7" t="n">
        <v>15.96</v>
      </c>
    </row>
    <row r="13" customFormat="false" ht="69.75" hidden="false" customHeight="true" outlineLevel="0" collapsed="false">
      <c r="A13" s="28"/>
      <c r="B13" s="19" t="s">
        <v>253</v>
      </c>
      <c r="C13" s="7" t="n">
        <v>3.15</v>
      </c>
      <c r="D13" s="8" t="n">
        <v>35.39</v>
      </c>
      <c r="E13" s="8" t="n">
        <v>20</v>
      </c>
      <c r="F13" s="8" t="n">
        <v>20</v>
      </c>
      <c r="G13" s="8" t="n">
        <f aca="false">E13*F13</f>
        <v>400</v>
      </c>
      <c r="H13" s="7" t="n">
        <f aca="false">Datos_columnas!$B$8*G13</f>
        <v>3.2</v>
      </c>
      <c r="I13" s="8" t="n">
        <v>4</v>
      </c>
      <c r="J13" s="8" t="n">
        <v>12</v>
      </c>
      <c r="K13" s="8" t="n">
        <v>6</v>
      </c>
      <c r="L13" s="8" t="n">
        <f aca="false">FLOOR(MIN(12*J13/10,48*K13/10,MIN(E13,F13)),5)</f>
        <v>10</v>
      </c>
      <c r="M13" s="9" t="str">
        <f aca="false">IF(D13="","FALTA CARGA",IF(O13&lt;H13,"ARM. INSUFIC.",IF(D13&gt;P13,"NO VERIFICA",IF(D13&gt;0.85*P13,"AL LIMITE",IF(Q13&gt;34,"VERIF. ESBELTEZ","VERIFICA")))))</f>
        <v>VERIF. ESBELTEZ</v>
      </c>
      <c r="N13" s="10" t="s">
        <v>268</v>
      </c>
      <c r="O13" s="7" t="n">
        <f aca="false">I13*PI()*(J13/10)^2/4</f>
        <v>4.5238934211693</v>
      </c>
      <c r="P13" s="7" t="n">
        <f aca="false">Datos_columnas!$B$7*0.8*(0.85*Datos_columnas!$B$4*(G13-O13)+Datos_columnas!$B$5*O13)/1000</f>
        <v>46.5882754444808</v>
      </c>
      <c r="Q13" s="29" t="n">
        <f aca="false">100*C13/(0.3*MIN(E13,F13))</f>
        <v>52.5</v>
      </c>
      <c r="R13" s="7" t="n">
        <v>35.39</v>
      </c>
    </row>
    <row r="14" customFormat="false" ht="69.75" hidden="false" customHeight="true" outlineLevel="0" collapsed="false">
      <c r="A14" s="28"/>
      <c r="B14" s="19" t="s">
        <v>255</v>
      </c>
      <c r="C14" s="7" t="n">
        <v>3.15</v>
      </c>
      <c r="D14" s="8" t="n">
        <v>37.78</v>
      </c>
      <c r="E14" s="8" t="n">
        <v>30</v>
      </c>
      <c r="F14" s="8" t="n">
        <v>15</v>
      </c>
      <c r="G14" s="8" t="n">
        <f aca="false">E14*F14</f>
        <v>450</v>
      </c>
      <c r="H14" s="7" t="n">
        <f aca="false">Datos_columnas!$B$8*G14</f>
        <v>3.6</v>
      </c>
      <c r="I14" s="8" t="n">
        <v>4</v>
      </c>
      <c r="J14" s="8" t="n">
        <v>12</v>
      </c>
      <c r="K14" s="8" t="n">
        <v>6</v>
      </c>
      <c r="L14" s="8" t="n">
        <f aca="false">FLOOR(MIN(12*J14/10,48*K14/10,MIN(E14,F14)),5)</f>
        <v>10</v>
      </c>
      <c r="M14" s="9" t="str">
        <f aca="false">IF(D14="","FALTA CARGA",IF(O14&lt;H14,"ARM. INSUFIC.",IF(D14&gt;P14,"NO VERIFICA",IF(D14&gt;0.85*P14,"AL LIMITE",IF(Q14&gt;34,"VERIF. ESBELTEZ","VERIFICA")))))</f>
        <v>VERIF. ESBELTEZ</v>
      </c>
      <c r="N14" s="10" t="s">
        <v>264</v>
      </c>
      <c r="O14" s="7" t="n">
        <f aca="false">I14*PI()*(J14/10)^2/4</f>
        <v>4.5238934211693</v>
      </c>
      <c r="P14" s="7" t="n">
        <f aca="false">Datos_columnas!$B$7*0.8*(0.85*Datos_columnas!$B$4*(G14-O14)+Datos_columnas!$B$5*O14)/1000</f>
        <v>51.2292754444808</v>
      </c>
      <c r="Q14" s="29" t="n">
        <f aca="false">100*C14/(0.3*MIN(E14,F14))</f>
        <v>70</v>
      </c>
      <c r="R14" s="7" t="n">
        <v>37.78</v>
      </c>
    </row>
    <row r="15" customFormat="false" ht="69.75" hidden="false" customHeight="true" outlineLevel="0" collapsed="false">
      <c r="A15" s="28"/>
      <c r="B15" s="19" t="s">
        <v>257</v>
      </c>
      <c r="C15" s="7" t="n">
        <v>3.15</v>
      </c>
      <c r="D15" s="8" t="n">
        <v>42.67</v>
      </c>
      <c r="E15" s="8" t="n">
        <v>15</v>
      </c>
      <c r="F15" s="8" t="n">
        <v>30</v>
      </c>
      <c r="G15" s="8" t="n">
        <f aca="false">E15*F15</f>
        <v>450</v>
      </c>
      <c r="H15" s="7" t="n">
        <f aca="false">Datos_columnas!$B$8*G15</f>
        <v>3.6</v>
      </c>
      <c r="I15" s="8" t="n">
        <v>4</v>
      </c>
      <c r="J15" s="8" t="n">
        <v>12</v>
      </c>
      <c r="K15" s="8" t="n">
        <v>6</v>
      </c>
      <c r="L15" s="8" t="n">
        <f aca="false">FLOOR(MIN(12*J15/10,48*K15/10,MIN(E15,F15)),5)</f>
        <v>10</v>
      </c>
      <c r="M15" s="9" t="str">
        <f aca="false">IF(D15="","FALTA CARGA",IF(O15&lt;H15,"ARM. INSUFIC.",IF(D15&gt;P15,"NO VERIFICA",IF(D15&gt;0.85*P15,"AL LIMITE",IF(Q15&gt;34,"VERIF. ESBELTEZ","VERIFICA")))))</f>
        <v>VERIF. ESBELTEZ</v>
      </c>
      <c r="N15" s="10" t="s">
        <v>261</v>
      </c>
      <c r="O15" s="7" t="n">
        <f aca="false">I15*PI()*(J15/10)^2/4</f>
        <v>4.5238934211693</v>
      </c>
      <c r="P15" s="7" t="n">
        <f aca="false">Datos_columnas!$B$7*0.8*(0.85*Datos_columnas!$B$4*(G15-O15)+Datos_columnas!$B$5*O15)/1000</f>
        <v>51.2292754444808</v>
      </c>
      <c r="Q15" s="29" t="n">
        <f aca="false">100*C15/(0.3*MIN(E15,F15))</f>
        <v>70</v>
      </c>
      <c r="R15" s="7" t="n">
        <v>42.67</v>
      </c>
    </row>
    <row r="16" customFormat="false" ht="69.75" hidden="false" customHeight="true" outlineLevel="0" collapsed="false">
      <c r="A16" s="28"/>
      <c r="B16" s="30" t="s">
        <v>259</v>
      </c>
      <c r="C16" s="12" t="n">
        <v>3.15</v>
      </c>
      <c r="D16" s="13" t="n">
        <v>55.94</v>
      </c>
      <c r="E16" s="13" t="n">
        <v>15</v>
      </c>
      <c r="F16" s="13" t="n">
        <v>30</v>
      </c>
      <c r="G16" s="13" t="n">
        <f aca="false">E16*F16</f>
        <v>450</v>
      </c>
      <c r="H16" s="12" t="n">
        <f aca="false">Datos_columnas!$B$8*G16</f>
        <v>3.6</v>
      </c>
      <c r="I16" s="13" t="n">
        <v>4</v>
      </c>
      <c r="J16" s="13" t="n">
        <v>12</v>
      </c>
      <c r="K16" s="13" t="n">
        <v>6</v>
      </c>
      <c r="L16" s="13" t="n">
        <f aca="false">FLOOR(MIN(12*J16/10,48*K16/10,MIN(E16,F16)),5)</f>
        <v>10</v>
      </c>
      <c r="M16" s="14" t="str">
        <f aca="false">IF(D16="","FALTA CARGA",IF(O16&lt;H16,"ARM. INSUFIC.",IF(D16&gt;P16,"NO VERIFICA",IF(D16&gt;0.85*P16,"AL LIMITE",IF(Q16&gt;34,"VERIF. ESBELTEZ","VERIFICA")))))</f>
        <v>NO VERIFICA</v>
      </c>
      <c r="N16" s="15" t="s">
        <v>261</v>
      </c>
      <c r="O16" s="12" t="n">
        <f aca="false">I16*PI()*(J16/10)^2/4</f>
        <v>4.5238934211693</v>
      </c>
      <c r="P16" s="12" t="n">
        <f aca="false">Datos_columnas!$B$7*0.8*(0.85*Datos_columnas!$B$4*(G16-O16)+Datos_columnas!$B$5*O16)/1000</f>
        <v>51.2292754444808</v>
      </c>
      <c r="Q16" s="31" t="n">
        <f aca="false">100*C16/(0.3*MIN(E16,F16))</f>
        <v>70</v>
      </c>
      <c r="R16" s="12" t="n">
        <v>55.94</v>
      </c>
    </row>
  </sheetData>
  <mergeCells count="13">
    <mergeCell ref="A1:R1"/>
    <mergeCell ref="A2:A3"/>
    <mergeCell ref="B2:B3"/>
    <mergeCell ref="C2:C3"/>
    <mergeCell ref="D2:D3"/>
    <mergeCell ref="E2:G2"/>
    <mergeCell ref="H2:J2"/>
    <mergeCell ref="K2:L2"/>
    <mergeCell ref="M2:M3"/>
    <mergeCell ref="N2:N3"/>
    <mergeCell ref="O2:R2"/>
    <mergeCell ref="A4:A7"/>
    <mergeCell ref="A8:A16"/>
  </mergeCells>
  <conditionalFormatting sqref="M4:M16">
    <cfRule type="cellIs" priority="2" operator="equal" aboveAverage="0" equalAverage="0" bottom="0" percent="0" rank="0" text="" dxfId="0">
      <formula>"VERIFICA"</formula>
    </cfRule>
    <cfRule type="cellIs" priority="3" operator="equal" aboveAverage="0" equalAverage="0" bottom="0" percent="0" rank="0" text="" dxfId="1">
      <formula>"NO VERIFICA"</formula>
    </cfRule>
    <cfRule type="cellIs" priority="4" operator="equal" aboveAverage="0" equalAverage="0" bottom="0" percent="0" rank="0" text="" dxfId="1">
      <formula>"ARM. INSUFIC."</formula>
    </cfRule>
    <cfRule type="cellIs" priority="5" operator="equal" aboveAverage="0" equalAverage="0" bottom="0" percent="0" rank="0" text="" dxfId="1">
      <formula>"VERIF. ESBELTEZ"</formula>
    </cfRule>
    <cfRule type="cellIs" priority="6" operator="equal" aboveAverage="0" equalAverage="0" bottom="0" percent="0" rank="0" text="" dxfId="1">
      <formula>"FALTA CARGA"</formula>
    </cfRule>
    <cfRule type="cellIs" priority="7" operator="equal" aboveAverage="0" equalAverage="0" bottom="0" percent="0" rank="0" text="" dxfId="1">
      <formula>"AL LIMITE"</formula>
    </cfRule>
  </conditionalFormatting>
  <dataValidations count="1">
    <dataValidation allowBlank="true" errorStyle="stop" operator="between" showDropDown="false" showErrorMessage="false" showInputMessage="false" sqref="J4:K16" type="list">
      <formula1>"6,8,10,12,16,20,25"</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Z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9"/>
    <col collapsed="false" customWidth="true" hidden="false" outlineLevel="0" max="2" min="2" style="0" width="12.2"/>
    <col collapsed="false" customWidth="true" hidden="false" outlineLevel="0" max="3" min="3" style="0" width="23"/>
    <col collapsed="false" customWidth="true" hidden="false" outlineLevel="0" max="4" min="4" style="0" width="12.2"/>
    <col collapsed="false" customWidth="true" hidden="false" outlineLevel="0" max="5" min="5" style="0" width="43.2"/>
    <col collapsed="false" customWidth="true" hidden="false" outlineLevel="0" max="7" min="6" style="0" width="12.2"/>
    <col collapsed="false" customWidth="true" hidden="false" outlineLevel="0" max="9" min="8" style="0" width="16.2"/>
    <col collapsed="false" customWidth="true" hidden="false" outlineLevel="0" max="12" min="10" style="0" width="8.1"/>
    <col collapsed="false" customWidth="true" hidden="false" outlineLevel="0" max="13" min="13" style="0" width="9.51"/>
    <col collapsed="false" customWidth="true" hidden="false" outlineLevel="0" max="14" min="14" style="0" width="6.8"/>
    <col collapsed="false" customWidth="true" hidden="false" outlineLevel="0" max="15" min="15" style="0" width="8.1"/>
    <col collapsed="false" customWidth="true" hidden="false" outlineLevel="0" max="16" min="16" style="0" width="9.51"/>
    <col collapsed="false" customWidth="true" hidden="false" outlineLevel="0" max="17" min="17" style="0" width="6.8"/>
    <col collapsed="false" customWidth="true" hidden="false" outlineLevel="0" max="18" min="18" style="0" width="8.1"/>
    <col collapsed="false" customWidth="true" hidden="false" outlineLevel="0" max="20" min="19" style="0" width="9.51"/>
    <col collapsed="false" customWidth="true" hidden="false" outlineLevel="0" max="21" min="21" style="0" width="8.1"/>
    <col collapsed="false" customWidth="true" hidden="false" outlineLevel="0" max="22" min="22" style="0" width="10.8"/>
    <col collapsed="false" customWidth="true" hidden="false" outlineLevel="0" max="23" min="23" style="0" width="20.2"/>
    <col collapsed="false" customWidth="true" hidden="false" outlineLevel="0" max="24" min="24" style="0" width="54"/>
    <col collapsed="false" customWidth="true" hidden="false" outlineLevel="0" max="25" min="25" style="0" width="10.8"/>
    <col collapsed="false" customWidth="true" hidden="false" outlineLevel="0" max="26" min="26" style="0" width="9.51"/>
  </cols>
  <sheetData>
    <row r="1" customFormat="false" ht="39" hidden="false" customHeight="true" outlineLevel="0" collapsed="false">
      <c r="A1" s="27" t="s">
        <v>269</v>
      </c>
      <c r="B1" s="27"/>
      <c r="C1" s="27"/>
      <c r="D1" s="27"/>
      <c r="E1" s="27"/>
      <c r="F1" s="27"/>
      <c r="G1" s="27"/>
      <c r="H1" s="27"/>
      <c r="I1" s="27"/>
      <c r="J1" s="27"/>
      <c r="K1" s="27"/>
      <c r="L1" s="27"/>
      <c r="M1" s="27"/>
      <c r="N1" s="27"/>
      <c r="O1" s="27"/>
      <c r="P1" s="27"/>
      <c r="Q1" s="27"/>
      <c r="R1" s="27"/>
      <c r="S1" s="27"/>
      <c r="T1" s="27"/>
      <c r="U1" s="27"/>
      <c r="V1" s="27"/>
      <c r="W1" s="27"/>
      <c r="X1" s="27"/>
      <c r="Y1" s="27"/>
      <c r="Z1" s="27"/>
    </row>
    <row r="2" customFormat="false" ht="39" hidden="false" customHeight="true" outlineLevel="0" collapsed="false">
      <c r="A2" s="2" t="s">
        <v>128</v>
      </c>
      <c r="B2" s="2" t="s">
        <v>129</v>
      </c>
      <c r="C2" s="2" t="s">
        <v>130</v>
      </c>
      <c r="D2" s="2"/>
      <c r="E2" s="2"/>
      <c r="F2" s="2" t="s">
        <v>131</v>
      </c>
      <c r="G2" s="2"/>
      <c r="H2" s="2" t="s">
        <v>132</v>
      </c>
      <c r="I2" s="2" t="s">
        <v>133</v>
      </c>
      <c r="J2" s="2" t="s">
        <v>134</v>
      </c>
      <c r="K2" s="2"/>
      <c r="L2" s="2"/>
      <c r="M2" s="2" t="s">
        <v>135</v>
      </c>
      <c r="N2" s="2"/>
      <c r="O2" s="2"/>
      <c r="P2" s="2" t="s">
        <v>136</v>
      </c>
      <c r="Q2" s="2"/>
      <c r="R2" s="2"/>
      <c r="S2" s="2" t="s">
        <v>137</v>
      </c>
      <c r="T2" s="2"/>
      <c r="U2" s="2"/>
      <c r="V2" s="2" t="s">
        <v>138</v>
      </c>
      <c r="W2" s="2" t="s">
        <v>7</v>
      </c>
      <c r="X2" s="2" t="s">
        <v>8</v>
      </c>
      <c r="Y2" s="2" t="s">
        <v>139</v>
      </c>
      <c r="Z2" s="2"/>
    </row>
    <row r="3" customFormat="false" ht="39" hidden="false" customHeight="true" outlineLevel="0" collapsed="false">
      <c r="A3" s="2"/>
      <c r="B3" s="2"/>
      <c r="C3" s="3" t="s">
        <v>153</v>
      </c>
      <c r="D3" s="3" t="s">
        <v>140</v>
      </c>
      <c r="E3" s="3" t="s">
        <v>141</v>
      </c>
      <c r="F3" s="3" t="s">
        <v>142</v>
      </c>
      <c r="G3" s="3" t="s">
        <v>143</v>
      </c>
      <c r="H3" s="2"/>
      <c r="I3" s="2"/>
      <c r="J3" s="3" t="s">
        <v>144</v>
      </c>
      <c r="K3" s="3" t="s">
        <v>145</v>
      </c>
      <c r="L3" s="3" t="s">
        <v>146</v>
      </c>
      <c r="M3" s="3" t="s">
        <v>147</v>
      </c>
      <c r="N3" s="3" t="s">
        <v>148</v>
      </c>
      <c r="O3" s="3" t="s">
        <v>149</v>
      </c>
      <c r="P3" s="3" t="s">
        <v>147</v>
      </c>
      <c r="Q3" s="3" t="s">
        <v>148</v>
      </c>
      <c r="R3" s="3" t="s">
        <v>149</v>
      </c>
      <c r="S3" s="3" t="s">
        <v>150</v>
      </c>
      <c r="T3" s="3" t="s">
        <v>151</v>
      </c>
      <c r="U3" s="3" t="s">
        <v>149</v>
      </c>
      <c r="V3" s="3" t="s">
        <v>152</v>
      </c>
      <c r="W3" s="2"/>
      <c r="X3" s="2"/>
      <c r="Y3" s="3" t="s">
        <v>161</v>
      </c>
      <c r="Z3" s="3" t="s">
        <v>162</v>
      </c>
    </row>
    <row r="4" customFormat="false" ht="69.75" hidden="false" customHeight="true" outlineLevel="0" collapsed="false">
      <c r="A4" s="19" t="s">
        <v>270</v>
      </c>
      <c r="B4" s="7" t="n">
        <v>0.77</v>
      </c>
      <c r="C4" s="8" t="s">
        <v>165</v>
      </c>
      <c r="D4" s="29" t="n">
        <f aca="false">1.2*(Datos_vigas!$B$7*J4*L4/10000+Datos_vigas!$B$16*Y4)</f>
        <v>1146.6</v>
      </c>
      <c r="E4" s="8"/>
      <c r="F4" s="29" t="n">
        <f aca="false">VLOOKUP(C4,Datos_vigas!$A$19:$E$23,4,0)*D4*B4</f>
        <v>507.65715</v>
      </c>
      <c r="G4" s="29" t="n">
        <f aca="false">F4</f>
        <v>507.65715</v>
      </c>
      <c r="H4" s="29" t="n">
        <f aca="false">VLOOKUP(C4,Datos_vigas!$A$19:$E$23,2,0)*D4*B4^2</f>
        <v>48.5594811702</v>
      </c>
      <c r="I4" s="29" t="n">
        <f aca="false">IF(VLOOKUP(C4,Datos_vigas!$A$19:$E$23,3,0)=0,"---",VLOOKUP(C4,Datos_vigas!$A$19:$E$23,3,0)*D4*B4^2)</f>
        <v>67.981914</v>
      </c>
      <c r="J4" s="8" t="n">
        <v>20</v>
      </c>
      <c r="K4" s="8" t="n">
        <f aca="false">L4-Z4</f>
        <v>31</v>
      </c>
      <c r="L4" s="8" t="n">
        <v>35</v>
      </c>
      <c r="M4" s="7" t="n">
        <f aca="false">IF(NOT(ISNUMBER(H4)),"---",IF(H4&lt;=0,"---",IF(H4*100/(Datos_vigas!$B$8*J4*K4^2*Datos_vigas!$B$5)&gt;=0.5,"REVISAR",MAX((1-SQRT(1-2*H4*100/(Datos_vigas!$B$8*J4*K4^2*Datos_vigas!$B$5)))*J4*K4*Datos_vigas!$B$5/Datos_vigas!$B$6,0.0033*J4*K4))))</f>
        <v>2.046</v>
      </c>
      <c r="N4" s="8" t="n">
        <v>2</v>
      </c>
      <c r="O4" s="8" t="n">
        <v>12</v>
      </c>
      <c r="P4" s="7" t="n">
        <f aca="false">IF(NOT(ISNUMBER(I4)),"---",IF(I4&lt;=0,"---",IF(I4*100/(Datos_vigas!$B$8*J4*K4^2*Datos_vigas!$B$5)&gt;=0.5,"REVISAR",MAX((1-SQRT(1-2*I4*100/(Datos_vigas!$B$8*J4*K4^2*Datos_vigas!$B$5)))*J4*K4*Datos_vigas!$B$5/Datos_vigas!$B$6,0.0033*J4*K4))))</f>
        <v>2.046</v>
      </c>
      <c r="Q4" s="8" t="n">
        <v>2</v>
      </c>
      <c r="R4" s="8" t="n">
        <v>12</v>
      </c>
      <c r="S4" s="7" t="n">
        <f aca="false">F4/(J4*0.85*K4)</f>
        <v>0.963296299810246</v>
      </c>
      <c r="T4" s="7" t="n">
        <f aca="false">G4/(J4*0.85*K4)</f>
        <v>0.963296299810246</v>
      </c>
      <c r="U4" s="8" t="n">
        <v>6</v>
      </c>
      <c r="V4" s="8" t="n">
        <v>15</v>
      </c>
      <c r="W4" s="9" t="str">
        <f aca="false">IF(OR(M4="REVISAR",P4="REVISAR"),"SECCION INSUF.",IF(NOT(AND(M4&lt;&gt;"REVISAR",P4&lt;&gt;"REVISAR",IF(ISNUMBER(M4),N4*PI()*(O4/10)^2/4&gt;=M4,TRUE()),IF(ISNUMBER(P4),Q4*PI()*(R4/10)^2/4&gt;=P4,TRUE()),IF(ISNUMBER(M4),M4&lt;=0.0163*J4*K4,TRUE()),IF(ISNUMBER(P4),P4&lt;=0.0163*J4*K4,TRUE()))),"NO VERIFICA FLEX.",IF(NOT(F4&lt;=Datos_vigas!$B$9*(0.53*SQRT(Datos_vigas!$B$5)*J4*K4+2*PI()*(U4/10)^2/4*Datos_vigas!$B$6*K4/V4)),"NO VERIF. CORTE","VERIFICA")))</f>
        <v>VERIFICA</v>
      </c>
      <c r="X4" s="8"/>
      <c r="Y4" s="8" t="n">
        <v>3.15</v>
      </c>
      <c r="Z4" s="8" t="n">
        <v>4</v>
      </c>
    </row>
    <row r="5" customFormat="false" ht="69.75" hidden="false" customHeight="true" outlineLevel="0" collapsed="false">
      <c r="A5" s="19" t="s">
        <v>271</v>
      </c>
      <c r="B5" s="7" t="n">
        <v>0.77</v>
      </c>
      <c r="C5" s="8" t="s">
        <v>165</v>
      </c>
      <c r="D5" s="29" t="n">
        <f aca="false">1.2*(Datos_vigas!$B$7*J5*L5/10000+Datos_vigas!$B$16*Y5)</f>
        <v>1146.6</v>
      </c>
      <c r="E5" s="8"/>
      <c r="F5" s="29" t="n">
        <f aca="false">VLOOKUP(C5,Datos_vigas!$A$19:$E$23,4,0)*D5*B5</f>
        <v>507.65715</v>
      </c>
      <c r="G5" s="29" t="n">
        <f aca="false">F5</f>
        <v>507.65715</v>
      </c>
      <c r="H5" s="29" t="n">
        <f aca="false">VLOOKUP(C5,Datos_vigas!$A$19:$E$23,2,0)*D5*B5^2</f>
        <v>48.5594811702</v>
      </c>
      <c r="I5" s="29" t="n">
        <f aca="false">IF(VLOOKUP(C5,Datos_vigas!$A$19:$E$23,3,0)=0,"---",VLOOKUP(C5,Datos_vigas!$A$19:$E$23,3,0)*D5*B5^2)</f>
        <v>67.981914</v>
      </c>
      <c r="J5" s="8" t="n">
        <v>20</v>
      </c>
      <c r="K5" s="8" t="n">
        <f aca="false">L5-Z5</f>
        <v>31</v>
      </c>
      <c r="L5" s="8" t="n">
        <v>35</v>
      </c>
      <c r="M5" s="7" t="n">
        <f aca="false">IF(NOT(ISNUMBER(H5)),"---",IF(H5&lt;=0,"---",IF(H5*100/(Datos_vigas!$B$8*J5*K5^2*Datos_vigas!$B$5)&gt;=0.5,"REVISAR",MAX((1-SQRT(1-2*H5*100/(Datos_vigas!$B$8*J5*K5^2*Datos_vigas!$B$5)))*J5*K5*Datos_vigas!$B$5/Datos_vigas!$B$6,0.0033*J5*K5))))</f>
        <v>2.046</v>
      </c>
      <c r="N5" s="8" t="n">
        <v>2</v>
      </c>
      <c r="O5" s="8" t="n">
        <v>12</v>
      </c>
      <c r="P5" s="7" t="n">
        <f aca="false">IF(NOT(ISNUMBER(I5)),"---",IF(I5&lt;=0,"---",IF(I5*100/(Datos_vigas!$B$8*J5*K5^2*Datos_vigas!$B$5)&gt;=0.5,"REVISAR",MAX((1-SQRT(1-2*I5*100/(Datos_vigas!$B$8*J5*K5^2*Datos_vigas!$B$5)))*J5*K5*Datos_vigas!$B$5/Datos_vigas!$B$6,0.0033*J5*K5))))</f>
        <v>2.046</v>
      </c>
      <c r="Q5" s="8" t="n">
        <v>2</v>
      </c>
      <c r="R5" s="8" t="n">
        <v>12</v>
      </c>
      <c r="S5" s="7" t="n">
        <f aca="false">F5/(J5*0.85*K5)</f>
        <v>0.963296299810246</v>
      </c>
      <c r="T5" s="7" t="n">
        <f aca="false">G5/(J5*0.85*K5)</f>
        <v>0.963296299810246</v>
      </c>
      <c r="U5" s="8" t="n">
        <v>6</v>
      </c>
      <c r="V5" s="8" t="n">
        <v>15</v>
      </c>
      <c r="W5" s="9" t="str">
        <f aca="false">IF(OR(M5="REVISAR",P5="REVISAR"),"SECCION INSUF.",IF(NOT(AND(M5&lt;&gt;"REVISAR",P5&lt;&gt;"REVISAR",IF(ISNUMBER(M5),N5*PI()*(O5/10)^2/4&gt;=M5,TRUE()),IF(ISNUMBER(P5),Q5*PI()*(R5/10)^2/4&gt;=P5,TRUE()),IF(ISNUMBER(M5),M5&lt;=0.0163*J5*K5,TRUE()),IF(ISNUMBER(P5),P5&lt;=0.0163*J5*K5,TRUE()))),"NO VERIFICA FLEX.",IF(NOT(F5&lt;=Datos_vigas!$B$9*(0.53*SQRT(Datos_vigas!$B$5)*J5*K5+2*PI()*(U5/10)^2/4*Datos_vigas!$B$6*K5/V5)),"NO VERIF. CORTE","VERIFICA")))</f>
        <v>VERIFICA</v>
      </c>
      <c r="X5" s="8"/>
      <c r="Y5" s="8" t="n">
        <v>3.15</v>
      </c>
      <c r="Z5" s="8" t="n">
        <v>4</v>
      </c>
    </row>
    <row r="6" customFormat="false" ht="69.75" hidden="false" customHeight="true" outlineLevel="0" collapsed="false">
      <c r="A6" s="19" t="s">
        <v>272</v>
      </c>
      <c r="B6" s="7" t="n">
        <v>0.77</v>
      </c>
      <c r="C6" s="8" t="s">
        <v>165</v>
      </c>
      <c r="D6" s="29" t="n">
        <f aca="false">1.2*(Datos_vigas!$B$7*J6*L6/10000+Datos_vigas!$B$16*Y6)</f>
        <v>1146.6</v>
      </c>
      <c r="E6" s="8"/>
      <c r="F6" s="29" t="n">
        <f aca="false">VLOOKUP(C6,Datos_vigas!$A$19:$E$23,4,0)*D6*B6</f>
        <v>507.65715</v>
      </c>
      <c r="G6" s="29" t="n">
        <f aca="false">F6</f>
        <v>507.65715</v>
      </c>
      <c r="H6" s="29" t="n">
        <f aca="false">VLOOKUP(C6,Datos_vigas!$A$19:$E$23,2,0)*D6*B6^2</f>
        <v>48.5594811702</v>
      </c>
      <c r="I6" s="29" t="n">
        <f aca="false">IF(VLOOKUP(C6,Datos_vigas!$A$19:$E$23,3,0)=0,"---",VLOOKUP(C6,Datos_vigas!$A$19:$E$23,3,0)*D6*B6^2)</f>
        <v>67.981914</v>
      </c>
      <c r="J6" s="8" t="n">
        <v>20</v>
      </c>
      <c r="K6" s="8" t="n">
        <f aca="false">L6-Z6</f>
        <v>31</v>
      </c>
      <c r="L6" s="8" t="n">
        <v>35</v>
      </c>
      <c r="M6" s="7" t="n">
        <f aca="false">IF(NOT(ISNUMBER(H6)),"---",IF(H6&lt;=0,"---",IF(H6*100/(Datos_vigas!$B$8*J6*K6^2*Datos_vigas!$B$5)&gt;=0.5,"REVISAR",MAX((1-SQRT(1-2*H6*100/(Datos_vigas!$B$8*J6*K6^2*Datos_vigas!$B$5)))*J6*K6*Datos_vigas!$B$5/Datos_vigas!$B$6,0.0033*J6*K6))))</f>
        <v>2.046</v>
      </c>
      <c r="N6" s="8" t="n">
        <v>2</v>
      </c>
      <c r="O6" s="8" t="n">
        <v>12</v>
      </c>
      <c r="P6" s="7" t="n">
        <f aca="false">IF(NOT(ISNUMBER(I6)),"---",IF(I6&lt;=0,"---",IF(I6*100/(Datos_vigas!$B$8*J6*K6^2*Datos_vigas!$B$5)&gt;=0.5,"REVISAR",MAX((1-SQRT(1-2*I6*100/(Datos_vigas!$B$8*J6*K6^2*Datos_vigas!$B$5)))*J6*K6*Datos_vigas!$B$5/Datos_vigas!$B$6,0.0033*J6*K6))))</f>
        <v>2.046</v>
      </c>
      <c r="Q6" s="8" t="n">
        <v>2</v>
      </c>
      <c r="R6" s="8" t="n">
        <v>12</v>
      </c>
      <c r="S6" s="7" t="n">
        <f aca="false">F6/(J6*0.85*K6)</f>
        <v>0.963296299810246</v>
      </c>
      <c r="T6" s="7" t="n">
        <f aca="false">G6/(J6*0.85*K6)</f>
        <v>0.963296299810246</v>
      </c>
      <c r="U6" s="8" t="n">
        <v>6</v>
      </c>
      <c r="V6" s="8" t="n">
        <v>15</v>
      </c>
      <c r="W6" s="9" t="str">
        <f aca="false">IF(OR(M6="REVISAR",P6="REVISAR"),"SECCION INSUF.",IF(NOT(AND(M6&lt;&gt;"REVISAR",P6&lt;&gt;"REVISAR",IF(ISNUMBER(M6),N6*PI()*(O6/10)^2/4&gt;=M6,TRUE()),IF(ISNUMBER(P6),Q6*PI()*(R6/10)^2/4&gt;=P6,TRUE()),IF(ISNUMBER(M6),M6&lt;=0.0163*J6*K6,TRUE()),IF(ISNUMBER(P6),P6&lt;=0.0163*J6*K6,TRUE()))),"NO VERIFICA FLEX.",IF(NOT(F6&lt;=Datos_vigas!$B$9*(0.53*SQRT(Datos_vigas!$B$5)*J6*K6+2*PI()*(U6/10)^2/4*Datos_vigas!$B$6*K6/V6)),"NO VERIF. CORTE","VERIFICA")))</f>
        <v>VERIFICA</v>
      </c>
      <c r="X6" s="8"/>
      <c r="Y6" s="8" t="n">
        <v>3.15</v>
      </c>
      <c r="Z6" s="8" t="n">
        <v>4</v>
      </c>
    </row>
    <row r="7" customFormat="false" ht="69.75" hidden="false" customHeight="true" outlineLevel="0" collapsed="false">
      <c r="A7" s="19" t="s">
        <v>273</v>
      </c>
      <c r="B7" s="7" t="n">
        <v>2.94</v>
      </c>
      <c r="C7" s="8" t="s">
        <v>188</v>
      </c>
      <c r="D7" s="29" t="n">
        <f aca="false">1.2*(Datos_vigas!$B$7*J7*L7/10000+Datos_vigas!$B$16*Y7)</f>
        <v>1197</v>
      </c>
      <c r="E7" s="8"/>
      <c r="F7" s="29" t="n">
        <f aca="false">VLOOKUP(C7,Datos_vigas!$A$19:$E$23,4,0)*D7*B7</f>
        <v>1759.59</v>
      </c>
      <c r="G7" s="29" t="n">
        <f aca="false">F7</f>
        <v>1759.59</v>
      </c>
      <c r="H7" s="29" t="n">
        <f aca="false">VLOOKUP(C7,Datos_vigas!$A$19:$E$23,2,0)*D7*B7^2</f>
        <v>1293.29865</v>
      </c>
      <c r="I7" s="29" t="str">
        <f aca="false">IF(VLOOKUP(C7,Datos_vigas!$A$19:$E$23,3,0)=0,"---",VLOOKUP(C7,Datos_vigas!$A$19:$E$23,3,0)*D7*B7^2)</f>
        <v>---</v>
      </c>
      <c r="J7" s="8" t="n">
        <v>25</v>
      </c>
      <c r="K7" s="8" t="n">
        <f aca="false">L7-Z7</f>
        <v>31</v>
      </c>
      <c r="L7" s="8" t="n">
        <v>35</v>
      </c>
      <c r="M7" s="7" t="n">
        <f aca="false">IF(NOT(ISNUMBER(H7)),"---",IF(H7&lt;=0,"---",IF(H7*100/(Datos_vigas!$B$8*J7*K7^2*Datos_vigas!$B$5)&gt;=0.5,"REVISAR",MAX((1-SQRT(1-2*H7*100/(Datos_vigas!$B$8*J7*K7^2*Datos_vigas!$B$5)))*J7*K7*Datos_vigas!$B$5/Datos_vigas!$B$6,0.0033*J7*K7))))</f>
        <v>2.5575</v>
      </c>
      <c r="N7" s="8" t="n">
        <v>6</v>
      </c>
      <c r="O7" s="8" t="n">
        <v>8</v>
      </c>
      <c r="P7" s="7" t="str">
        <f aca="false">IF(NOT(ISNUMBER(I7)),"---",IF(I7&lt;=0,"---",IF(I7*100/(Datos_vigas!$B$8*J7*K7^2*Datos_vigas!$B$5)&gt;=0.5,"REVISAR",MAX((1-SQRT(1-2*I7*100/(Datos_vigas!$B$8*J7*K7^2*Datos_vigas!$B$5)))*J7*K7*Datos_vigas!$B$5/Datos_vigas!$B$6,0.0033*J7*K7))))</f>
        <v>---</v>
      </c>
      <c r="Q7" s="8" t="s">
        <v>186</v>
      </c>
      <c r="R7" s="8" t="s">
        <v>186</v>
      </c>
      <c r="S7" s="7" t="n">
        <f aca="false">F7/(J7*0.85*K7)</f>
        <v>2.67110436432638</v>
      </c>
      <c r="T7" s="7" t="n">
        <f aca="false">G7/(J7*0.85*K7)</f>
        <v>2.67110436432638</v>
      </c>
      <c r="U7" s="8" t="n">
        <v>6</v>
      </c>
      <c r="V7" s="8" t="n">
        <v>15</v>
      </c>
      <c r="W7" s="9" t="str">
        <f aca="false">IF(OR(M7="REVISAR",P7="REVISAR"),"SECCION INSUF.",IF(NOT(AND(M7&lt;&gt;"REVISAR",P7&lt;&gt;"REVISAR",IF(ISNUMBER(M7),N7*PI()*(O7/10)^2/4&gt;=M7,TRUE()),IF(ISNUMBER(P7),Q7*PI()*(R7/10)^2/4&gt;=P7,TRUE()),IF(ISNUMBER(M7),M7&lt;=0.0163*J7*K7,TRUE()),IF(ISNUMBER(P7),P7&lt;=0.0163*J7*K7,TRUE()))),"NO VERIFICA FLEX.",IF(NOT(F7&lt;=Datos_vigas!$B$9*(0.53*SQRT(Datos_vigas!$B$5)*J7*K7+2*PI()*(U7/10)^2/4*Datos_vigas!$B$6*K7/V7)),"NO VERIF. CORTE","VERIFICA")))</f>
        <v>VERIFICA</v>
      </c>
      <c r="X7" s="10" t="s">
        <v>274</v>
      </c>
      <c r="Y7" s="8" t="n">
        <v>3.15</v>
      </c>
      <c r="Z7" s="8" t="n">
        <v>4</v>
      </c>
    </row>
    <row r="8" customFormat="false" ht="69.75" hidden="false" customHeight="true" outlineLevel="0" collapsed="false">
      <c r="A8" s="19" t="s">
        <v>275</v>
      </c>
      <c r="B8" s="7" t="n">
        <v>9.01</v>
      </c>
      <c r="C8" s="8" t="s">
        <v>165</v>
      </c>
      <c r="D8" s="29" t="n">
        <f aca="false">1.2*(Datos_vigas!$B$7*J8*L8/10000+Datos_vigas!$B$16*Y8)</f>
        <v>1103.4</v>
      </c>
      <c r="E8" s="8"/>
      <c r="F8" s="29" t="n">
        <f aca="false">VLOOKUP(C8,Datos_vigas!$A$19:$E$23,4,0)*D8*B8</f>
        <v>5716.43955</v>
      </c>
      <c r="G8" s="29" t="n">
        <f aca="false">F8</f>
        <v>5716.43955</v>
      </c>
      <c r="H8" s="29" t="n">
        <f aca="false">VLOOKUP(C8,Datos_vigas!$A$19:$E$23,2,0)*D8*B8^2</f>
        <v>6398.2795587462</v>
      </c>
      <c r="I8" s="29" t="n">
        <f aca="false">IF(VLOOKUP(C8,Datos_vigas!$A$19:$E$23,3,0)=0,"---",VLOOKUP(C8,Datos_vigas!$A$19:$E$23,3,0)*D8*B8^2)</f>
        <v>8957.412234</v>
      </c>
      <c r="J8" s="8" t="n">
        <v>22</v>
      </c>
      <c r="K8" s="8" t="n">
        <f aca="false">L8-Z8</f>
        <v>18</v>
      </c>
      <c r="L8" s="8" t="n">
        <v>25</v>
      </c>
      <c r="M8" s="7" t="n">
        <f aca="false">IF(NOT(ISNUMBER(H8)),"---",IF(H8&lt;=0,"---",IF(H8*100/(Datos_vigas!$B$8*J8*K8^2*Datos_vigas!$B$5)&gt;=0.5,"REVISAR",MAX((1-SQRT(1-2*H8*100/(Datos_vigas!$B$8*J8*K8^2*Datos_vigas!$B$5)))*J8*K8*Datos_vigas!$B$5/Datos_vigas!$B$6,0.0033*J8*K8))))</f>
        <v>15.3667890852373</v>
      </c>
      <c r="N8" s="8" t="n">
        <v>2</v>
      </c>
      <c r="O8" s="8" t="n">
        <v>25</v>
      </c>
      <c r="P8" s="7" t="str">
        <f aca="false">IF(NOT(ISNUMBER(I8)),"---",IF(I8&lt;=0,"---",IF(I8*100/(Datos_vigas!$B$8*J8*K8^2*Datos_vigas!$B$5)&gt;=0.5,"REVISAR",MAX((1-SQRT(1-2*I8*100/(Datos_vigas!$B$8*J8*K8^2*Datos_vigas!$B$5)))*J8*K8*Datos_vigas!$B$5/Datos_vigas!$B$6,0.0033*J8*K8))))</f>
        <v>REVISAR</v>
      </c>
      <c r="Q8" s="8" t="n">
        <v>5</v>
      </c>
      <c r="R8" s="8" t="n">
        <v>6</v>
      </c>
      <c r="S8" s="7" t="n">
        <f aca="false">F8/(J8*0.85*K8)</f>
        <v>16.9828863636364</v>
      </c>
      <c r="T8" s="7" t="n">
        <f aca="false">G8/(J8*0.85*K8)</f>
        <v>16.9828863636364</v>
      </c>
      <c r="U8" s="8" t="n">
        <v>12</v>
      </c>
      <c r="V8" s="8" t="n">
        <v>5</v>
      </c>
      <c r="W8" s="9" t="str">
        <f aca="false">IF(OR(M8="REVISAR",P8="REVISAR"),"SECCION INSUF.",IF(NOT(AND(M8&lt;&gt;"REVISAR",P8&lt;&gt;"REVISAR",IF(ISNUMBER(M8),N8*PI()*(O8/10)^2/4&gt;=M8,TRUE()),IF(ISNUMBER(P8),Q8*PI()*(R8/10)^2/4&gt;=P8,TRUE()),IF(ISNUMBER(M8),M8&lt;=0.0163*J8*K8,TRUE()),IF(ISNUMBER(P8),P8&lt;=0.0163*J8*K8,TRUE()))),"NO VERIFICA FLEX.",IF(NOT(F8&lt;=Datos_vigas!$B$9*(0.53*SQRT(Datos_vigas!$B$5)*J8*K8+2*PI()*(U8/10)^2/4*Datos_vigas!$B$6*K8/V8)),"NO VERIF. CORTE","VERIFICA")))</f>
        <v>SECCION INSUF.</v>
      </c>
      <c r="X8" s="10" t="s">
        <v>276</v>
      </c>
      <c r="Y8" s="8" t="n">
        <v>3.15</v>
      </c>
      <c r="Z8" s="8" t="n">
        <v>7</v>
      </c>
    </row>
    <row r="9" customFormat="false" ht="69.75" hidden="false" customHeight="true" outlineLevel="0" collapsed="false">
      <c r="A9" s="19" t="s">
        <v>277</v>
      </c>
      <c r="B9" s="7" t="n">
        <v>3.8</v>
      </c>
      <c r="C9" s="8" t="s">
        <v>165</v>
      </c>
      <c r="D9" s="29" t="n">
        <f aca="false">1.2*(Datos_vigas!$B$7*J9*L9/10000+Datos_vigas!$B$16*Y9)</f>
        <v>1166.76</v>
      </c>
      <c r="E9" s="8"/>
      <c r="F9" s="29" t="n">
        <f aca="false">VLOOKUP(C9,Datos_vigas!$A$19:$E$23,4,0)*D9*B9</f>
        <v>2549.3706</v>
      </c>
      <c r="G9" s="29" t="n">
        <f aca="false">F9</f>
        <v>2549.3706</v>
      </c>
      <c r="H9" s="29" t="n">
        <f aca="false">VLOOKUP(C9,Datos_vigas!$A$19:$E$23,2,0)*D9*B9^2</f>
        <v>1203.453668592</v>
      </c>
      <c r="I9" s="29" t="n">
        <f aca="false">IF(VLOOKUP(C9,Datos_vigas!$A$19:$E$23,3,0)=0,"---",VLOOKUP(C9,Datos_vigas!$A$19:$E$23,3,0)*D9*B9^2)</f>
        <v>1684.80144</v>
      </c>
      <c r="J9" s="8" t="n">
        <v>22</v>
      </c>
      <c r="K9" s="8" t="n">
        <f aca="false">L9-Z9</f>
        <v>31</v>
      </c>
      <c r="L9" s="8" t="n">
        <v>35</v>
      </c>
      <c r="M9" s="7" t="n">
        <f aca="false">IF(NOT(ISNUMBER(H9)),"---",IF(H9&lt;=0,"---",IF(H9*100/(Datos_vigas!$B$8*J9*K9^2*Datos_vigas!$B$5)&gt;=0.5,"REVISAR",MAX((1-SQRT(1-2*H9*100/(Datos_vigas!$B$8*J9*K9^2*Datos_vigas!$B$5)))*J9*K9*Datos_vigas!$B$5/Datos_vigas!$B$6,0.0033*J9*K9))))</f>
        <v>2.2506</v>
      </c>
      <c r="N9" s="8" t="n">
        <v>2</v>
      </c>
      <c r="O9" s="8" t="n">
        <v>12</v>
      </c>
      <c r="P9" s="7" t="n">
        <f aca="false">IF(NOT(ISNUMBER(I9)),"---",IF(I9&lt;=0,"---",IF(I9*100/(Datos_vigas!$B$8*J9*K9^2*Datos_vigas!$B$5)&gt;=0.5,"REVISAR",MAX((1-SQRT(1-2*I9*100/(Datos_vigas!$B$8*J9*K9^2*Datos_vigas!$B$5)))*J9*K9*Datos_vigas!$B$5/Datos_vigas!$B$6,0.0033*J9*K9))))</f>
        <v>2.2506</v>
      </c>
      <c r="Q9" s="8" t="n">
        <v>2</v>
      </c>
      <c r="R9" s="8" t="n">
        <v>12</v>
      </c>
      <c r="S9" s="7" t="n">
        <f aca="false">F9/(J9*0.85*K9)</f>
        <v>4.3977412454718</v>
      </c>
      <c r="T9" s="7" t="n">
        <f aca="false">G9/(J9*0.85*K9)</f>
        <v>4.3977412454718</v>
      </c>
      <c r="U9" s="8" t="n">
        <v>6</v>
      </c>
      <c r="V9" s="8" t="n">
        <v>15</v>
      </c>
      <c r="W9" s="9" t="str">
        <f aca="false">IF(OR(M9="REVISAR",P9="REVISAR"),"SECCION INSUF.",IF(NOT(AND(M9&lt;&gt;"REVISAR",P9&lt;&gt;"REVISAR",IF(ISNUMBER(M9),N9*PI()*(O9/10)^2/4&gt;=M9,TRUE()),IF(ISNUMBER(P9),Q9*PI()*(R9/10)^2/4&gt;=P9,TRUE()),IF(ISNUMBER(M9),M9&lt;=0.0163*J9*K9,TRUE()),IF(ISNUMBER(P9),P9&lt;=0.0163*J9*K9,TRUE()))),"NO VERIFICA FLEX.",IF(NOT(F9&lt;=Datos_vigas!$B$9*(0.53*SQRT(Datos_vigas!$B$5)*J9*K9+2*PI()*(U9/10)^2/4*Datos_vigas!$B$6*K9/V9)),"NO VERIF. CORTE","VERIFICA")))</f>
        <v>VERIFICA</v>
      </c>
      <c r="X9" s="10" t="s">
        <v>278</v>
      </c>
      <c r="Y9" s="8" t="n">
        <v>3.15</v>
      </c>
      <c r="Z9" s="8" t="n">
        <v>4</v>
      </c>
    </row>
    <row r="10" customFormat="false" ht="69.75" hidden="false" customHeight="true" outlineLevel="0" collapsed="false">
      <c r="A10" s="19" t="s">
        <v>279</v>
      </c>
      <c r="B10" s="7" t="n">
        <v>3.3</v>
      </c>
      <c r="C10" s="8" t="s">
        <v>165</v>
      </c>
      <c r="D10" s="29" t="n">
        <f aca="false">1.2*(Datos_vigas!$B$7*J10*L10/10000+Datos_vigas!$B$16*Y10)</f>
        <v>1089</v>
      </c>
      <c r="E10" s="8"/>
      <c r="F10" s="29" t="n">
        <f aca="false">VLOOKUP(C10,Datos_vigas!$A$19:$E$23,4,0)*D10*B10</f>
        <v>2066.3775</v>
      </c>
      <c r="G10" s="29" t="n">
        <f aca="false">F10</f>
        <v>2066.3775</v>
      </c>
      <c r="H10" s="29" t="n">
        <f aca="false">VLOOKUP(C10,Datos_vigas!$A$19:$E$23,2,0)*D10*B10^2</f>
        <v>847.1033703</v>
      </c>
      <c r="I10" s="29" t="n">
        <f aca="false">IF(VLOOKUP(C10,Datos_vigas!$A$19:$E$23,3,0)=0,"---",VLOOKUP(C10,Datos_vigas!$A$19:$E$23,3,0)*D10*B10^2)</f>
        <v>1185.921</v>
      </c>
      <c r="J10" s="8" t="n">
        <v>20</v>
      </c>
      <c r="K10" s="8" t="n">
        <f aca="false">L10-Z10</f>
        <v>21</v>
      </c>
      <c r="L10" s="8" t="n">
        <v>25</v>
      </c>
      <c r="M10" s="7" t="n">
        <f aca="false">IF(NOT(ISNUMBER(H10)),"---",IF(H10&lt;=0,"---",IF(H10*100/(Datos_vigas!$B$8*J10*K10^2*Datos_vigas!$B$5)&gt;=0.5,"REVISAR",MAX((1-SQRT(1-2*H10*100/(Datos_vigas!$B$8*J10*K10^2*Datos_vigas!$B$5)))*J10*K10*Datos_vigas!$B$5/Datos_vigas!$B$6,0.0033*J10*K10))))</f>
        <v>1.386</v>
      </c>
      <c r="N10" s="8" t="n">
        <v>5</v>
      </c>
      <c r="O10" s="8" t="n">
        <v>6</v>
      </c>
      <c r="P10" s="7" t="n">
        <f aca="false">IF(NOT(ISNUMBER(I10)),"---",IF(I10&lt;=0,"---",IF(I10*100/(Datos_vigas!$B$8*J10*K10^2*Datos_vigas!$B$5)&gt;=0.5,"REVISAR",MAX((1-SQRT(1-2*I10*100/(Datos_vigas!$B$8*J10*K10^2*Datos_vigas!$B$5)))*J10*K10*Datos_vigas!$B$5/Datos_vigas!$B$6,0.0033*J10*K10))))</f>
        <v>1.55127620786245</v>
      </c>
      <c r="Q10" s="8" t="n">
        <v>2</v>
      </c>
      <c r="R10" s="8" t="n">
        <v>10</v>
      </c>
      <c r="S10" s="7" t="n">
        <f aca="false">F10/(J10*0.85*K10)</f>
        <v>5.78817226890756</v>
      </c>
      <c r="T10" s="7" t="n">
        <f aca="false">G10/(J10*0.85*K10)</f>
        <v>5.78817226890756</v>
      </c>
      <c r="U10" s="8" t="n">
        <v>6</v>
      </c>
      <c r="V10" s="8" t="n">
        <v>10</v>
      </c>
      <c r="W10" s="9" t="str">
        <f aca="false">IF(OR(M10="REVISAR",P10="REVISAR"),"SECCION INSUF.",IF(NOT(AND(M10&lt;&gt;"REVISAR",P10&lt;&gt;"REVISAR",IF(ISNUMBER(M10),N10*PI()*(O10/10)^2/4&gt;=M10,TRUE()),IF(ISNUMBER(P10),Q10*PI()*(R10/10)^2/4&gt;=P10,TRUE()),IF(ISNUMBER(M10),M10&lt;=0.0163*J10*K10,TRUE()),IF(ISNUMBER(P10),P10&lt;=0.0163*J10*K10,TRUE()))),"NO VERIFICA FLEX.",IF(NOT(F10&lt;=Datos_vigas!$B$9*(0.53*SQRT(Datos_vigas!$B$5)*J10*K10+2*PI()*(U10/10)^2/4*Datos_vigas!$B$6*K10/V10)),"NO VERIF. CORTE","VERIFICA")))</f>
        <v>VERIFICA</v>
      </c>
      <c r="X10" s="8"/>
      <c r="Y10" s="8" t="n">
        <v>3.15</v>
      </c>
      <c r="Z10" s="8" t="n">
        <v>4</v>
      </c>
    </row>
    <row r="11" customFormat="false" ht="69.75" hidden="false" customHeight="true" outlineLevel="0" collapsed="false">
      <c r="A11" s="19" t="s">
        <v>280</v>
      </c>
      <c r="B11" s="7" t="n">
        <v>3.08</v>
      </c>
      <c r="C11" s="8" t="s">
        <v>165</v>
      </c>
      <c r="D11" s="29" t="n">
        <f aca="false">1.2*(Datos_vigas!$B$7*J11*L11/10000+Datos_vigas!$B$16*Y11)</f>
        <v>1089</v>
      </c>
      <c r="E11" s="8"/>
      <c r="F11" s="29" t="n">
        <f aca="false">VLOOKUP(C11,Datos_vigas!$A$19:$E$23,4,0)*D11*B11</f>
        <v>1928.619</v>
      </c>
      <c r="G11" s="29" t="n">
        <f aca="false">F11</f>
        <v>1928.619</v>
      </c>
      <c r="H11" s="29" t="n">
        <f aca="false">VLOOKUP(C11,Datos_vigas!$A$19:$E$23,2,0)*D11*B11^2</f>
        <v>737.921158128</v>
      </c>
      <c r="I11" s="29" t="n">
        <f aca="false">IF(VLOOKUP(C11,Datos_vigas!$A$19:$E$23,3,0)=0,"---",VLOOKUP(C11,Datos_vigas!$A$19:$E$23,3,0)*D11*B11^2)</f>
        <v>1033.06896</v>
      </c>
      <c r="J11" s="8" t="n">
        <v>20</v>
      </c>
      <c r="K11" s="8" t="n">
        <f aca="false">L11-Z11</f>
        <v>21</v>
      </c>
      <c r="L11" s="8" t="n">
        <v>25</v>
      </c>
      <c r="M11" s="7" t="n">
        <f aca="false">IF(NOT(ISNUMBER(H11)),"---",IF(H11&lt;=0,"---",IF(H11*100/(Datos_vigas!$B$8*J11*K11^2*Datos_vigas!$B$5)&gt;=0.5,"REVISAR",MAX((1-SQRT(1-2*H11*100/(Datos_vigas!$B$8*J11*K11^2*Datos_vigas!$B$5)))*J11*K11*Datos_vigas!$B$5/Datos_vigas!$B$6,0.0033*J11*K11))))</f>
        <v>1.386</v>
      </c>
      <c r="N11" s="8" t="n">
        <v>5</v>
      </c>
      <c r="O11" s="8" t="n">
        <v>6</v>
      </c>
      <c r="P11" s="7" t="n">
        <f aca="false">IF(NOT(ISNUMBER(I11)),"---",IF(I11&lt;=0,"---",IF(I11*100/(Datos_vigas!$B$8*J11*K11^2*Datos_vigas!$B$5)&gt;=0.5,"REVISAR",MAX((1-SQRT(1-2*I11*100/(Datos_vigas!$B$8*J11*K11^2*Datos_vigas!$B$5)))*J11*K11*Datos_vigas!$B$5/Datos_vigas!$B$6,0.0033*J11*K11))))</f>
        <v>1.386</v>
      </c>
      <c r="Q11" s="8" t="n">
        <v>5</v>
      </c>
      <c r="R11" s="8" t="n">
        <v>6</v>
      </c>
      <c r="S11" s="7" t="n">
        <f aca="false">F11/(J11*0.85*K11)</f>
        <v>5.40229411764706</v>
      </c>
      <c r="T11" s="7" t="n">
        <f aca="false">G11/(J11*0.85*K11)</f>
        <v>5.40229411764706</v>
      </c>
      <c r="U11" s="8" t="n">
        <v>6</v>
      </c>
      <c r="V11" s="8" t="n">
        <v>10</v>
      </c>
      <c r="W11" s="9" t="str">
        <f aca="false">IF(OR(M11="REVISAR",P11="REVISAR"),"SECCION INSUF.",IF(NOT(AND(M11&lt;&gt;"REVISAR",P11&lt;&gt;"REVISAR",IF(ISNUMBER(M11),N11*PI()*(O11/10)^2/4&gt;=M11,TRUE()),IF(ISNUMBER(P11),Q11*PI()*(R11/10)^2/4&gt;=P11,TRUE()),IF(ISNUMBER(M11),M11&lt;=0.0163*J11*K11,TRUE()),IF(ISNUMBER(P11),P11&lt;=0.0163*J11*K11,TRUE()))),"NO VERIFICA FLEX.",IF(NOT(F11&lt;=Datos_vigas!$B$9*(0.53*SQRT(Datos_vigas!$B$5)*J11*K11+2*PI()*(U11/10)^2/4*Datos_vigas!$B$6*K11/V11)),"NO VERIF. CORTE","VERIFICA")))</f>
        <v>VERIFICA</v>
      </c>
      <c r="X11" s="8"/>
      <c r="Y11" s="8" t="n">
        <v>3.15</v>
      </c>
      <c r="Z11" s="8" t="n">
        <v>4</v>
      </c>
    </row>
    <row r="12" customFormat="false" ht="69.75" hidden="false" customHeight="true" outlineLevel="0" collapsed="false">
      <c r="A12" s="19" t="s">
        <v>281</v>
      </c>
      <c r="B12" s="7" t="n">
        <v>2.26</v>
      </c>
      <c r="C12" s="8" t="s">
        <v>188</v>
      </c>
      <c r="D12" s="29" t="n">
        <f aca="false">1.2*(Datos_vigas!$B$7*J12*L12/10000+Datos_vigas!$B$16*Y12)</f>
        <v>1053</v>
      </c>
      <c r="E12" s="8"/>
      <c r="F12" s="29" t="n">
        <f aca="false">VLOOKUP(C12,Datos_vigas!$A$19:$E$23,4,0)*D12*B12</f>
        <v>1189.89</v>
      </c>
      <c r="G12" s="29" t="n">
        <f aca="false">F12</f>
        <v>1189.89</v>
      </c>
      <c r="H12" s="29" t="n">
        <f aca="false">VLOOKUP(C12,Datos_vigas!$A$19:$E$23,2,0)*D12*B12^2</f>
        <v>672.28785</v>
      </c>
      <c r="I12" s="29" t="str">
        <f aca="false">IF(VLOOKUP(C12,Datos_vigas!$A$19:$E$23,3,0)=0,"---",VLOOKUP(C12,Datos_vigas!$A$19:$E$23,3,0)*D12*B12^2)</f>
        <v>---</v>
      </c>
      <c r="J12" s="8" t="n">
        <v>15</v>
      </c>
      <c r="K12" s="8" t="n">
        <f aca="false">L12-Z12</f>
        <v>21</v>
      </c>
      <c r="L12" s="8" t="n">
        <v>25</v>
      </c>
      <c r="M12" s="7" t="n">
        <f aca="false">IF(NOT(ISNUMBER(H12)),"---",IF(H12&lt;=0,"---",IF(H12*100/(Datos_vigas!$B$8*J12*K12^2*Datos_vigas!$B$5)&gt;=0.5,"REVISAR",MAX((1-SQRT(1-2*H12*100/(Datos_vigas!$B$8*J12*K12^2*Datos_vigas!$B$5)))*J12*K12*Datos_vigas!$B$5/Datos_vigas!$B$6,0.0033*J12*K12))))</f>
        <v>1.0395</v>
      </c>
      <c r="N12" s="8" t="n">
        <v>3</v>
      </c>
      <c r="O12" s="8" t="n">
        <v>8</v>
      </c>
      <c r="P12" s="7" t="str">
        <f aca="false">IF(NOT(ISNUMBER(I12)),"---",IF(I12&lt;=0,"---",IF(I12*100/(Datos_vigas!$B$8*J12*K12^2*Datos_vigas!$B$5)&gt;=0.5,"REVISAR",MAX((1-SQRT(1-2*I12*100/(Datos_vigas!$B$8*J12*K12^2*Datos_vigas!$B$5)))*J12*K12*Datos_vigas!$B$5/Datos_vigas!$B$6,0.0033*J12*K12))))</f>
        <v>---</v>
      </c>
      <c r="Q12" s="8" t="s">
        <v>186</v>
      </c>
      <c r="R12" s="8" t="s">
        <v>186</v>
      </c>
      <c r="S12" s="7" t="n">
        <f aca="false">F12/(J12*0.85*K12)</f>
        <v>4.44403361344538</v>
      </c>
      <c r="T12" s="7" t="n">
        <f aca="false">G12/(J12*0.85*K12)</f>
        <v>4.44403361344538</v>
      </c>
      <c r="U12" s="8" t="n">
        <v>6</v>
      </c>
      <c r="V12" s="8" t="n">
        <v>10</v>
      </c>
      <c r="W12" s="9" t="str">
        <f aca="false">IF(OR(M12="REVISAR",P12="REVISAR"),"SECCION INSUF.",IF(NOT(AND(M12&lt;&gt;"REVISAR",P12&lt;&gt;"REVISAR",IF(ISNUMBER(M12),N12*PI()*(O12/10)^2/4&gt;=M12,TRUE()),IF(ISNUMBER(P12),Q12*PI()*(R12/10)^2/4&gt;=P12,TRUE()),IF(ISNUMBER(M12),M12&lt;=0.0163*J12*K12,TRUE()),IF(ISNUMBER(P12),P12&lt;=0.0163*J12*K12,TRUE()))),"NO VERIFICA FLEX.",IF(NOT(F12&lt;=Datos_vigas!$B$9*(0.53*SQRT(Datos_vigas!$B$5)*J12*K12+2*PI()*(U12/10)^2/4*Datos_vigas!$B$6*K12/V12)),"NO VERIF. CORTE","VERIFICA")))</f>
        <v>VERIFICA</v>
      </c>
      <c r="X12" s="8"/>
      <c r="Y12" s="8" t="n">
        <v>3.15</v>
      </c>
      <c r="Z12" s="8" t="n">
        <v>4</v>
      </c>
    </row>
    <row r="13" customFormat="false" ht="69.75" hidden="false" customHeight="true" outlineLevel="0" collapsed="false">
      <c r="A13" s="19" t="s">
        <v>282</v>
      </c>
      <c r="B13" s="7" t="n">
        <v>0.23</v>
      </c>
      <c r="C13" s="8" t="s">
        <v>165</v>
      </c>
      <c r="D13" s="29" t="n">
        <f aca="false">1.2*(Datos_vigas!$B$7*J13*L13/10000+Datos_vigas!$B$16*Y13)</f>
        <v>1053</v>
      </c>
      <c r="E13" s="8"/>
      <c r="F13" s="29" t="n">
        <f aca="false">VLOOKUP(C13,Datos_vigas!$A$19:$E$23,4,0)*D13*B13</f>
        <v>139.25925</v>
      </c>
      <c r="G13" s="29" t="n">
        <f aca="false">F13</f>
        <v>139.25925</v>
      </c>
      <c r="H13" s="29" t="n">
        <f aca="false">VLOOKUP(C13,Datos_vigas!$A$19:$E$23,2,0)*D13*B13^2</f>
        <v>3.978915291</v>
      </c>
      <c r="I13" s="29" t="n">
        <f aca="false">IF(VLOOKUP(C13,Datos_vigas!$A$19:$E$23,3,0)=0,"---",VLOOKUP(C13,Datos_vigas!$A$19:$E$23,3,0)*D13*B13^2)</f>
        <v>5.57037</v>
      </c>
      <c r="J13" s="8" t="n">
        <v>15</v>
      </c>
      <c r="K13" s="8" t="n">
        <f aca="false">L13-Z13</f>
        <v>21</v>
      </c>
      <c r="L13" s="8" t="n">
        <v>25</v>
      </c>
      <c r="M13" s="7" t="n">
        <f aca="false">IF(NOT(ISNUMBER(H13)),"---",IF(H13&lt;=0,"---",IF(H13*100/(Datos_vigas!$B$8*J13*K13^2*Datos_vigas!$B$5)&gt;=0.5,"REVISAR",MAX((1-SQRT(1-2*H13*100/(Datos_vigas!$B$8*J13*K13^2*Datos_vigas!$B$5)))*J13*K13*Datos_vigas!$B$5/Datos_vigas!$B$6,0.0033*J13*K13))))</f>
        <v>1.0395</v>
      </c>
      <c r="N13" s="8" t="n">
        <v>3</v>
      </c>
      <c r="O13" s="8" t="n">
        <v>8</v>
      </c>
      <c r="P13" s="7" t="n">
        <f aca="false">IF(NOT(ISNUMBER(I13)),"---",IF(I13&lt;=0,"---",IF(I13*100/(Datos_vigas!$B$8*J13*K13^2*Datos_vigas!$B$5)&gt;=0.5,"REVISAR",MAX((1-SQRT(1-2*I13*100/(Datos_vigas!$B$8*J13*K13^2*Datos_vigas!$B$5)))*J13*K13*Datos_vigas!$B$5/Datos_vigas!$B$6,0.0033*J13*K13))))</f>
        <v>1.0395</v>
      </c>
      <c r="Q13" s="8" t="n">
        <v>3</v>
      </c>
      <c r="R13" s="8" t="n">
        <v>8</v>
      </c>
      <c r="S13" s="7" t="n">
        <f aca="false">F13/(J13*0.85*K13)</f>
        <v>0.520109243697479</v>
      </c>
      <c r="T13" s="7" t="n">
        <f aca="false">G13/(J13*0.85*K13)</f>
        <v>0.520109243697479</v>
      </c>
      <c r="U13" s="8" t="n">
        <v>6</v>
      </c>
      <c r="V13" s="8" t="n">
        <v>10</v>
      </c>
      <c r="W13" s="9" t="str">
        <f aca="false">IF(OR(M13="REVISAR",P13="REVISAR"),"SECCION INSUF.",IF(NOT(AND(M13&lt;&gt;"REVISAR",P13&lt;&gt;"REVISAR",IF(ISNUMBER(M13),N13*PI()*(O13/10)^2/4&gt;=M13,TRUE()),IF(ISNUMBER(P13),Q13*PI()*(R13/10)^2/4&gt;=P13,TRUE()),IF(ISNUMBER(M13),M13&lt;=0.0163*J13*K13,TRUE()),IF(ISNUMBER(P13),P13&lt;=0.0163*J13*K13,TRUE()))),"NO VERIFICA FLEX.",IF(NOT(F13&lt;=Datos_vigas!$B$9*(0.53*SQRT(Datos_vigas!$B$5)*J13*K13+2*PI()*(U13/10)^2/4*Datos_vigas!$B$6*K13/V13)),"NO VERIF. CORTE","VERIFICA")))</f>
        <v>VERIFICA</v>
      </c>
      <c r="X13" s="8"/>
      <c r="Y13" s="8" t="n">
        <v>3.15</v>
      </c>
      <c r="Z13" s="8" t="n">
        <v>4</v>
      </c>
    </row>
    <row r="14" customFormat="false" ht="69.75" hidden="false" customHeight="true" outlineLevel="0" collapsed="false">
      <c r="A14" s="19" t="s">
        <v>283</v>
      </c>
      <c r="B14" s="7" t="n">
        <v>1.83</v>
      </c>
      <c r="C14" s="8" t="s">
        <v>165</v>
      </c>
      <c r="D14" s="29" t="n">
        <f aca="false">1.2*(Datos_vigas!$B$7*J14*L14/10000+Datos_vigas!$B$16*Y14)</f>
        <v>1089</v>
      </c>
      <c r="E14" s="8"/>
      <c r="F14" s="29" t="n">
        <f aca="false">VLOOKUP(C14,Datos_vigas!$A$19:$E$23,4,0)*D14*B14</f>
        <v>1145.90025</v>
      </c>
      <c r="G14" s="29" t="n">
        <f aca="false">F14</f>
        <v>1145.90025</v>
      </c>
      <c r="H14" s="29" t="n">
        <f aca="false">VLOOKUP(C14,Datos_vigas!$A$19:$E$23,2,0)*D14*B14^2</f>
        <v>260.501788503</v>
      </c>
      <c r="I14" s="29" t="n">
        <f aca="false">IF(VLOOKUP(C14,Datos_vigas!$A$19:$E$23,3,0)=0,"---",VLOOKUP(C14,Datos_vigas!$A$19:$E$23,3,0)*D14*B14^2)</f>
        <v>364.69521</v>
      </c>
      <c r="J14" s="8" t="n">
        <v>20</v>
      </c>
      <c r="K14" s="8" t="n">
        <f aca="false">L14-Z14</f>
        <v>21</v>
      </c>
      <c r="L14" s="8" t="n">
        <v>25</v>
      </c>
      <c r="M14" s="7" t="n">
        <f aca="false">IF(NOT(ISNUMBER(H14)),"---",IF(H14&lt;=0,"---",IF(H14*100/(Datos_vigas!$B$8*J14*K14^2*Datos_vigas!$B$5)&gt;=0.5,"REVISAR",MAX((1-SQRT(1-2*H14*100/(Datos_vigas!$B$8*J14*K14^2*Datos_vigas!$B$5)))*J14*K14*Datos_vigas!$B$5/Datos_vigas!$B$6,0.0033*J14*K14))))</f>
        <v>1.386</v>
      </c>
      <c r="N14" s="8" t="n">
        <v>5</v>
      </c>
      <c r="O14" s="8" t="n">
        <v>6</v>
      </c>
      <c r="P14" s="7" t="n">
        <f aca="false">IF(NOT(ISNUMBER(I14)),"---",IF(I14&lt;=0,"---",IF(I14*100/(Datos_vigas!$B$8*J14*K14^2*Datos_vigas!$B$5)&gt;=0.5,"REVISAR",MAX((1-SQRT(1-2*I14*100/(Datos_vigas!$B$8*J14*K14^2*Datos_vigas!$B$5)))*J14*K14*Datos_vigas!$B$5/Datos_vigas!$B$6,0.0033*J14*K14))))</f>
        <v>1.386</v>
      </c>
      <c r="Q14" s="8" t="n">
        <v>5</v>
      </c>
      <c r="R14" s="8" t="n">
        <v>6</v>
      </c>
      <c r="S14" s="7" t="n">
        <f aca="false">F14/(J14*0.85*K14)</f>
        <v>3.20980462184874</v>
      </c>
      <c r="T14" s="7" t="n">
        <f aca="false">G14/(J14*0.85*K14)</f>
        <v>3.20980462184874</v>
      </c>
      <c r="U14" s="8" t="n">
        <v>6</v>
      </c>
      <c r="V14" s="8" t="n">
        <v>10</v>
      </c>
      <c r="W14" s="9" t="str">
        <f aca="false">IF(OR(M14="REVISAR",P14="REVISAR"),"SECCION INSUF.",IF(NOT(AND(M14&lt;&gt;"REVISAR",P14&lt;&gt;"REVISAR",IF(ISNUMBER(M14),N14*PI()*(O14/10)^2/4&gt;=M14,TRUE()),IF(ISNUMBER(P14),Q14*PI()*(R14/10)^2/4&gt;=P14,TRUE()),IF(ISNUMBER(M14),M14&lt;=0.0163*J14*K14,TRUE()),IF(ISNUMBER(P14),P14&lt;=0.0163*J14*K14,TRUE()))),"NO VERIFICA FLEX.",IF(NOT(F14&lt;=Datos_vigas!$B$9*(0.53*SQRT(Datos_vigas!$B$5)*J14*K14+2*PI()*(U14/10)^2/4*Datos_vigas!$B$6*K14/V14)),"NO VERIF. CORTE","VERIFICA")))</f>
        <v>VERIFICA</v>
      </c>
      <c r="X14" s="8"/>
      <c r="Y14" s="8" t="n">
        <v>3.15</v>
      </c>
      <c r="Z14" s="8" t="n">
        <v>4</v>
      </c>
    </row>
    <row r="15" customFormat="false" ht="69.75" hidden="false" customHeight="true" outlineLevel="0" collapsed="false">
      <c r="A15" s="19" t="s">
        <v>284</v>
      </c>
      <c r="B15" s="7" t="n">
        <v>3.3</v>
      </c>
      <c r="C15" s="8" t="s">
        <v>165</v>
      </c>
      <c r="D15" s="29" t="n">
        <f aca="false">1.2*(Datos_vigas!$B$7*J15*L15/10000+Datos_vigas!$B$16*Y15)</f>
        <v>1089</v>
      </c>
      <c r="E15" s="8"/>
      <c r="F15" s="29" t="n">
        <f aca="false">VLOOKUP(C15,Datos_vigas!$A$19:$E$23,4,0)*D15*B15</f>
        <v>2066.3775</v>
      </c>
      <c r="G15" s="29" t="n">
        <f aca="false">F15</f>
        <v>2066.3775</v>
      </c>
      <c r="H15" s="29" t="n">
        <f aca="false">VLOOKUP(C15,Datos_vigas!$A$19:$E$23,2,0)*D15*B15^2</f>
        <v>847.1033703</v>
      </c>
      <c r="I15" s="29" t="n">
        <f aca="false">IF(VLOOKUP(C15,Datos_vigas!$A$19:$E$23,3,0)=0,"---",VLOOKUP(C15,Datos_vigas!$A$19:$E$23,3,0)*D15*B15^2)</f>
        <v>1185.921</v>
      </c>
      <c r="J15" s="8" t="n">
        <v>20</v>
      </c>
      <c r="K15" s="8" t="n">
        <f aca="false">L15-Z15</f>
        <v>21</v>
      </c>
      <c r="L15" s="8" t="n">
        <v>25</v>
      </c>
      <c r="M15" s="7" t="n">
        <f aca="false">IF(NOT(ISNUMBER(H15)),"---",IF(H15&lt;=0,"---",IF(H15*100/(Datos_vigas!$B$8*J15*K15^2*Datos_vigas!$B$5)&gt;=0.5,"REVISAR",MAX((1-SQRT(1-2*H15*100/(Datos_vigas!$B$8*J15*K15^2*Datos_vigas!$B$5)))*J15*K15*Datos_vigas!$B$5/Datos_vigas!$B$6,0.0033*J15*K15))))</f>
        <v>1.386</v>
      </c>
      <c r="N15" s="8" t="n">
        <v>5</v>
      </c>
      <c r="O15" s="8" t="n">
        <v>6</v>
      </c>
      <c r="P15" s="7" t="n">
        <f aca="false">IF(NOT(ISNUMBER(I15)),"---",IF(I15&lt;=0,"---",IF(I15*100/(Datos_vigas!$B$8*J15*K15^2*Datos_vigas!$B$5)&gt;=0.5,"REVISAR",MAX((1-SQRT(1-2*I15*100/(Datos_vigas!$B$8*J15*K15^2*Datos_vigas!$B$5)))*J15*K15*Datos_vigas!$B$5/Datos_vigas!$B$6,0.0033*J15*K15))))</f>
        <v>1.55127620786245</v>
      </c>
      <c r="Q15" s="8" t="n">
        <v>2</v>
      </c>
      <c r="R15" s="8" t="n">
        <v>10</v>
      </c>
      <c r="S15" s="7" t="n">
        <f aca="false">F15/(J15*0.85*K15)</f>
        <v>5.78817226890756</v>
      </c>
      <c r="T15" s="7" t="n">
        <f aca="false">G15/(J15*0.85*K15)</f>
        <v>5.78817226890756</v>
      </c>
      <c r="U15" s="8" t="n">
        <v>6</v>
      </c>
      <c r="V15" s="8" t="n">
        <v>10</v>
      </c>
      <c r="W15" s="9" t="str">
        <f aca="false">IF(OR(M15="REVISAR",P15="REVISAR"),"SECCION INSUF.",IF(NOT(AND(M15&lt;&gt;"REVISAR",P15&lt;&gt;"REVISAR",IF(ISNUMBER(M15),N15*PI()*(O15/10)^2/4&gt;=M15,TRUE()),IF(ISNUMBER(P15),Q15*PI()*(R15/10)^2/4&gt;=P15,TRUE()),IF(ISNUMBER(M15),M15&lt;=0.0163*J15*K15,TRUE()),IF(ISNUMBER(P15),P15&lt;=0.0163*J15*K15,TRUE()))),"NO VERIFICA FLEX.",IF(NOT(F15&lt;=Datos_vigas!$B$9*(0.53*SQRT(Datos_vigas!$B$5)*J15*K15+2*PI()*(U15/10)^2/4*Datos_vigas!$B$6*K15/V15)),"NO VERIF. CORTE","VERIFICA")))</f>
        <v>VERIFICA</v>
      </c>
      <c r="X15" s="8"/>
      <c r="Y15" s="8" t="n">
        <v>3.15</v>
      </c>
      <c r="Z15" s="8" t="n">
        <v>4</v>
      </c>
    </row>
    <row r="16" customFormat="false" ht="69.75" hidden="false" customHeight="true" outlineLevel="0" collapsed="false">
      <c r="A16" s="19" t="s">
        <v>285</v>
      </c>
      <c r="B16" s="7" t="n">
        <v>3.03</v>
      </c>
      <c r="C16" s="8" t="s">
        <v>165</v>
      </c>
      <c r="D16" s="29" t="n">
        <f aca="false">1.2*(Datos_vigas!$B$7*J16*L16/10000+Datos_vigas!$B$16*Y16)</f>
        <v>1103.4</v>
      </c>
      <c r="E16" s="8"/>
      <c r="F16" s="29" t="n">
        <f aca="false">VLOOKUP(C16,Datos_vigas!$A$19:$E$23,4,0)*D16*B16</f>
        <v>1922.39865</v>
      </c>
      <c r="G16" s="29" t="n">
        <f aca="false">F16</f>
        <v>1922.39865</v>
      </c>
      <c r="H16" s="29" t="n">
        <f aca="false">VLOOKUP(C16,Datos_vigas!$A$19:$E$23,2,0)*D16*B16^2</f>
        <v>723.6005474358</v>
      </c>
      <c r="I16" s="29" t="n">
        <f aca="false">IF(VLOOKUP(C16,Datos_vigas!$A$19:$E$23,3,0)=0,"---",VLOOKUP(C16,Datos_vigas!$A$19:$E$23,3,0)*D16*B16^2)</f>
        <v>1013.020506</v>
      </c>
      <c r="J16" s="8" t="n">
        <v>22</v>
      </c>
      <c r="K16" s="8" t="n">
        <f aca="false">L16-Z16</f>
        <v>21</v>
      </c>
      <c r="L16" s="8" t="n">
        <v>25</v>
      </c>
      <c r="M16" s="7" t="n">
        <f aca="false">IF(NOT(ISNUMBER(H16)),"---",IF(H16&lt;=0,"---",IF(H16*100/(Datos_vigas!$B$8*J16*K16^2*Datos_vigas!$B$5)&gt;=0.5,"REVISAR",MAX((1-SQRT(1-2*H16*100/(Datos_vigas!$B$8*J16*K16^2*Datos_vigas!$B$5)))*J16*K16*Datos_vigas!$B$5/Datos_vigas!$B$6,0.0033*J16*K16))))</f>
        <v>1.5246</v>
      </c>
      <c r="N16" s="8" t="n">
        <v>2</v>
      </c>
      <c r="O16" s="8" t="n">
        <v>10</v>
      </c>
      <c r="P16" s="7" t="n">
        <f aca="false">IF(NOT(ISNUMBER(I16)),"---",IF(I16&lt;=0,"---",IF(I16*100/(Datos_vigas!$B$8*J16*K16^2*Datos_vigas!$B$5)&gt;=0.5,"REVISAR",MAX((1-SQRT(1-2*I16*100/(Datos_vigas!$B$8*J16*K16^2*Datos_vigas!$B$5)))*J16*K16*Datos_vigas!$B$5/Datos_vigas!$B$6,0.0033*J16*K16))))</f>
        <v>1.5246</v>
      </c>
      <c r="Q16" s="8" t="n">
        <v>2</v>
      </c>
      <c r="R16" s="8" t="n">
        <v>10</v>
      </c>
      <c r="S16" s="7" t="n">
        <f aca="false">F16/(J16*0.85*K16)</f>
        <v>4.89533651642475</v>
      </c>
      <c r="T16" s="7" t="n">
        <f aca="false">G16/(J16*0.85*K16)</f>
        <v>4.89533651642475</v>
      </c>
      <c r="U16" s="8" t="n">
        <v>6</v>
      </c>
      <c r="V16" s="8" t="n">
        <v>10</v>
      </c>
      <c r="W16" s="9" t="str">
        <f aca="false">IF(OR(M16="REVISAR",P16="REVISAR"),"SECCION INSUF.",IF(NOT(AND(M16&lt;&gt;"REVISAR",P16&lt;&gt;"REVISAR",IF(ISNUMBER(M16),N16*PI()*(O16/10)^2/4&gt;=M16,TRUE()),IF(ISNUMBER(P16),Q16*PI()*(R16/10)^2/4&gt;=P16,TRUE()),IF(ISNUMBER(M16),M16&lt;=0.0163*J16*K16,TRUE()),IF(ISNUMBER(P16),P16&lt;=0.0163*J16*K16,TRUE()))),"NO VERIFICA FLEX.",IF(NOT(F16&lt;=Datos_vigas!$B$9*(0.53*SQRT(Datos_vigas!$B$5)*J16*K16+2*PI()*(U16/10)^2/4*Datos_vigas!$B$6*K16/V16)),"NO VERIF. CORTE","VERIFICA")))</f>
        <v>VERIFICA</v>
      </c>
      <c r="X16" s="8"/>
      <c r="Y16" s="8" t="n">
        <v>3.15</v>
      </c>
      <c r="Z16" s="8" t="n">
        <v>4</v>
      </c>
    </row>
    <row r="17" customFormat="false" ht="69.75" hidden="false" customHeight="true" outlineLevel="0" collapsed="false">
      <c r="A17" s="19" t="s">
        <v>286</v>
      </c>
      <c r="B17" s="7" t="n">
        <v>3.5</v>
      </c>
      <c r="C17" s="8" t="s">
        <v>188</v>
      </c>
      <c r="D17" s="29" t="n">
        <f aca="false">1.2*(Datos_vigas!$B$7*J17*L17/10000+Datos_vigas!$B$16*Y17)</f>
        <v>1089</v>
      </c>
      <c r="E17" s="8"/>
      <c r="F17" s="29" t="n">
        <f aca="false">VLOOKUP(C17,Datos_vigas!$A$19:$E$23,4,0)*D17*B17</f>
        <v>1905.75</v>
      </c>
      <c r="G17" s="29" t="n">
        <f aca="false">F17</f>
        <v>1905.75</v>
      </c>
      <c r="H17" s="29" t="n">
        <f aca="false">VLOOKUP(C17,Datos_vigas!$A$19:$E$23,2,0)*D17*B17^2</f>
        <v>1667.53125</v>
      </c>
      <c r="I17" s="29" t="str">
        <f aca="false">IF(VLOOKUP(C17,Datos_vigas!$A$19:$E$23,3,0)=0,"---",VLOOKUP(C17,Datos_vigas!$A$19:$E$23,3,0)*D17*B17^2)</f>
        <v>---</v>
      </c>
      <c r="J17" s="8" t="n">
        <v>20</v>
      </c>
      <c r="K17" s="8" t="n">
        <f aca="false">L17-Z17</f>
        <v>21</v>
      </c>
      <c r="L17" s="8" t="n">
        <v>25</v>
      </c>
      <c r="M17" s="7" t="n">
        <f aca="false">IF(NOT(ISNUMBER(H17)),"---",IF(H17&lt;=0,"---",IF(H17*100/(Datos_vigas!$B$8*J17*K17^2*Datos_vigas!$B$5)&gt;=0.5,"REVISAR",MAX((1-SQRT(1-2*H17*100/(Datos_vigas!$B$8*J17*K17^2*Datos_vigas!$B$5)))*J17*K17*Datos_vigas!$B$5/Datos_vigas!$B$6,0.0033*J17*K17))))</f>
        <v>2.2178054175415</v>
      </c>
      <c r="N17" s="8" t="n">
        <v>2</v>
      </c>
      <c r="O17" s="8" t="n">
        <v>12</v>
      </c>
      <c r="P17" s="7" t="str">
        <f aca="false">IF(NOT(ISNUMBER(I17)),"---",IF(I17&lt;=0,"---",IF(I17*100/(Datos_vigas!$B$8*J17*K17^2*Datos_vigas!$B$5)&gt;=0.5,"REVISAR",MAX((1-SQRT(1-2*I17*100/(Datos_vigas!$B$8*J17*K17^2*Datos_vigas!$B$5)))*J17*K17*Datos_vigas!$B$5/Datos_vigas!$B$6,0.0033*J17*K17))))</f>
        <v>---</v>
      </c>
      <c r="Q17" s="8" t="s">
        <v>186</v>
      </c>
      <c r="R17" s="8" t="s">
        <v>186</v>
      </c>
      <c r="S17" s="7" t="n">
        <f aca="false">F17/(J17*0.85*K17)</f>
        <v>5.33823529411765</v>
      </c>
      <c r="T17" s="7" t="n">
        <f aca="false">G17/(J17*0.85*K17)</f>
        <v>5.33823529411765</v>
      </c>
      <c r="U17" s="8" t="n">
        <v>6</v>
      </c>
      <c r="V17" s="8" t="n">
        <v>10</v>
      </c>
      <c r="W17" s="9" t="str">
        <f aca="false">IF(OR(M17="REVISAR",P17="REVISAR"),"SECCION INSUF.",IF(NOT(AND(M17&lt;&gt;"REVISAR",P17&lt;&gt;"REVISAR",IF(ISNUMBER(M17),N17*PI()*(O17/10)^2/4&gt;=M17,TRUE()),IF(ISNUMBER(P17),Q17*PI()*(R17/10)^2/4&gt;=P17,TRUE()),IF(ISNUMBER(M17),M17&lt;=0.0163*J17*K17,TRUE()),IF(ISNUMBER(P17),P17&lt;=0.0163*J17*K17,TRUE()))),"NO VERIFICA FLEX.",IF(NOT(F17&lt;=Datos_vigas!$B$9*(0.53*SQRT(Datos_vigas!$B$5)*J17*K17+2*PI()*(U17/10)^2/4*Datos_vigas!$B$6*K17/V17)),"NO VERIF. CORTE","VERIFICA")))</f>
        <v>VERIFICA</v>
      </c>
      <c r="X17" s="8"/>
      <c r="Y17" s="8" t="n">
        <v>3.15</v>
      </c>
      <c r="Z17" s="8" t="n">
        <v>4</v>
      </c>
    </row>
    <row r="18" customFormat="false" ht="69.75" hidden="false" customHeight="true" outlineLevel="0" collapsed="false">
      <c r="A18" s="19" t="s">
        <v>287</v>
      </c>
      <c r="B18" s="7" t="n">
        <v>2.04</v>
      </c>
      <c r="C18" s="8" t="s">
        <v>188</v>
      </c>
      <c r="D18" s="29" t="n">
        <f aca="false">1.2*(Datos_vigas!$B$7*J18*L18/10000+Datos_vigas!$B$16*Y18)</f>
        <v>1197</v>
      </c>
      <c r="E18" s="8"/>
      <c r="F18" s="29" t="n">
        <f aca="false">VLOOKUP(C18,Datos_vigas!$A$19:$E$23,4,0)*D18*B18</f>
        <v>1220.94</v>
      </c>
      <c r="G18" s="29" t="n">
        <f aca="false">F18</f>
        <v>1220.94</v>
      </c>
      <c r="H18" s="29" t="n">
        <f aca="false">VLOOKUP(C18,Datos_vigas!$A$19:$E$23,2,0)*D18*B18^2</f>
        <v>622.6794</v>
      </c>
      <c r="I18" s="29" t="str">
        <f aca="false">IF(VLOOKUP(C18,Datos_vigas!$A$19:$E$23,3,0)=0,"---",VLOOKUP(C18,Datos_vigas!$A$19:$E$23,3,0)*D18*B18^2)</f>
        <v>---</v>
      </c>
      <c r="J18" s="8" t="n">
        <v>25</v>
      </c>
      <c r="K18" s="8" t="n">
        <f aca="false">L18-Z18</f>
        <v>31</v>
      </c>
      <c r="L18" s="8" t="n">
        <v>35</v>
      </c>
      <c r="M18" s="7" t="n">
        <f aca="false">IF(NOT(ISNUMBER(H18)),"---",IF(H18&lt;=0,"---",IF(H18*100/(Datos_vigas!$B$8*J18*K18^2*Datos_vigas!$B$5)&gt;=0.5,"REVISAR",MAX((1-SQRT(1-2*H18*100/(Datos_vigas!$B$8*J18*K18^2*Datos_vigas!$B$5)))*J18*K18*Datos_vigas!$B$5/Datos_vigas!$B$6,0.0033*J18*K18))))</f>
        <v>2.5575</v>
      </c>
      <c r="N18" s="8" t="n">
        <v>6</v>
      </c>
      <c r="O18" s="8" t="n">
        <v>8</v>
      </c>
      <c r="P18" s="7" t="str">
        <f aca="false">IF(NOT(ISNUMBER(I18)),"---",IF(I18&lt;=0,"---",IF(I18*100/(Datos_vigas!$B$8*J18*K18^2*Datos_vigas!$B$5)&gt;=0.5,"REVISAR",MAX((1-SQRT(1-2*I18*100/(Datos_vigas!$B$8*J18*K18^2*Datos_vigas!$B$5)))*J18*K18*Datos_vigas!$B$5/Datos_vigas!$B$6,0.0033*J18*K18))))</f>
        <v>---</v>
      </c>
      <c r="Q18" s="8" t="s">
        <v>186</v>
      </c>
      <c r="R18" s="8" t="s">
        <v>186</v>
      </c>
      <c r="S18" s="7" t="n">
        <f aca="false">F18/(J18*0.85*K18)</f>
        <v>1.85341935483871</v>
      </c>
      <c r="T18" s="7" t="n">
        <f aca="false">G18/(J18*0.85*K18)</f>
        <v>1.85341935483871</v>
      </c>
      <c r="U18" s="8" t="n">
        <v>6</v>
      </c>
      <c r="V18" s="8" t="n">
        <v>15</v>
      </c>
      <c r="W18" s="9" t="str">
        <f aca="false">IF(OR(M18="REVISAR",P18="REVISAR"),"SECCION INSUF.",IF(NOT(AND(M18&lt;&gt;"REVISAR",P18&lt;&gt;"REVISAR",IF(ISNUMBER(M18),N18*PI()*(O18/10)^2/4&gt;=M18,TRUE()),IF(ISNUMBER(P18),Q18*PI()*(R18/10)^2/4&gt;=P18,TRUE()),IF(ISNUMBER(M18),M18&lt;=0.0163*J18*K18,TRUE()),IF(ISNUMBER(P18),P18&lt;=0.0163*J18*K18,TRUE()))),"NO VERIFICA FLEX.",IF(NOT(F18&lt;=Datos_vigas!$B$9*(0.53*SQRT(Datos_vigas!$B$5)*J18*K18+2*PI()*(U18/10)^2/4*Datos_vigas!$B$6*K18/V18)),"NO VERIF. CORTE","VERIFICA")))</f>
        <v>VERIFICA</v>
      </c>
      <c r="X18" s="10" t="s">
        <v>288</v>
      </c>
      <c r="Y18" s="8" t="n">
        <v>3.15</v>
      </c>
      <c r="Z18" s="8" t="n">
        <v>4</v>
      </c>
    </row>
    <row r="19" customFormat="false" ht="69.75" hidden="false" customHeight="true" outlineLevel="0" collapsed="false">
      <c r="A19" s="19" t="s">
        <v>289</v>
      </c>
      <c r="B19" s="7" t="n">
        <v>0.7</v>
      </c>
      <c r="C19" s="8" t="s">
        <v>165</v>
      </c>
      <c r="D19" s="29" t="n">
        <f aca="false">1.2*(Datos_vigas!$B$7*J19*L19/10000+Datos_vigas!$B$16*Y19)</f>
        <v>1197</v>
      </c>
      <c r="E19" s="8"/>
      <c r="F19" s="29" t="n">
        <f aca="false">VLOOKUP(C19,Datos_vigas!$A$19:$E$23,4,0)*D19*B19</f>
        <v>481.7925</v>
      </c>
      <c r="G19" s="29" t="n">
        <f aca="false">F19</f>
        <v>481.7925</v>
      </c>
      <c r="H19" s="29" t="n">
        <f aca="false">VLOOKUP(C19,Datos_vigas!$A$19:$E$23,2,0)*D19*B19^2</f>
        <v>41.8958379</v>
      </c>
      <c r="I19" s="29" t="n">
        <f aca="false">IF(VLOOKUP(C19,Datos_vigas!$A$19:$E$23,3,0)=0,"---",VLOOKUP(C19,Datos_vigas!$A$19:$E$23,3,0)*D19*B19^2)</f>
        <v>58.653</v>
      </c>
      <c r="J19" s="8" t="n">
        <v>25</v>
      </c>
      <c r="K19" s="8" t="n">
        <f aca="false">L19-Z19</f>
        <v>31</v>
      </c>
      <c r="L19" s="8" t="n">
        <v>35</v>
      </c>
      <c r="M19" s="7" t="n">
        <f aca="false">IF(NOT(ISNUMBER(H19)),"---",IF(H19&lt;=0,"---",IF(H19*100/(Datos_vigas!$B$8*J19*K19^2*Datos_vigas!$B$5)&gt;=0.5,"REVISAR",MAX((1-SQRT(1-2*H19*100/(Datos_vigas!$B$8*J19*K19^2*Datos_vigas!$B$5)))*J19*K19*Datos_vigas!$B$5/Datos_vigas!$B$6,0.0033*J19*K19))))</f>
        <v>2.5575</v>
      </c>
      <c r="N19" s="8" t="n">
        <v>6</v>
      </c>
      <c r="O19" s="8" t="n">
        <v>8</v>
      </c>
      <c r="P19" s="7" t="n">
        <f aca="false">IF(NOT(ISNUMBER(I19)),"---",IF(I19&lt;=0,"---",IF(I19*100/(Datos_vigas!$B$8*J19*K19^2*Datos_vigas!$B$5)&gt;=0.5,"REVISAR",MAX((1-SQRT(1-2*I19*100/(Datos_vigas!$B$8*J19*K19^2*Datos_vigas!$B$5)))*J19*K19*Datos_vigas!$B$5/Datos_vigas!$B$6,0.0033*J19*K19))))</f>
        <v>2.5575</v>
      </c>
      <c r="Q19" s="8" t="n">
        <v>6</v>
      </c>
      <c r="R19" s="8" t="n">
        <v>8</v>
      </c>
      <c r="S19" s="7" t="n">
        <f aca="false">F19/(J19*0.85*K19)</f>
        <v>0.731373814041746</v>
      </c>
      <c r="T19" s="7" t="n">
        <f aca="false">G19/(J19*0.85*K19)</f>
        <v>0.731373814041746</v>
      </c>
      <c r="U19" s="8" t="n">
        <v>6</v>
      </c>
      <c r="V19" s="8" t="n">
        <v>15</v>
      </c>
      <c r="W19" s="9" t="str">
        <f aca="false">IF(OR(M19="REVISAR",P19="REVISAR"),"SECCION INSUF.",IF(NOT(AND(M19&lt;&gt;"REVISAR",P19&lt;&gt;"REVISAR",IF(ISNUMBER(M19),N19*PI()*(O19/10)^2/4&gt;=M19,TRUE()),IF(ISNUMBER(P19),Q19*PI()*(R19/10)^2/4&gt;=P19,TRUE()),IF(ISNUMBER(M19),M19&lt;=0.0163*J19*K19,TRUE()),IF(ISNUMBER(P19),P19&lt;=0.0163*J19*K19,TRUE()))),"NO VERIFICA FLEX.",IF(NOT(F19&lt;=Datos_vigas!$B$9*(0.53*SQRT(Datos_vigas!$B$5)*J19*K19+2*PI()*(U19/10)^2/4*Datos_vigas!$B$6*K19/V19)),"NO VERIF. CORTE","VERIFICA")))</f>
        <v>VERIFICA</v>
      </c>
      <c r="X19" s="8"/>
      <c r="Y19" s="8" t="n">
        <v>3.15</v>
      </c>
      <c r="Z19" s="8" t="n">
        <v>4</v>
      </c>
    </row>
    <row r="20" customFormat="false" ht="69.75" hidden="false" customHeight="true" outlineLevel="0" collapsed="false">
      <c r="A20" s="19" t="s">
        <v>290</v>
      </c>
      <c r="B20" s="7" t="n">
        <v>0.7</v>
      </c>
      <c r="C20" s="8" t="s">
        <v>165</v>
      </c>
      <c r="D20" s="29" t="n">
        <f aca="false">1.2*(Datos_vigas!$B$7*J20*L20/10000+Datos_vigas!$B$16*Y20)</f>
        <v>1197</v>
      </c>
      <c r="E20" s="8"/>
      <c r="F20" s="29" t="n">
        <f aca="false">VLOOKUP(C20,Datos_vigas!$A$19:$E$23,4,0)*D20*B20</f>
        <v>481.7925</v>
      </c>
      <c r="G20" s="29" t="n">
        <f aca="false">F20</f>
        <v>481.7925</v>
      </c>
      <c r="H20" s="29" t="n">
        <f aca="false">VLOOKUP(C20,Datos_vigas!$A$19:$E$23,2,0)*D20*B20^2</f>
        <v>41.8958379</v>
      </c>
      <c r="I20" s="29" t="n">
        <f aca="false">IF(VLOOKUP(C20,Datos_vigas!$A$19:$E$23,3,0)=0,"---",VLOOKUP(C20,Datos_vigas!$A$19:$E$23,3,0)*D20*B20^2)</f>
        <v>58.653</v>
      </c>
      <c r="J20" s="8" t="n">
        <v>25</v>
      </c>
      <c r="K20" s="8" t="n">
        <f aca="false">L20-Z20</f>
        <v>31</v>
      </c>
      <c r="L20" s="8" t="n">
        <v>35</v>
      </c>
      <c r="M20" s="7" t="n">
        <f aca="false">IF(NOT(ISNUMBER(H20)),"---",IF(H20&lt;=0,"---",IF(H20*100/(Datos_vigas!$B$8*J20*K20^2*Datos_vigas!$B$5)&gt;=0.5,"REVISAR",MAX((1-SQRT(1-2*H20*100/(Datos_vigas!$B$8*J20*K20^2*Datos_vigas!$B$5)))*J20*K20*Datos_vigas!$B$5/Datos_vigas!$B$6,0.0033*J20*K20))))</f>
        <v>2.5575</v>
      </c>
      <c r="N20" s="8" t="n">
        <v>6</v>
      </c>
      <c r="O20" s="8" t="n">
        <v>8</v>
      </c>
      <c r="P20" s="7" t="n">
        <f aca="false">IF(NOT(ISNUMBER(I20)),"---",IF(I20&lt;=0,"---",IF(I20*100/(Datos_vigas!$B$8*J20*K20^2*Datos_vigas!$B$5)&gt;=0.5,"REVISAR",MAX((1-SQRT(1-2*I20*100/(Datos_vigas!$B$8*J20*K20^2*Datos_vigas!$B$5)))*J20*K20*Datos_vigas!$B$5/Datos_vigas!$B$6,0.0033*J20*K20))))</f>
        <v>2.5575</v>
      </c>
      <c r="Q20" s="8" t="n">
        <v>6</v>
      </c>
      <c r="R20" s="8" t="n">
        <v>8</v>
      </c>
      <c r="S20" s="7" t="n">
        <f aca="false">F20/(J20*0.85*K20)</f>
        <v>0.731373814041746</v>
      </c>
      <c r="T20" s="7" t="n">
        <f aca="false">G20/(J20*0.85*K20)</f>
        <v>0.731373814041746</v>
      </c>
      <c r="U20" s="8" t="n">
        <v>6</v>
      </c>
      <c r="V20" s="8" t="n">
        <v>15</v>
      </c>
      <c r="W20" s="9" t="str">
        <f aca="false">IF(OR(M20="REVISAR",P20="REVISAR"),"SECCION INSUF.",IF(NOT(AND(M20&lt;&gt;"REVISAR",P20&lt;&gt;"REVISAR",IF(ISNUMBER(M20),N20*PI()*(O20/10)^2/4&gt;=M20,TRUE()),IF(ISNUMBER(P20),Q20*PI()*(R20/10)^2/4&gt;=P20,TRUE()),IF(ISNUMBER(M20),M20&lt;=0.0163*J20*K20,TRUE()),IF(ISNUMBER(P20),P20&lt;=0.0163*J20*K20,TRUE()))),"NO VERIFICA FLEX.",IF(NOT(F20&lt;=Datos_vigas!$B$9*(0.53*SQRT(Datos_vigas!$B$5)*J20*K20+2*PI()*(U20/10)^2/4*Datos_vigas!$B$6*K20/V20)),"NO VERIF. CORTE","VERIFICA")))</f>
        <v>VERIFICA</v>
      </c>
      <c r="X20" s="8"/>
      <c r="Y20" s="8" t="n">
        <v>3.15</v>
      </c>
      <c r="Z20" s="8" t="n">
        <v>4</v>
      </c>
    </row>
    <row r="21" customFormat="false" ht="69.75" hidden="false" customHeight="true" outlineLevel="0" collapsed="false">
      <c r="A21" s="19" t="s">
        <v>291</v>
      </c>
      <c r="B21" s="7" t="n">
        <v>2.74</v>
      </c>
      <c r="C21" s="8" t="s">
        <v>165</v>
      </c>
      <c r="D21" s="29" t="n">
        <f aca="false">1.2*(Datos_vigas!$B$7*J21*L21/10000+Datos_vigas!$B$16*Y21)</f>
        <v>1146.6</v>
      </c>
      <c r="E21" s="8"/>
      <c r="F21" s="29" t="n">
        <f aca="false">VLOOKUP(C21,Datos_vigas!$A$19:$E$23,4,0)*D21*B21</f>
        <v>1806.4683</v>
      </c>
      <c r="G21" s="29" t="n">
        <f aca="false">F21</f>
        <v>1806.4683</v>
      </c>
      <c r="H21" s="29" t="n">
        <f aca="false">VLOOKUP(C21,Datos_vigas!$A$19:$E$23,2,0)*D21*B21^2</f>
        <v>614.8847374488</v>
      </c>
      <c r="I21" s="29" t="n">
        <f aca="false">IF(VLOOKUP(C21,Datos_vigas!$A$19:$E$23,3,0)=0,"---",VLOOKUP(C21,Datos_vigas!$A$19:$E$23,3,0)*D21*B21^2)</f>
        <v>860.821416</v>
      </c>
      <c r="J21" s="8" t="n">
        <v>20</v>
      </c>
      <c r="K21" s="8" t="n">
        <f aca="false">L21-Z21</f>
        <v>31</v>
      </c>
      <c r="L21" s="8" t="n">
        <v>35</v>
      </c>
      <c r="M21" s="7" t="n">
        <f aca="false">IF(NOT(ISNUMBER(H21)),"---",IF(H21&lt;=0,"---",IF(H21*100/(Datos_vigas!$B$8*J21*K21^2*Datos_vigas!$B$5)&gt;=0.5,"REVISAR",MAX((1-SQRT(1-2*H21*100/(Datos_vigas!$B$8*J21*K21^2*Datos_vigas!$B$5)))*J21*K21*Datos_vigas!$B$5/Datos_vigas!$B$6,0.0033*J21*K21))))</f>
        <v>2.046</v>
      </c>
      <c r="N21" s="8" t="n">
        <v>2</v>
      </c>
      <c r="O21" s="8" t="n">
        <v>12</v>
      </c>
      <c r="P21" s="7" t="n">
        <f aca="false">IF(NOT(ISNUMBER(I21)),"---",IF(I21&lt;=0,"---",IF(I21*100/(Datos_vigas!$B$8*J21*K21^2*Datos_vigas!$B$5)&gt;=0.5,"REVISAR",MAX((1-SQRT(1-2*I21*100/(Datos_vigas!$B$8*J21*K21^2*Datos_vigas!$B$5)))*J21*K21*Datos_vigas!$B$5/Datos_vigas!$B$6,0.0033*J21*K21))))</f>
        <v>2.046</v>
      </c>
      <c r="Q21" s="8" t="n">
        <v>2</v>
      </c>
      <c r="R21" s="8" t="n">
        <v>12</v>
      </c>
      <c r="S21" s="7" t="n">
        <f aca="false">F21/(J21*0.85*K21)</f>
        <v>3.42783358633776</v>
      </c>
      <c r="T21" s="7" t="n">
        <f aca="false">G21/(J21*0.85*K21)</f>
        <v>3.42783358633776</v>
      </c>
      <c r="U21" s="8" t="n">
        <v>6</v>
      </c>
      <c r="V21" s="8" t="n">
        <v>15</v>
      </c>
      <c r="W21" s="9" t="str">
        <f aca="false">IF(OR(M21="REVISAR",P21="REVISAR"),"SECCION INSUF.",IF(NOT(AND(M21&lt;&gt;"REVISAR",P21&lt;&gt;"REVISAR",IF(ISNUMBER(M21),N21*PI()*(O21/10)^2/4&gt;=M21,TRUE()),IF(ISNUMBER(P21),Q21*PI()*(R21/10)^2/4&gt;=P21,TRUE()),IF(ISNUMBER(M21),M21&lt;=0.0163*J21*K21,TRUE()),IF(ISNUMBER(P21),P21&lt;=0.0163*J21*K21,TRUE()))),"NO VERIFICA FLEX.",IF(NOT(F21&lt;=Datos_vigas!$B$9*(0.53*SQRT(Datos_vigas!$B$5)*J21*K21+2*PI()*(U21/10)^2/4*Datos_vigas!$B$6*K21/V21)),"NO VERIF. CORTE","VERIFICA")))</f>
        <v>VERIFICA</v>
      </c>
      <c r="X21" s="10" t="s">
        <v>292</v>
      </c>
      <c r="Y21" s="8" t="n">
        <v>3.15</v>
      </c>
      <c r="Z21" s="8" t="n">
        <v>4</v>
      </c>
    </row>
    <row r="22" customFormat="false" ht="69.75" hidden="false" customHeight="true" outlineLevel="0" collapsed="false">
      <c r="A22" s="19" t="s">
        <v>293</v>
      </c>
      <c r="B22" s="7" t="n">
        <v>2.36</v>
      </c>
      <c r="C22" s="8" t="s">
        <v>165</v>
      </c>
      <c r="D22" s="29" t="n">
        <f aca="false">1.2*(Datos_vigas!$B$7*J22*L22/10000+Datos_vigas!$B$16*Y22)</f>
        <v>1166.76</v>
      </c>
      <c r="E22" s="8"/>
      <c r="F22" s="29" t="n">
        <f aca="false">VLOOKUP(C22,Datos_vigas!$A$19:$E$23,4,0)*D22*B22</f>
        <v>1583.29332</v>
      </c>
      <c r="G22" s="29" t="n">
        <f aca="false">F22</f>
        <v>1583.29332</v>
      </c>
      <c r="H22" s="29" t="n">
        <f aca="false">VLOOKUP(C22,Datos_vigas!$A$19:$E$23,2,0)*D22*B22^2</f>
        <v>464.17974740928</v>
      </c>
      <c r="I22" s="29" t="n">
        <f aca="false">IF(VLOOKUP(C22,Datos_vigas!$A$19:$E$23,3,0)=0,"---",VLOOKUP(C22,Datos_vigas!$A$19:$E$23,3,0)*D22*B22^2)</f>
        <v>649.8386496</v>
      </c>
      <c r="J22" s="8" t="n">
        <v>22</v>
      </c>
      <c r="K22" s="8" t="n">
        <f aca="false">L22-Z22</f>
        <v>31</v>
      </c>
      <c r="L22" s="8" t="n">
        <v>35</v>
      </c>
      <c r="M22" s="7" t="n">
        <f aca="false">IF(NOT(ISNUMBER(H22)),"---",IF(H22&lt;=0,"---",IF(H22*100/(Datos_vigas!$B$8*J22*K22^2*Datos_vigas!$B$5)&gt;=0.5,"REVISAR",MAX((1-SQRT(1-2*H22*100/(Datos_vigas!$B$8*J22*K22^2*Datos_vigas!$B$5)))*J22*K22*Datos_vigas!$B$5/Datos_vigas!$B$6,0.0033*J22*K22))))</f>
        <v>2.2506</v>
      </c>
      <c r="N22" s="8" t="n">
        <v>2</v>
      </c>
      <c r="O22" s="8" t="n">
        <v>12</v>
      </c>
      <c r="P22" s="7" t="n">
        <f aca="false">IF(NOT(ISNUMBER(I22)),"---",IF(I22&lt;=0,"---",IF(I22*100/(Datos_vigas!$B$8*J22*K22^2*Datos_vigas!$B$5)&gt;=0.5,"REVISAR",MAX((1-SQRT(1-2*I22*100/(Datos_vigas!$B$8*J22*K22^2*Datos_vigas!$B$5)))*J22*K22*Datos_vigas!$B$5/Datos_vigas!$B$6,0.0033*J22*K22))))</f>
        <v>2.2506</v>
      </c>
      <c r="Q22" s="8" t="n">
        <v>2</v>
      </c>
      <c r="R22" s="8" t="n">
        <v>12</v>
      </c>
      <c r="S22" s="7" t="n">
        <f aca="false">F22/(J22*0.85*K22)</f>
        <v>2.73122877350354</v>
      </c>
      <c r="T22" s="7" t="n">
        <f aca="false">G22/(J22*0.85*K22)</f>
        <v>2.73122877350354</v>
      </c>
      <c r="U22" s="8" t="n">
        <v>6</v>
      </c>
      <c r="V22" s="8" t="n">
        <v>15</v>
      </c>
      <c r="W22" s="9" t="str">
        <f aca="false">IF(OR(M22="REVISAR",P22="REVISAR"),"SECCION INSUF.",IF(NOT(AND(M22&lt;&gt;"REVISAR",P22&lt;&gt;"REVISAR",IF(ISNUMBER(M22),N22*PI()*(O22/10)^2/4&gt;=M22,TRUE()),IF(ISNUMBER(P22),Q22*PI()*(R22/10)^2/4&gt;=P22,TRUE()),IF(ISNUMBER(M22),M22&lt;=0.0163*J22*K22,TRUE()),IF(ISNUMBER(P22),P22&lt;=0.0163*J22*K22,TRUE()))),"NO VERIFICA FLEX.",IF(NOT(F22&lt;=Datos_vigas!$B$9*(0.53*SQRT(Datos_vigas!$B$5)*J22*K22+2*PI()*(U22/10)^2/4*Datos_vigas!$B$6*K22/V22)),"NO VERIF. CORTE","VERIFICA")))</f>
        <v>VERIFICA</v>
      </c>
      <c r="X22" s="10" t="s">
        <v>294</v>
      </c>
      <c r="Y22" s="8" t="n">
        <v>3.15</v>
      </c>
      <c r="Z22" s="8" t="n">
        <v>4</v>
      </c>
    </row>
    <row r="23" customFormat="false" ht="69.75" hidden="false" customHeight="true" outlineLevel="0" collapsed="false">
      <c r="A23" s="19" t="s">
        <v>295</v>
      </c>
      <c r="B23" s="7" t="n">
        <v>5.1</v>
      </c>
      <c r="C23" s="8" t="s">
        <v>165</v>
      </c>
      <c r="D23" s="29" t="n">
        <f aca="false">1.2*(Datos_vigas!$B$7*J23*L23/10000+Datos_vigas!$B$16*Y23)</f>
        <v>1197</v>
      </c>
      <c r="E23" s="8"/>
      <c r="F23" s="29" t="n">
        <f aca="false">VLOOKUP(C23,Datos_vigas!$A$19:$E$23,4,0)*D23*B23</f>
        <v>3510.2025</v>
      </c>
      <c r="G23" s="29" t="n">
        <f aca="false">F23</f>
        <v>3510.2025</v>
      </c>
      <c r="H23" s="29" t="n">
        <f aca="false">VLOOKUP(C23,Datos_vigas!$A$19:$E$23,2,0)*D23*B23^2</f>
        <v>2223.8994771</v>
      </c>
      <c r="I23" s="29" t="n">
        <f aca="false">IF(VLOOKUP(C23,Datos_vigas!$A$19:$E$23,3,0)=0,"---",VLOOKUP(C23,Datos_vigas!$A$19:$E$23,3,0)*D23*B23^2)</f>
        <v>3113.397</v>
      </c>
      <c r="J23" s="8" t="n">
        <v>25</v>
      </c>
      <c r="K23" s="8" t="n">
        <f aca="false">L23-Z23</f>
        <v>31</v>
      </c>
      <c r="L23" s="8" t="n">
        <v>35</v>
      </c>
      <c r="M23" s="7" t="n">
        <f aca="false">IF(NOT(ISNUMBER(H23)),"---",IF(H23&lt;=0,"---",IF(H23*100/(Datos_vigas!$B$8*J23*K23^2*Datos_vigas!$B$5)&gt;=0.5,"REVISAR",MAX((1-SQRT(1-2*H23*100/(Datos_vigas!$B$8*J23*K23^2*Datos_vigas!$B$5)))*J23*K23*Datos_vigas!$B$5/Datos_vigas!$B$6,0.0033*J23*K23))))</f>
        <v>2.5575</v>
      </c>
      <c r="N23" s="8" t="n">
        <v>6</v>
      </c>
      <c r="O23" s="8" t="n">
        <v>8</v>
      </c>
      <c r="P23" s="7" t="n">
        <f aca="false">IF(NOT(ISNUMBER(I23)),"---",IF(I23&lt;=0,"---",IF(I23*100/(Datos_vigas!$B$8*J23*K23^2*Datos_vigas!$B$5)&gt;=0.5,"REVISAR",MAX((1-SQRT(1-2*I23*100/(Datos_vigas!$B$8*J23*K23^2*Datos_vigas!$B$5)))*J23*K23*Datos_vigas!$B$5/Datos_vigas!$B$6,0.0033*J23*K23))))</f>
        <v>2.75486143935546</v>
      </c>
      <c r="Q23" s="8" t="n">
        <v>6</v>
      </c>
      <c r="R23" s="8" t="n">
        <v>8</v>
      </c>
      <c r="S23" s="7" t="n">
        <f aca="false">F23/(J23*0.85*K23)</f>
        <v>5.32858064516129</v>
      </c>
      <c r="T23" s="7" t="n">
        <f aca="false">G23/(J23*0.85*K23)</f>
        <v>5.32858064516129</v>
      </c>
      <c r="U23" s="8" t="n">
        <v>6</v>
      </c>
      <c r="V23" s="8" t="n">
        <v>15</v>
      </c>
      <c r="W23" s="9" t="str">
        <f aca="false">IF(OR(M23="REVISAR",P23="REVISAR"),"SECCION INSUF.",IF(NOT(AND(M23&lt;&gt;"REVISAR",P23&lt;&gt;"REVISAR",IF(ISNUMBER(M23),N23*PI()*(O23/10)^2/4&gt;=M23,TRUE()),IF(ISNUMBER(P23),Q23*PI()*(R23/10)^2/4&gt;=P23,TRUE()),IF(ISNUMBER(M23),M23&lt;=0.0163*J23*K23,TRUE()),IF(ISNUMBER(P23),P23&lt;=0.0163*J23*K23,TRUE()))),"NO VERIFICA FLEX.",IF(NOT(F23&lt;=Datos_vigas!$B$9*(0.53*SQRT(Datos_vigas!$B$5)*J23*K23+2*PI()*(U23/10)^2/4*Datos_vigas!$B$6*K23/V23)),"NO VERIF. CORTE","VERIFICA")))</f>
        <v>VERIFICA</v>
      </c>
      <c r="X23" s="10" t="s">
        <v>296</v>
      </c>
      <c r="Y23" s="8" t="n">
        <v>3.15</v>
      </c>
      <c r="Z23" s="8" t="n">
        <v>4</v>
      </c>
    </row>
    <row r="24" customFormat="false" ht="69.75" hidden="false" customHeight="true" outlineLevel="0" collapsed="false">
      <c r="A24" s="19" t="s">
        <v>297</v>
      </c>
      <c r="B24" s="7" t="n">
        <v>4.03</v>
      </c>
      <c r="C24" s="8" t="s">
        <v>188</v>
      </c>
      <c r="D24" s="29" t="n">
        <f aca="false">1.2*(Datos_vigas!$B$7*J24*L24/10000+Datos_vigas!$B$16*Y24)</f>
        <v>1089</v>
      </c>
      <c r="E24" s="8"/>
      <c r="F24" s="29" t="n">
        <f aca="false">VLOOKUP(C24,Datos_vigas!$A$19:$E$23,4,0)*D24*B24</f>
        <v>2194.335</v>
      </c>
      <c r="G24" s="29" t="n">
        <f aca="false">F24</f>
        <v>2194.335</v>
      </c>
      <c r="H24" s="29" t="n">
        <f aca="false">VLOOKUP(C24,Datos_vigas!$A$19:$E$23,2,0)*D24*B24^2</f>
        <v>2210.7925125</v>
      </c>
      <c r="I24" s="29" t="str">
        <f aca="false">IF(VLOOKUP(C24,Datos_vigas!$A$19:$E$23,3,0)=0,"---",VLOOKUP(C24,Datos_vigas!$A$19:$E$23,3,0)*D24*B24^2)</f>
        <v>---</v>
      </c>
      <c r="J24" s="8" t="n">
        <v>20</v>
      </c>
      <c r="K24" s="8" t="n">
        <f aca="false">L24-Z24</f>
        <v>21</v>
      </c>
      <c r="L24" s="8" t="n">
        <v>25</v>
      </c>
      <c r="M24" s="7" t="n">
        <f aca="false">IF(NOT(ISNUMBER(H24)),"---",IF(H24&lt;=0,"---",IF(H24*100/(Datos_vigas!$B$8*J24*K24^2*Datos_vigas!$B$5)&gt;=0.5,"REVISAR",MAX((1-SQRT(1-2*H24*100/(Datos_vigas!$B$8*J24*K24^2*Datos_vigas!$B$5)))*J24*K24*Datos_vigas!$B$5/Datos_vigas!$B$6,0.0033*J24*K24))))</f>
        <v>2.99925414905049</v>
      </c>
      <c r="N24" s="8" t="n">
        <v>4</v>
      </c>
      <c r="O24" s="8" t="n">
        <v>10</v>
      </c>
      <c r="P24" s="7" t="str">
        <f aca="false">IF(NOT(ISNUMBER(I24)),"---",IF(I24&lt;=0,"---",IF(I24*100/(Datos_vigas!$B$8*J24*K24^2*Datos_vigas!$B$5)&gt;=0.5,"REVISAR",MAX((1-SQRT(1-2*I24*100/(Datos_vigas!$B$8*J24*K24^2*Datos_vigas!$B$5)))*J24*K24*Datos_vigas!$B$5/Datos_vigas!$B$6,0.0033*J24*K24))))</f>
        <v>---</v>
      </c>
      <c r="Q24" s="8" t="s">
        <v>186</v>
      </c>
      <c r="R24" s="8" t="s">
        <v>186</v>
      </c>
      <c r="S24" s="7" t="n">
        <f aca="false">F24/(J24*0.85*K24)</f>
        <v>6.14659663865546</v>
      </c>
      <c r="T24" s="7" t="n">
        <f aca="false">G24/(J24*0.85*K24)</f>
        <v>6.14659663865546</v>
      </c>
      <c r="U24" s="8" t="n">
        <v>6</v>
      </c>
      <c r="V24" s="8" t="n">
        <v>10</v>
      </c>
      <c r="W24" s="9" t="str">
        <f aca="false">IF(OR(M24="REVISAR",P24="REVISAR"),"SECCION INSUF.",IF(NOT(AND(M24&lt;&gt;"REVISAR",P24&lt;&gt;"REVISAR",IF(ISNUMBER(M24),N24*PI()*(O24/10)^2/4&gt;=M24,TRUE()),IF(ISNUMBER(P24),Q24*PI()*(R24/10)^2/4&gt;=P24,TRUE()),IF(ISNUMBER(M24),M24&lt;=0.0163*J24*K24,TRUE()),IF(ISNUMBER(P24),P24&lt;=0.0163*J24*K24,TRUE()))),"NO VERIFICA FLEX.",IF(NOT(F24&lt;=Datos_vigas!$B$9*(0.53*SQRT(Datos_vigas!$B$5)*J24*K24+2*PI()*(U24/10)^2/4*Datos_vigas!$B$6*K24/V24)),"NO VERIF. CORTE","VERIFICA")))</f>
        <v>VERIFICA</v>
      </c>
      <c r="X24" s="10" t="s">
        <v>298</v>
      </c>
      <c r="Y24" s="8" t="n">
        <v>3.15</v>
      </c>
      <c r="Z24" s="8" t="n">
        <v>4</v>
      </c>
    </row>
    <row r="25" customFormat="false" ht="69.75" hidden="false" customHeight="true" outlineLevel="0" collapsed="false">
      <c r="A25" s="19" t="s">
        <v>299</v>
      </c>
      <c r="B25" s="7" t="n">
        <v>1.49</v>
      </c>
      <c r="C25" s="8" t="s">
        <v>188</v>
      </c>
      <c r="D25" s="29" t="n">
        <f aca="false">1.2*(Datos_vigas!$B$7*J25*L25/10000+Datos_vigas!$B$16*Y25)</f>
        <v>1053</v>
      </c>
      <c r="E25" s="8"/>
      <c r="F25" s="29" t="n">
        <f aca="false">VLOOKUP(C25,Datos_vigas!$A$19:$E$23,4,0)*D25*B25</f>
        <v>784.485</v>
      </c>
      <c r="G25" s="29" t="n">
        <f aca="false">F25</f>
        <v>784.485</v>
      </c>
      <c r="H25" s="29" t="n">
        <f aca="false">VLOOKUP(C25,Datos_vigas!$A$19:$E$23,2,0)*D25*B25^2</f>
        <v>292.2206625</v>
      </c>
      <c r="I25" s="29" t="str">
        <f aca="false">IF(VLOOKUP(C25,Datos_vigas!$A$19:$E$23,3,0)=0,"---",VLOOKUP(C25,Datos_vigas!$A$19:$E$23,3,0)*D25*B25^2)</f>
        <v>---</v>
      </c>
      <c r="J25" s="8" t="n">
        <v>15</v>
      </c>
      <c r="K25" s="8" t="n">
        <f aca="false">L25-Z25</f>
        <v>21</v>
      </c>
      <c r="L25" s="8" t="n">
        <v>25</v>
      </c>
      <c r="M25" s="7" t="n">
        <f aca="false">IF(NOT(ISNUMBER(H25)),"---",IF(H25&lt;=0,"---",IF(H25*100/(Datos_vigas!$B$8*J25*K25^2*Datos_vigas!$B$5)&gt;=0.5,"REVISAR",MAX((1-SQRT(1-2*H25*100/(Datos_vigas!$B$8*J25*K25^2*Datos_vigas!$B$5)))*J25*K25*Datos_vigas!$B$5/Datos_vigas!$B$6,0.0033*J25*K25))))</f>
        <v>1.0395</v>
      </c>
      <c r="N25" s="8" t="n">
        <v>3</v>
      </c>
      <c r="O25" s="8" t="n">
        <v>8</v>
      </c>
      <c r="P25" s="7" t="str">
        <f aca="false">IF(NOT(ISNUMBER(I25)),"---",IF(I25&lt;=0,"---",IF(I25*100/(Datos_vigas!$B$8*J25*K25^2*Datos_vigas!$B$5)&gt;=0.5,"REVISAR",MAX((1-SQRT(1-2*I25*100/(Datos_vigas!$B$8*J25*K25^2*Datos_vigas!$B$5)))*J25*K25*Datos_vigas!$B$5/Datos_vigas!$B$6,0.0033*J25*K25))))</f>
        <v>---</v>
      </c>
      <c r="Q25" s="8" t="s">
        <v>186</v>
      </c>
      <c r="R25" s="8" t="s">
        <v>186</v>
      </c>
      <c r="S25" s="7" t="n">
        <f aca="false">F25/(J25*0.85*K25)</f>
        <v>2.92991596638655</v>
      </c>
      <c r="T25" s="7" t="n">
        <f aca="false">G25/(J25*0.85*K25)</f>
        <v>2.92991596638655</v>
      </c>
      <c r="U25" s="8" t="n">
        <v>6</v>
      </c>
      <c r="V25" s="8" t="n">
        <v>10</v>
      </c>
      <c r="W25" s="9" t="str">
        <f aca="false">IF(OR(M25="REVISAR",P25="REVISAR"),"SECCION INSUF.",IF(NOT(AND(M25&lt;&gt;"REVISAR",P25&lt;&gt;"REVISAR",IF(ISNUMBER(M25),N25*PI()*(O25/10)^2/4&gt;=M25,TRUE()),IF(ISNUMBER(P25),Q25*PI()*(R25/10)^2/4&gt;=P25,TRUE()),IF(ISNUMBER(M25),M25&lt;=0.0163*J25*K25,TRUE()),IF(ISNUMBER(P25),P25&lt;=0.0163*J25*K25,TRUE()))),"NO VERIFICA FLEX.",IF(NOT(F25&lt;=Datos_vigas!$B$9*(0.53*SQRT(Datos_vigas!$B$5)*J25*K25+2*PI()*(U25/10)^2/4*Datos_vigas!$B$6*K25/V25)),"NO VERIF. CORTE","VERIFICA")))</f>
        <v>VERIFICA</v>
      </c>
      <c r="X25" s="8"/>
      <c r="Y25" s="8" t="n">
        <v>3.15</v>
      </c>
      <c r="Z25" s="8" t="n">
        <v>4</v>
      </c>
    </row>
    <row r="26" customFormat="false" ht="69.75" hidden="false" customHeight="true" outlineLevel="0" collapsed="false">
      <c r="A26" s="19" t="s">
        <v>300</v>
      </c>
      <c r="B26" s="7" t="n">
        <v>2.28</v>
      </c>
      <c r="C26" s="8" t="s">
        <v>188</v>
      </c>
      <c r="D26" s="29" t="n">
        <f aca="false">1.2*(Datos_vigas!$B$7*J26*L26/10000+Datos_vigas!$B$16*Y26)</f>
        <v>1053</v>
      </c>
      <c r="E26" s="8"/>
      <c r="F26" s="29" t="n">
        <f aca="false">VLOOKUP(C26,Datos_vigas!$A$19:$E$23,4,0)*D26*B26</f>
        <v>1200.42</v>
      </c>
      <c r="G26" s="29" t="n">
        <f aca="false">F26</f>
        <v>1200.42</v>
      </c>
      <c r="H26" s="29" t="n">
        <f aca="false">VLOOKUP(C26,Datos_vigas!$A$19:$E$23,2,0)*D26*B26^2</f>
        <v>684.2394</v>
      </c>
      <c r="I26" s="29" t="str">
        <f aca="false">IF(VLOOKUP(C26,Datos_vigas!$A$19:$E$23,3,0)=0,"---",VLOOKUP(C26,Datos_vigas!$A$19:$E$23,3,0)*D26*B26^2)</f>
        <v>---</v>
      </c>
      <c r="J26" s="8" t="n">
        <v>15</v>
      </c>
      <c r="K26" s="8" t="n">
        <f aca="false">L26-Z26</f>
        <v>21</v>
      </c>
      <c r="L26" s="8" t="n">
        <v>25</v>
      </c>
      <c r="M26" s="7" t="n">
        <f aca="false">IF(NOT(ISNUMBER(H26)),"---",IF(H26&lt;=0,"---",IF(H26*100/(Datos_vigas!$B$8*J26*K26^2*Datos_vigas!$B$5)&gt;=0.5,"REVISAR",MAX((1-SQRT(1-2*H26*100/(Datos_vigas!$B$8*J26*K26^2*Datos_vigas!$B$5)))*J26*K26*Datos_vigas!$B$5/Datos_vigas!$B$6,0.0033*J26*K26))))</f>
        <v>1.0395</v>
      </c>
      <c r="N26" s="8" t="n">
        <v>3</v>
      </c>
      <c r="O26" s="8" t="n">
        <v>8</v>
      </c>
      <c r="P26" s="7" t="str">
        <f aca="false">IF(NOT(ISNUMBER(I26)),"---",IF(I26&lt;=0,"---",IF(I26*100/(Datos_vigas!$B$8*J26*K26^2*Datos_vigas!$B$5)&gt;=0.5,"REVISAR",MAX((1-SQRT(1-2*I26*100/(Datos_vigas!$B$8*J26*K26^2*Datos_vigas!$B$5)))*J26*K26*Datos_vigas!$B$5/Datos_vigas!$B$6,0.0033*J26*K26))))</f>
        <v>---</v>
      </c>
      <c r="Q26" s="8" t="s">
        <v>186</v>
      </c>
      <c r="R26" s="8" t="s">
        <v>186</v>
      </c>
      <c r="S26" s="7" t="n">
        <f aca="false">F26/(J26*0.85*K26)</f>
        <v>4.48336134453782</v>
      </c>
      <c r="T26" s="7" t="n">
        <f aca="false">G26/(J26*0.85*K26)</f>
        <v>4.48336134453782</v>
      </c>
      <c r="U26" s="8" t="n">
        <v>6</v>
      </c>
      <c r="V26" s="8" t="n">
        <v>10</v>
      </c>
      <c r="W26" s="9" t="str">
        <f aca="false">IF(OR(M26="REVISAR",P26="REVISAR"),"SECCION INSUF.",IF(NOT(AND(M26&lt;&gt;"REVISAR",P26&lt;&gt;"REVISAR",IF(ISNUMBER(M26),N26*PI()*(O26/10)^2/4&gt;=M26,TRUE()),IF(ISNUMBER(P26),Q26*PI()*(R26/10)^2/4&gt;=P26,TRUE()),IF(ISNUMBER(M26),M26&lt;=0.0163*J26*K26,TRUE()),IF(ISNUMBER(P26),P26&lt;=0.0163*J26*K26,TRUE()))),"NO VERIFICA FLEX.",IF(NOT(F26&lt;=Datos_vigas!$B$9*(0.53*SQRT(Datos_vigas!$B$5)*J26*K26+2*PI()*(U26/10)^2/4*Datos_vigas!$B$6*K26/V26)),"NO VERIF. CORTE","VERIFICA")))</f>
        <v>VERIFICA</v>
      </c>
      <c r="X26" s="8"/>
      <c r="Y26" s="8" t="n">
        <v>3.15</v>
      </c>
      <c r="Z26" s="8" t="n">
        <v>4</v>
      </c>
    </row>
    <row r="27" customFormat="false" ht="69.75" hidden="false" customHeight="true" outlineLevel="0" collapsed="false">
      <c r="A27" s="19" t="s">
        <v>301</v>
      </c>
      <c r="B27" s="7" t="n">
        <v>3.09</v>
      </c>
      <c r="C27" s="8" t="s">
        <v>188</v>
      </c>
      <c r="D27" s="29" t="n">
        <f aca="false">1.2*(Datos_vigas!$B$7*J27*L27/10000+Datos_vigas!$B$16*Y27)</f>
        <v>1233</v>
      </c>
      <c r="E27" s="8"/>
      <c r="F27" s="29" t="n">
        <f aca="false">VLOOKUP(C27,Datos_vigas!$A$19:$E$23,4,0)*D27*B27</f>
        <v>1904.985</v>
      </c>
      <c r="G27" s="29" t="n">
        <f aca="false">F27</f>
        <v>1904.985</v>
      </c>
      <c r="H27" s="29" t="n">
        <f aca="false">VLOOKUP(C27,Datos_vigas!$A$19:$E$23,2,0)*D27*B27^2</f>
        <v>1471.6009125</v>
      </c>
      <c r="I27" s="29" t="str">
        <f aca="false">IF(VLOOKUP(C27,Datos_vigas!$A$19:$E$23,3,0)=0,"---",VLOOKUP(C27,Datos_vigas!$A$19:$E$23,3,0)*D27*B27^2)</f>
        <v>---</v>
      </c>
      <c r="J27" s="8" t="n">
        <v>25</v>
      </c>
      <c r="K27" s="8" t="n">
        <f aca="false">L27-Z27</f>
        <v>36</v>
      </c>
      <c r="L27" s="8" t="n">
        <v>40</v>
      </c>
      <c r="M27" s="7" t="n">
        <f aca="false">IF(NOT(ISNUMBER(H27)),"---",IF(H27&lt;=0,"---",IF(H27*100/(Datos_vigas!$B$8*J27*K27^2*Datos_vigas!$B$5)&gt;=0.5,"REVISAR",MAX((1-SQRT(1-2*H27*100/(Datos_vigas!$B$8*J27*K27^2*Datos_vigas!$B$5)))*J27*K27*Datos_vigas!$B$5/Datos_vigas!$B$6,0.0033*J27*K27))))</f>
        <v>2.97</v>
      </c>
      <c r="N27" s="8" t="n">
        <v>6</v>
      </c>
      <c r="O27" s="8" t="n">
        <v>8</v>
      </c>
      <c r="P27" s="7" t="str">
        <f aca="false">IF(NOT(ISNUMBER(I27)),"---",IF(I27&lt;=0,"---",IF(I27*100/(Datos_vigas!$B$8*J27*K27^2*Datos_vigas!$B$5)&gt;=0.5,"REVISAR",MAX((1-SQRT(1-2*I27*100/(Datos_vigas!$B$8*J27*K27^2*Datos_vigas!$B$5)))*J27*K27*Datos_vigas!$B$5/Datos_vigas!$B$6,0.0033*J27*K27))))</f>
        <v>---</v>
      </c>
      <c r="Q27" s="8" t="s">
        <v>186</v>
      </c>
      <c r="R27" s="8" t="s">
        <v>186</v>
      </c>
      <c r="S27" s="7" t="n">
        <f aca="false">F27/(J27*0.85*K27)</f>
        <v>2.49017647058824</v>
      </c>
      <c r="T27" s="7" t="n">
        <f aca="false">G27/(J27*0.85*K27)</f>
        <v>2.49017647058824</v>
      </c>
      <c r="U27" s="8" t="n">
        <v>6</v>
      </c>
      <c r="V27" s="8" t="n">
        <v>15</v>
      </c>
      <c r="W27" s="9" t="str">
        <f aca="false">IF(OR(M27="REVISAR",P27="REVISAR"),"SECCION INSUF.",IF(NOT(AND(M27&lt;&gt;"REVISAR",P27&lt;&gt;"REVISAR",IF(ISNUMBER(M27),N27*PI()*(O27/10)^2/4&gt;=M27,TRUE()),IF(ISNUMBER(P27),Q27*PI()*(R27/10)^2/4&gt;=P27,TRUE()),IF(ISNUMBER(M27),M27&lt;=0.0163*J27*K27,TRUE()),IF(ISNUMBER(P27),P27&lt;=0.0163*J27*K27,TRUE()))),"NO VERIFICA FLEX.",IF(NOT(F27&lt;=Datos_vigas!$B$9*(0.53*SQRT(Datos_vigas!$B$5)*J27*K27+2*PI()*(U27/10)^2/4*Datos_vigas!$B$6*K27/V27)),"NO VERIF. CORTE","VERIFICA")))</f>
        <v>VERIFICA</v>
      </c>
      <c r="X27" s="10" t="s">
        <v>302</v>
      </c>
      <c r="Y27" s="8" t="n">
        <v>3.15</v>
      </c>
      <c r="Z27" s="8" t="n">
        <v>4</v>
      </c>
    </row>
    <row r="28" customFormat="false" ht="69.75" hidden="false" customHeight="true" outlineLevel="0" collapsed="false">
      <c r="A28" s="19" t="s">
        <v>303</v>
      </c>
      <c r="B28" s="7" t="n">
        <v>2.39</v>
      </c>
      <c r="C28" s="8" t="s">
        <v>188</v>
      </c>
      <c r="D28" s="29" t="n">
        <f aca="false">1.2*(Datos_vigas!$B$7*J28*L28/10000+Datos_vigas!$B$16*Y28)</f>
        <v>1089</v>
      </c>
      <c r="E28" s="8"/>
      <c r="F28" s="29" t="n">
        <f aca="false">VLOOKUP(C28,Datos_vigas!$A$19:$E$23,4,0)*D28*B28</f>
        <v>1301.355</v>
      </c>
      <c r="G28" s="29" t="n">
        <f aca="false">F28</f>
        <v>1301.355</v>
      </c>
      <c r="H28" s="29" t="n">
        <f aca="false">VLOOKUP(C28,Datos_vigas!$A$19:$E$23,2,0)*D28*B28^2</f>
        <v>777.5596125</v>
      </c>
      <c r="I28" s="29" t="str">
        <f aca="false">IF(VLOOKUP(C28,Datos_vigas!$A$19:$E$23,3,0)=0,"---",VLOOKUP(C28,Datos_vigas!$A$19:$E$23,3,0)*D28*B28^2)</f>
        <v>---</v>
      </c>
      <c r="J28" s="8" t="n">
        <v>20</v>
      </c>
      <c r="K28" s="8" t="n">
        <f aca="false">L28-Z28</f>
        <v>21</v>
      </c>
      <c r="L28" s="8" t="n">
        <v>25</v>
      </c>
      <c r="M28" s="7" t="n">
        <f aca="false">IF(NOT(ISNUMBER(H28)),"---",IF(H28&lt;=0,"---",IF(H28*100/(Datos_vigas!$B$8*J28*K28^2*Datos_vigas!$B$5)&gt;=0.5,"REVISAR",MAX((1-SQRT(1-2*H28*100/(Datos_vigas!$B$8*J28*K28^2*Datos_vigas!$B$5)))*J28*K28*Datos_vigas!$B$5/Datos_vigas!$B$6,0.0033*J28*K28))))</f>
        <v>1.386</v>
      </c>
      <c r="N28" s="8" t="n">
        <v>5</v>
      </c>
      <c r="O28" s="8" t="n">
        <v>6</v>
      </c>
      <c r="P28" s="7" t="str">
        <f aca="false">IF(NOT(ISNUMBER(I28)),"---",IF(I28&lt;=0,"---",IF(I28*100/(Datos_vigas!$B$8*J28*K28^2*Datos_vigas!$B$5)&gt;=0.5,"REVISAR",MAX((1-SQRT(1-2*I28*100/(Datos_vigas!$B$8*J28*K28^2*Datos_vigas!$B$5)))*J28*K28*Datos_vigas!$B$5/Datos_vigas!$B$6,0.0033*J28*K28))))</f>
        <v>---</v>
      </c>
      <c r="Q28" s="8" t="s">
        <v>186</v>
      </c>
      <c r="R28" s="8" t="s">
        <v>186</v>
      </c>
      <c r="S28" s="7" t="n">
        <f aca="false">F28/(J28*0.85*K28)</f>
        <v>3.64525210084034</v>
      </c>
      <c r="T28" s="7" t="n">
        <f aca="false">G28/(J28*0.85*K28)</f>
        <v>3.64525210084034</v>
      </c>
      <c r="U28" s="8" t="n">
        <v>6</v>
      </c>
      <c r="V28" s="8" t="n">
        <v>10</v>
      </c>
      <c r="W28" s="9" t="str">
        <f aca="false">IF(OR(M28="REVISAR",P28="REVISAR"),"SECCION INSUF.",IF(NOT(AND(M28&lt;&gt;"REVISAR",P28&lt;&gt;"REVISAR",IF(ISNUMBER(M28),N28*PI()*(O28/10)^2/4&gt;=M28,TRUE()),IF(ISNUMBER(P28),Q28*PI()*(R28/10)^2/4&gt;=P28,TRUE()),IF(ISNUMBER(M28),M28&lt;=0.0163*J28*K28,TRUE()),IF(ISNUMBER(P28),P28&lt;=0.0163*J28*K28,TRUE()))),"NO VERIFICA FLEX.",IF(NOT(F28&lt;=Datos_vigas!$B$9*(0.53*SQRT(Datos_vigas!$B$5)*J28*K28+2*PI()*(U28/10)^2/4*Datos_vigas!$B$6*K28/V28)),"NO VERIF. CORTE","VERIFICA")))</f>
        <v>VERIFICA</v>
      </c>
      <c r="X28" s="8"/>
      <c r="Y28" s="8" t="n">
        <v>3.15</v>
      </c>
      <c r="Z28" s="8" t="n">
        <v>4</v>
      </c>
    </row>
    <row r="29" customFormat="false" ht="69.75" hidden="false" customHeight="true" outlineLevel="0" collapsed="false">
      <c r="A29" s="19" t="s">
        <v>304</v>
      </c>
      <c r="B29" s="7" t="n">
        <v>4.47</v>
      </c>
      <c r="C29" s="8" t="s">
        <v>165</v>
      </c>
      <c r="D29" s="29" t="n">
        <f aca="false">1.2*(Datos_vigas!$B$7*J29*L29/10000+Datos_vigas!$B$16*Y29)</f>
        <v>1089</v>
      </c>
      <c r="E29" s="8"/>
      <c r="F29" s="29" t="n">
        <f aca="false">VLOOKUP(C29,Datos_vigas!$A$19:$E$23,4,0)*D29*B29</f>
        <v>2799.00225</v>
      </c>
      <c r="G29" s="29" t="n">
        <f aca="false">F29</f>
        <v>2799.00225</v>
      </c>
      <c r="H29" s="29" t="n">
        <f aca="false">VLOOKUP(C29,Datos_vigas!$A$19:$E$23,2,0)*D29*B29^2</f>
        <v>1554.259663143</v>
      </c>
      <c r="I29" s="29" t="n">
        <f aca="false">IF(VLOOKUP(C29,Datos_vigas!$A$19:$E$23,3,0)=0,"---",VLOOKUP(C29,Datos_vigas!$A$19:$E$23,3,0)*D29*B29^2)</f>
        <v>2175.92001</v>
      </c>
      <c r="J29" s="8" t="n">
        <v>20</v>
      </c>
      <c r="K29" s="8" t="n">
        <f aca="false">L29-Z29</f>
        <v>21</v>
      </c>
      <c r="L29" s="8" t="n">
        <v>25</v>
      </c>
      <c r="M29" s="7" t="n">
        <f aca="false">IF(NOT(ISNUMBER(H29)),"---",IF(H29&lt;=0,"---",IF(H29*100/(Datos_vigas!$B$8*J29*K29^2*Datos_vigas!$B$5)&gt;=0.5,"REVISAR",MAX((1-SQRT(1-2*H29*100/(Datos_vigas!$B$8*J29*K29^2*Datos_vigas!$B$5)))*J29*K29*Datos_vigas!$B$5/Datos_vigas!$B$6,0.0033*J29*K29))))</f>
        <v>2.05893247498592</v>
      </c>
      <c r="N29" s="8" t="n">
        <v>4</v>
      </c>
      <c r="O29" s="8" t="n">
        <v>8</v>
      </c>
      <c r="P29" s="7" t="n">
        <f aca="false">IF(NOT(ISNUMBER(I29)),"---",IF(I29&lt;=0,"---",IF(I29*100/(Datos_vigas!$B$8*J29*K29^2*Datos_vigas!$B$5)&gt;=0.5,"REVISAR",MAX((1-SQRT(1-2*I29*100/(Datos_vigas!$B$8*J29*K29^2*Datos_vigas!$B$5)))*J29*K29*Datos_vigas!$B$5/Datos_vigas!$B$6,0.0033*J29*K29))))</f>
        <v>2.94807608195578</v>
      </c>
      <c r="Q29" s="8" t="n">
        <v>4</v>
      </c>
      <c r="R29" s="8" t="n">
        <v>10</v>
      </c>
      <c r="S29" s="7" t="n">
        <f aca="false">F29/(J29*0.85*K29)</f>
        <v>7.84034243697479</v>
      </c>
      <c r="T29" s="7" t="n">
        <f aca="false">G29/(J29*0.85*K29)</f>
        <v>7.84034243697479</v>
      </c>
      <c r="U29" s="8" t="n">
        <v>6</v>
      </c>
      <c r="V29" s="8" t="n">
        <v>10</v>
      </c>
      <c r="W29" s="9" t="str">
        <f aca="false">IF(OR(M29="REVISAR",P29="REVISAR"),"SECCION INSUF.",IF(NOT(AND(M29&lt;&gt;"REVISAR",P29&lt;&gt;"REVISAR",IF(ISNUMBER(M29),N29*PI()*(O29/10)^2/4&gt;=M29,TRUE()),IF(ISNUMBER(P29),Q29*PI()*(R29/10)^2/4&gt;=P29,TRUE()),IF(ISNUMBER(M29),M29&lt;=0.0163*J29*K29,TRUE()),IF(ISNUMBER(P29),P29&lt;=0.0163*J29*K29,TRUE()))),"NO VERIFICA FLEX.",IF(NOT(F29&lt;=Datos_vigas!$B$9*(0.53*SQRT(Datos_vigas!$B$5)*J29*K29+2*PI()*(U29/10)^2/4*Datos_vigas!$B$6*K29/V29)),"NO VERIF. CORTE","VERIFICA")))</f>
        <v>NO VERIFICA FLEX.</v>
      </c>
      <c r="X29" s="10" t="s">
        <v>305</v>
      </c>
      <c r="Y29" s="8" t="n">
        <v>3.15</v>
      </c>
      <c r="Z29" s="8" t="n">
        <v>4</v>
      </c>
    </row>
    <row r="30" customFormat="false" ht="69.75" hidden="false" customHeight="true" outlineLevel="0" collapsed="false">
      <c r="A30" s="19" t="s">
        <v>306</v>
      </c>
      <c r="B30" s="7" t="n">
        <v>3.13</v>
      </c>
      <c r="C30" s="8" t="s">
        <v>165</v>
      </c>
      <c r="D30" s="29" t="n">
        <f aca="false">1.2*(Datos_vigas!$B$7*J30*L30/10000+Datos_vigas!$B$16*Y30)</f>
        <v>1146.6</v>
      </c>
      <c r="E30" s="8"/>
      <c r="F30" s="29" t="n">
        <f aca="false">VLOOKUP(C30,Datos_vigas!$A$19:$E$23,4,0)*D30*B30</f>
        <v>2063.59335</v>
      </c>
      <c r="G30" s="29" t="n">
        <f aca="false">F30</f>
        <v>2063.59335</v>
      </c>
      <c r="H30" s="29" t="n">
        <f aca="false">VLOOKUP(C30,Datos_vigas!$A$19:$E$23,2,0)*D30*B30^2</f>
        <v>802.3821573222</v>
      </c>
      <c r="I30" s="29" t="n">
        <f aca="false">IF(VLOOKUP(C30,Datos_vigas!$A$19:$E$23,3,0)=0,"---",VLOOKUP(C30,Datos_vigas!$A$19:$E$23,3,0)*D30*B30^2)</f>
        <v>1123.312554</v>
      </c>
      <c r="J30" s="8" t="n">
        <v>20</v>
      </c>
      <c r="K30" s="8" t="n">
        <f aca="false">L30-Z30</f>
        <v>31</v>
      </c>
      <c r="L30" s="8" t="n">
        <v>35</v>
      </c>
      <c r="M30" s="7" t="n">
        <f aca="false">IF(NOT(ISNUMBER(H30)),"---",IF(H30&lt;=0,"---",IF(H30*100/(Datos_vigas!$B$8*J30*K30^2*Datos_vigas!$B$5)&gt;=0.5,"REVISAR",MAX((1-SQRT(1-2*H30*100/(Datos_vigas!$B$8*J30*K30^2*Datos_vigas!$B$5)))*J30*K30*Datos_vigas!$B$5/Datos_vigas!$B$6,0.0033*J30*K30))))</f>
        <v>2.046</v>
      </c>
      <c r="N30" s="8" t="n">
        <v>2</v>
      </c>
      <c r="O30" s="8" t="n">
        <v>12</v>
      </c>
      <c r="P30" s="7" t="n">
        <f aca="false">IF(NOT(ISNUMBER(I30)),"---",IF(I30&lt;=0,"---",IF(I30*100/(Datos_vigas!$B$8*J30*K30^2*Datos_vigas!$B$5)&gt;=0.5,"REVISAR",MAX((1-SQRT(1-2*I30*100/(Datos_vigas!$B$8*J30*K30^2*Datos_vigas!$B$5)))*J30*K30*Datos_vigas!$B$5/Datos_vigas!$B$6,0.0033*J30*K30))))</f>
        <v>2.046</v>
      </c>
      <c r="Q30" s="8" t="n">
        <v>2</v>
      </c>
      <c r="R30" s="8" t="n">
        <v>12</v>
      </c>
      <c r="S30" s="7" t="n">
        <f aca="false">F30/(J30*0.85*K30)</f>
        <v>3.91573690702087</v>
      </c>
      <c r="T30" s="7" t="n">
        <f aca="false">G30/(J30*0.85*K30)</f>
        <v>3.91573690702087</v>
      </c>
      <c r="U30" s="8" t="n">
        <v>6</v>
      </c>
      <c r="V30" s="8" t="n">
        <v>15</v>
      </c>
      <c r="W30" s="9" t="str">
        <f aca="false">IF(OR(M30="REVISAR",P30="REVISAR"),"SECCION INSUF.",IF(NOT(AND(M30&lt;&gt;"REVISAR",P30&lt;&gt;"REVISAR",IF(ISNUMBER(M30),N30*PI()*(O30/10)^2/4&gt;=M30,TRUE()),IF(ISNUMBER(P30),Q30*PI()*(R30/10)^2/4&gt;=P30,TRUE()),IF(ISNUMBER(M30),M30&lt;=0.0163*J30*K30,TRUE()),IF(ISNUMBER(P30),P30&lt;=0.0163*J30*K30,TRUE()))),"NO VERIFICA FLEX.",IF(NOT(F30&lt;=Datos_vigas!$B$9*(0.53*SQRT(Datos_vigas!$B$5)*J30*K30+2*PI()*(U30/10)^2/4*Datos_vigas!$B$6*K30/V30)),"NO VERIF. CORTE","VERIFICA")))</f>
        <v>VERIFICA</v>
      </c>
      <c r="X30" s="8"/>
      <c r="Y30" s="8" t="n">
        <v>3.15</v>
      </c>
      <c r="Z30" s="8" t="n">
        <v>4</v>
      </c>
    </row>
    <row r="31" customFormat="false" ht="69.75" hidden="false" customHeight="true" outlineLevel="0" collapsed="false">
      <c r="A31" s="19" t="s">
        <v>307</v>
      </c>
      <c r="B31" s="7" t="n">
        <v>3.53</v>
      </c>
      <c r="C31" s="8" t="s">
        <v>188</v>
      </c>
      <c r="D31" s="29" t="n">
        <f aca="false">1.2*(Datos_vigas!$B$7*J31*L31/10000+Datos_vigas!$B$16*Y31)</f>
        <v>1089</v>
      </c>
      <c r="E31" s="8"/>
      <c r="F31" s="29" t="n">
        <f aca="false">VLOOKUP(C31,Datos_vigas!$A$19:$E$23,4,0)*D31*B31</f>
        <v>1922.085</v>
      </c>
      <c r="G31" s="29" t="n">
        <f aca="false">F31</f>
        <v>1922.085</v>
      </c>
      <c r="H31" s="29" t="n">
        <f aca="false">VLOOKUP(C31,Datos_vigas!$A$19:$E$23,2,0)*D31*B31^2</f>
        <v>1696.2400125</v>
      </c>
      <c r="I31" s="29" t="str">
        <f aca="false">IF(VLOOKUP(C31,Datos_vigas!$A$19:$E$23,3,0)=0,"---",VLOOKUP(C31,Datos_vigas!$A$19:$E$23,3,0)*D31*B31^2)</f>
        <v>---</v>
      </c>
      <c r="J31" s="8" t="n">
        <v>20</v>
      </c>
      <c r="K31" s="8" t="n">
        <f aca="false">L31-Z31</f>
        <v>21</v>
      </c>
      <c r="L31" s="8" t="n">
        <v>25</v>
      </c>
      <c r="M31" s="7" t="n">
        <f aca="false">IF(NOT(ISNUMBER(H31)),"---",IF(H31&lt;=0,"---",IF(H31*100/(Datos_vigas!$B$8*J31*K31^2*Datos_vigas!$B$5)&gt;=0.5,"REVISAR",MAX((1-SQRT(1-2*H31*100/(Datos_vigas!$B$8*J31*K31^2*Datos_vigas!$B$5)))*J31*K31*Datos_vigas!$B$5/Datos_vigas!$B$6,0.0033*J31*K31))))</f>
        <v>2.25828579903972</v>
      </c>
      <c r="N31" s="8" t="n">
        <v>2</v>
      </c>
      <c r="O31" s="8" t="n">
        <v>12</v>
      </c>
      <c r="P31" s="7" t="str">
        <f aca="false">IF(NOT(ISNUMBER(I31)),"---",IF(I31&lt;=0,"---",IF(I31*100/(Datos_vigas!$B$8*J31*K31^2*Datos_vigas!$B$5)&gt;=0.5,"REVISAR",MAX((1-SQRT(1-2*I31*100/(Datos_vigas!$B$8*J31*K31^2*Datos_vigas!$B$5)))*J31*K31*Datos_vigas!$B$5/Datos_vigas!$B$6,0.0033*J31*K31))))</f>
        <v>---</v>
      </c>
      <c r="Q31" s="8" t="s">
        <v>186</v>
      </c>
      <c r="R31" s="8" t="s">
        <v>186</v>
      </c>
      <c r="S31" s="7" t="n">
        <f aca="false">F31/(J31*0.85*K31)</f>
        <v>5.38399159663866</v>
      </c>
      <c r="T31" s="7" t="n">
        <f aca="false">G31/(J31*0.85*K31)</f>
        <v>5.38399159663866</v>
      </c>
      <c r="U31" s="8" t="n">
        <v>6</v>
      </c>
      <c r="V31" s="8" t="n">
        <v>10</v>
      </c>
      <c r="W31" s="9" t="str">
        <f aca="false">IF(OR(M31="REVISAR",P31="REVISAR"),"SECCION INSUF.",IF(NOT(AND(M31&lt;&gt;"REVISAR",P31&lt;&gt;"REVISAR",IF(ISNUMBER(M31),N31*PI()*(O31/10)^2/4&gt;=M31,TRUE()),IF(ISNUMBER(P31),Q31*PI()*(R31/10)^2/4&gt;=P31,TRUE()),IF(ISNUMBER(M31),M31&lt;=0.0163*J31*K31,TRUE()),IF(ISNUMBER(P31),P31&lt;=0.0163*J31*K31,TRUE()))),"NO VERIFICA FLEX.",IF(NOT(F31&lt;=Datos_vigas!$B$9*(0.53*SQRT(Datos_vigas!$B$5)*J31*K31+2*PI()*(U31/10)^2/4*Datos_vigas!$B$6*K31/V31)),"NO VERIF. CORTE","VERIFICA")))</f>
        <v>VERIFICA</v>
      </c>
      <c r="X31" s="8"/>
      <c r="Y31" s="8" t="n">
        <v>3.15</v>
      </c>
      <c r="Z31" s="8" t="n">
        <v>4</v>
      </c>
    </row>
    <row r="32" customFormat="false" ht="69.75" hidden="false" customHeight="true" outlineLevel="0" collapsed="false">
      <c r="A32" s="19" t="s">
        <v>308</v>
      </c>
      <c r="B32" s="7" t="n">
        <v>5.5</v>
      </c>
      <c r="C32" s="8" t="s">
        <v>165</v>
      </c>
      <c r="D32" s="29" t="n">
        <f aca="false">1.2*(Datos_vigas!$B$7*J32*L32/10000+Datos_vigas!$B$16*Y32)</f>
        <v>1197</v>
      </c>
      <c r="E32" s="8"/>
      <c r="F32" s="29" t="n">
        <f aca="false">VLOOKUP(C32,Datos_vigas!$A$19:$E$23,4,0)*D32*B32</f>
        <v>3785.5125</v>
      </c>
      <c r="G32" s="29" t="n">
        <f aca="false">F32</f>
        <v>3785.5125</v>
      </c>
      <c r="H32" s="29" t="n">
        <f aca="false">VLOOKUP(C32,Datos_vigas!$A$19:$E$23,2,0)*D32*B32^2</f>
        <v>2586.4267275</v>
      </c>
      <c r="I32" s="29" t="n">
        <f aca="false">IF(VLOOKUP(C32,Datos_vigas!$A$19:$E$23,3,0)=0,"---",VLOOKUP(C32,Datos_vigas!$A$19:$E$23,3,0)*D32*B32^2)</f>
        <v>3620.925</v>
      </c>
      <c r="J32" s="8" t="n">
        <v>25</v>
      </c>
      <c r="K32" s="8" t="n">
        <f aca="false">L32-Z32</f>
        <v>31</v>
      </c>
      <c r="L32" s="8" t="n">
        <v>35</v>
      </c>
      <c r="M32" s="7" t="n">
        <f aca="false">IF(NOT(ISNUMBER(H32)),"---",IF(H32&lt;=0,"---",IF(H32*100/(Datos_vigas!$B$8*J32*K32^2*Datos_vigas!$B$5)&gt;=0.5,"REVISAR",MAX((1-SQRT(1-2*H32*100/(Datos_vigas!$B$8*J32*K32^2*Datos_vigas!$B$5)))*J32*K32*Datos_vigas!$B$5/Datos_vigas!$B$6,0.0033*J32*K32))))</f>
        <v>2.5575</v>
      </c>
      <c r="N32" s="8" t="n">
        <v>6</v>
      </c>
      <c r="O32" s="8" t="n">
        <v>8</v>
      </c>
      <c r="P32" s="7" t="n">
        <f aca="false">IF(NOT(ISNUMBER(I32)),"---",IF(I32&lt;=0,"---",IF(I32*100/(Datos_vigas!$B$8*J32*K32^2*Datos_vigas!$B$5)&gt;=0.5,"REVISAR",MAX((1-SQRT(1-2*I32*100/(Datos_vigas!$B$8*J32*K32^2*Datos_vigas!$B$5)))*J32*K32*Datos_vigas!$B$5/Datos_vigas!$B$6,0.0033*J32*K32))))</f>
        <v>3.22418778784455</v>
      </c>
      <c r="Q32" s="8" t="n">
        <v>3</v>
      </c>
      <c r="R32" s="8" t="n">
        <v>12</v>
      </c>
      <c r="S32" s="7" t="n">
        <f aca="false">F32/(J32*0.85*K32)</f>
        <v>5.74650853889943</v>
      </c>
      <c r="T32" s="7" t="n">
        <f aca="false">G32/(J32*0.85*K32)</f>
        <v>5.74650853889943</v>
      </c>
      <c r="U32" s="8" t="n">
        <v>6</v>
      </c>
      <c r="V32" s="8" t="n">
        <v>15</v>
      </c>
      <c r="W32" s="9" t="str">
        <f aca="false">IF(OR(M32="REVISAR",P32="REVISAR"),"SECCION INSUF.",IF(NOT(AND(M32&lt;&gt;"REVISAR",P32&lt;&gt;"REVISAR",IF(ISNUMBER(M32),N32*PI()*(O32/10)^2/4&gt;=M32,TRUE()),IF(ISNUMBER(P32),Q32*PI()*(R32/10)^2/4&gt;=P32,TRUE()),IF(ISNUMBER(M32),M32&lt;=0.0163*J32*K32,TRUE()),IF(ISNUMBER(P32),P32&lt;=0.0163*J32*K32,TRUE()))),"NO VERIFICA FLEX.",IF(NOT(F32&lt;=Datos_vigas!$B$9*(0.53*SQRT(Datos_vigas!$B$5)*J32*K32+2*PI()*(U32/10)^2/4*Datos_vigas!$B$6*K32/V32)),"NO VERIF. CORTE","VERIFICA")))</f>
        <v>VERIFICA</v>
      </c>
      <c r="X32" s="10" t="s">
        <v>309</v>
      </c>
      <c r="Y32" s="8" t="n">
        <v>3.15</v>
      </c>
      <c r="Z32" s="8" t="n">
        <v>4</v>
      </c>
    </row>
    <row r="33" customFormat="false" ht="69.75" hidden="false" customHeight="true" outlineLevel="0" collapsed="false">
      <c r="A33" s="19" t="s">
        <v>310</v>
      </c>
      <c r="B33" s="7" t="n">
        <v>3.05</v>
      </c>
      <c r="C33" s="8" t="s">
        <v>165</v>
      </c>
      <c r="D33" s="29" t="n">
        <f aca="false">1.2*(Datos_vigas!$B$7*J33*L33/10000+Datos_vigas!$B$16*Y33)</f>
        <v>1125</v>
      </c>
      <c r="E33" s="8"/>
      <c r="F33" s="29" t="n">
        <f aca="false">VLOOKUP(C33,Datos_vigas!$A$19:$E$23,4,0)*D33*B33</f>
        <v>1972.96875</v>
      </c>
      <c r="G33" s="29" t="n">
        <f aca="false">F33</f>
        <v>1972.96875</v>
      </c>
      <c r="H33" s="29" t="n">
        <f aca="false">VLOOKUP(C33,Datos_vigas!$A$19:$E$23,2,0)*D33*B33^2</f>
        <v>747.537271875</v>
      </c>
      <c r="I33" s="29" t="n">
        <f aca="false">IF(VLOOKUP(C33,Datos_vigas!$A$19:$E$23,3,0)=0,"---",VLOOKUP(C33,Datos_vigas!$A$19:$E$23,3,0)*D33*B33^2)</f>
        <v>1046.53125</v>
      </c>
      <c r="J33" s="8" t="n">
        <v>25</v>
      </c>
      <c r="K33" s="8" t="n">
        <f aca="false">L33-Z33</f>
        <v>21</v>
      </c>
      <c r="L33" s="8" t="n">
        <v>25</v>
      </c>
      <c r="M33" s="7" t="n">
        <f aca="false">IF(NOT(ISNUMBER(H33)),"---",IF(H33&lt;=0,"---",IF(H33*100/(Datos_vigas!$B$8*J33*K33^2*Datos_vigas!$B$5)&gt;=0.5,"REVISAR",MAX((1-SQRT(1-2*H33*100/(Datos_vigas!$B$8*J33*K33^2*Datos_vigas!$B$5)))*J33*K33*Datos_vigas!$B$5/Datos_vigas!$B$6,0.0033*J33*K33))))</f>
        <v>1.7325</v>
      </c>
      <c r="N33" s="8" t="n">
        <v>4</v>
      </c>
      <c r="O33" s="8" t="n">
        <v>8</v>
      </c>
      <c r="P33" s="7" t="n">
        <f aca="false">IF(NOT(ISNUMBER(I33)),"---",IF(I33&lt;=0,"---",IF(I33*100/(Datos_vigas!$B$8*J33*K33^2*Datos_vigas!$B$5)&gt;=0.5,"REVISAR",MAX((1-SQRT(1-2*I33*100/(Datos_vigas!$B$8*J33*K33^2*Datos_vigas!$B$5)))*J33*K33*Datos_vigas!$B$5/Datos_vigas!$B$6,0.0033*J33*K33))))</f>
        <v>1.7325</v>
      </c>
      <c r="Q33" s="8" t="n">
        <v>4</v>
      </c>
      <c r="R33" s="8" t="n">
        <v>8</v>
      </c>
      <c r="S33" s="7" t="n">
        <f aca="false">F33/(J33*0.85*K33)</f>
        <v>4.42121848739496</v>
      </c>
      <c r="T33" s="7" t="n">
        <f aca="false">G33/(J33*0.85*K33)</f>
        <v>4.42121848739496</v>
      </c>
      <c r="U33" s="8" t="n">
        <v>6</v>
      </c>
      <c r="V33" s="8" t="n">
        <v>10</v>
      </c>
      <c r="W33" s="9" t="str">
        <f aca="false">IF(OR(M33="REVISAR",P33="REVISAR"),"SECCION INSUF.",IF(NOT(AND(M33&lt;&gt;"REVISAR",P33&lt;&gt;"REVISAR",IF(ISNUMBER(M33),N33*PI()*(O33/10)^2/4&gt;=M33,TRUE()),IF(ISNUMBER(P33),Q33*PI()*(R33/10)^2/4&gt;=P33,TRUE()),IF(ISNUMBER(M33),M33&lt;=0.0163*J33*K33,TRUE()),IF(ISNUMBER(P33),P33&lt;=0.0163*J33*K33,TRUE()))),"NO VERIFICA FLEX.",IF(NOT(F33&lt;=Datos_vigas!$B$9*(0.53*SQRT(Datos_vigas!$B$5)*J33*K33+2*PI()*(U33/10)^2/4*Datos_vigas!$B$6*K33/V33)),"NO VERIF. CORTE","VERIFICA")))</f>
        <v>VERIFICA</v>
      </c>
      <c r="X33" s="8"/>
      <c r="Y33" s="8" t="n">
        <v>3.15</v>
      </c>
      <c r="Z33" s="8" t="n">
        <v>4</v>
      </c>
    </row>
    <row r="34" customFormat="false" ht="69.75" hidden="false" customHeight="true" outlineLevel="0" collapsed="false">
      <c r="A34" s="30" t="s">
        <v>311</v>
      </c>
      <c r="B34" s="12" t="n">
        <v>4.26</v>
      </c>
      <c r="C34" s="13" t="s">
        <v>165</v>
      </c>
      <c r="D34" s="31" t="n">
        <f aca="false">1.2*(Datos_vigas!$B$7*J34*L34/10000+Datos_vigas!$B$16*Y34)</f>
        <v>1146.6</v>
      </c>
      <c r="E34" s="13"/>
      <c r="F34" s="31" t="n">
        <f aca="false">VLOOKUP(C34,Datos_vigas!$A$19:$E$23,4,0)*D34*B34</f>
        <v>2808.5967</v>
      </c>
      <c r="G34" s="31" t="n">
        <f aca="false">F34</f>
        <v>2808.5967</v>
      </c>
      <c r="H34" s="31" t="n">
        <f aca="false">VLOOKUP(C34,Datos_vigas!$A$19:$E$23,2,0)*D34*B34^2</f>
        <v>1486.3181657688</v>
      </c>
      <c r="I34" s="31" t="n">
        <f aca="false">IF(VLOOKUP(C34,Datos_vigas!$A$19:$E$23,3,0)=0,"---",VLOOKUP(C34,Datos_vigas!$A$19:$E$23,3,0)*D34*B34^2)</f>
        <v>2080.803816</v>
      </c>
      <c r="J34" s="13" t="n">
        <v>20</v>
      </c>
      <c r="K34" s="13" t="n">
        <f aca="false">L34-Z34</f>
        <v>31</v>
      </c>
      <c r="L34" s="13" t="n">
        <v>35</v>
      </c>
      <c r="M34" s="12" t="n">
        <f aca="false">IF(NOT(ISNUMBER(H34)),"---",IF(H34&lt;=0,"---",IF(H34*100/(Datos_vigas!$B$8*J34*K34^2*Datos_vigas!$B$5)&gt;=0.5,"REVISAR",MAX((1-SQRT(1-2*H34*100/(Datos_vigas!$B$8*J34*K34^2*Datos_vigas!$B$5)))*J34*K34*Datos_vigas!$B$5/Datos_vigas!$B$6,0.0033*J34*K34))))</f>
        <v>2.046</v>
      </c>
      <c r="N34" s="13" t="n">
        <v>2</v>
      </c>
      <c r="O34" s="13" t="n">
        <v>12</v>
      </c>
      <c r="P34" s="12" t="n">
        <f aca="false">IF(NOT(ISNUMBER(I34)),"---",IF(I34&lt;=0,"---",IF(I34*100/(Datos_vigas!$B$8*J34*K34^2*Datos_vigas!$B$5)&gt;=0.5,"REVISAR",MAX((1-SQRT(1-2*I34*100/(Datos_vigas!$B$8*J34*K34^2*Datos_vigas!$B$5)))*J34*K34*Datos_vigas!$B$5/Datos_vigas!$B$6,0.0033*J34*K34))))</f>
        <v>2.046</v>
      </c>
      <c r="Q34" s="13" t="n">
        <v>2</v>
      </c>
      <c r="R34" s="13" t="n">
        <v>12</v>
      </c>
      <c r="S34" s="12" t="n">
        <f aca="false">F34/(J34*0.85*K34)</f>
        <v>5.3294055028463</v>
      </c>
      <c r="T34" s="12" t="n">
        <f aca="false">G34/(J34*0.85*K34)</f>
        <v>5.3294055028463</v>
      </c>
      <c r="U34" s="13" t="n">
        <v>6</v>
      </c>
      <c r="V34" s="13" t="n">
        <v>15</v>
      </c>
      <c r="W34" s="14" t="str">
        <f aca="false">IF(OR(M34="REVISAR",P34="REVISAR"),"SECCION INSUF.",IF(NOT(AND(M34&lt;&gt;"REVISAR",P34&lt;&gt;"REVISAR",IF(ISNUMBER(M34),N34*PI()*(O34/10)^2/4&gt;=M34,TRUE()),IF(ISNUMBER(P34),Q34*PI()*(R34/10)^2/4&gt;=P34,TRUE()),IF(ISNUMBER(M34),M34&lt;=0.0163*J34*K34,TRUE()),IF(ISNUMBER(P34),P34&lt;=0.0163*J34*K34,TRUE()))),"NO VERIFICA FLEX.",IF(NOT(F34&lt;=Datos_vigas!$B$9*(0.53*SQRT(Datos_vigas!$B$5)*J34*K34+2*PI()*(U34/10)^2/4*Datos_vigas!$B$6*K34/V34)),"NO VERIF. CORTE","VERIFICA")))</f>
        <v>VERIFICA</v>
      </c>
      <c r="X34" s="15" t="s">
        <v>312</v>
      </c>
      <c r="Y34" s="13" t="n">
        <v>3.15</v>
      </c>
      <c r="Z34" s="13" t="n">
        <v>4</v>
      </c>
    </row>
  </sheetData>
  <mergeCells count="14">
    <mergeCell ref="A1:Z1"/>
    <mergeCell ref="A2:A3"/>
    <mergeCell ref="B2:B3"/>
    <mergeCell ref="C2:E2"/>
    <mergeCell ref="F2:G2"/>
    <mergeCell ref="H2:H3"/>
    <mergeCell ref="I2:I3"/>
    <mergeCell ref="J2:L2"/>
    <mergeCell ref="M2:O2"/>
    <mergeCell ref="P2:R2"/>
    <mergeCell ref="S2:U2"/>
    <mergeCell ref="W2:W3"/>
    <mergeCell ref="X2:X3"/>
    <mergeCell ref="Y2:Z2"/>
  </mergeCells>
  <conditionalFormatting sqref="W4:W34">
    <cfRule type="cellIs" priority="2" operator="equal" aboveAverage="0" equalAverage="0" bottom="0" percent="0" rank="0" text="" dxfId="0">
      <formula>"VERIFICA"</formula>
    </cfRule>
    <cfRule type="cellIs" priority="3" operator="equal" aboveAverage="0" equalAverage="0" bottom="0" percent="0" rank="0" text="" dxfId="1">
      <formula>"NO VERIFICA FLEX."</formula>
    </cfRule>
    <cfRule type="cellIs" priority="4" operator="equal" aboveAverage="0" equalAverage="0" bottom="0" percent="0" rank="0" text="" dxfId="1">
      <formula>"NO VERIF. CORTE"</formula>
    </cfRule>
    <cfRule type="cellIs" priority="5" operator="equal" aboveAverage="0" equalAverage="0" bottom="0" percent="0" rank="0" text="" dxfId="1">
      <formula>"SECCION INSUF."</formula>
    </cfRule>
    <cfRule type="cellIs" priority="6" operator="equal" aboveAverage="0" equalAverage="0" bottom="0" percent="0" rank="0" text="" dxfId="1">
      <formula>"FALTA SECCION"</formula>
    </cfRule>
  </conditionalFormatting>
  <dataValidations count="2">
    <dataValidation allowBlank="true" errorStyle="stop" operator="between" showDropDown="false" showErrorMessage="false" showInputMessage="false" sqref="C4:C34" type="list">
      <formula1>Datos_vigas!$A$19:$A$23</formula1>
      <formula2>0</formula2>
    </dataValidation>
    <dataValidation allowBlank="true" errorStyle="stop" operator="between" showDropDown="false" showErrorMessage="false" showInputMessage="false" sqref="O4:O34 R4:R34 U4:U34" type="list">
      <formula1>"6,8,10,12,16,20,25"</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5"/>
    <col collapsed="false" customWidth="true" hidden="false" outlineLevel="0" max="2" min="2" style="0" width="17.61"/>
    <col collapsed="false" customWidth="true" hidden="false" outlineLevel="0" max="3" min="3" style="0" width="10.8"/>
    <col collapsed="false" customWidth="true" hidden="false" outlineLevel="0" max="6" min="4" style="0" width="9.51"/>
    <col collapsed="false" customWidth="true" hidden="false" outlineLevel="0" max="8" min="7" style="0" width="14.9"/>
    <col collapsed="false" customWidth="true" hidden="false" outlineLevel="0" max="9" min="9" style="0" width="12.2"/>
    <col collapsed="false" customWidth="true" hidden="false" outlineLevel="0" max="10" min="10" style="0" width="10.8"/>
    <col collapsed="false" customWidth="true" hidden="false" outlineLevel="0" max="11" min="11" style="0" width="12.2"/>
    <col collapsed="false" customWidth="true" hidden="false" outlineLevel="0" max="13" min="12" style="0" width="14.9"/>
    <col collapsed="false" customWidth="true" hidden="false" outlineLevel="0" max="14" min="14" style="0" width="18.9"/>
    <col collapsed="false" customWidth="true" hidden="false" outlineLevel="0" max="15" min="15" style="0" width="59.39"/>
  </cols>
  <sheetData>
    <row r="1" customFormat="false" ht="39" hidden="false" customHeight="true" outlineLevel="0" collapsed="false">
      <c r="A1" s="27" t="s">
        <v>313</v>
      </c>
      <c r="B1" s="27"/>
      <c r="C1" s="27"/>
      <c r="D1" s="27"/>
      <c r="E1" s="27"/>
      <c r="F1" s="27"/>
      <c r="G1" s="27"/>
      <c r="H1" s="27"/>
      <c r="I1" s="27"/>
      <c r="J1" s="27"/>
      <c r="K1" s="27"/>
      <c r="L1" s="27"/>
      <c r="M1" s="27"/>
      <c r="N1" s="27"/>
      <c r="O1" s="27"/>
    </row>
    <row r="2" customFormat="false" ht="39" hidden="false" customHeight="true" outlineLevel="0" collapsed="false">
      <c r="A2" s="2" t="s">
        <v>128</v>
      </c>
      <c r="B2" s="2" t="s">
        <v>314</v>
      </c>
      <c r="C2" s="2" t="s">
        <v>315</v>
      </c>
      <c r="D2" s="2" t="s">
        <v>316</v>
      </c>
      <c r="E2" s="2"/>
      <c r="F2" s="2"/>
      <c r="G2" s="2" t="s">
        <v>317</v>
      </c>
      <c r="H2" s="2"/>
      <c r="I2" s="2" t="s">
        <v>318</v>
      </c>
      <c r="J2" s="2"/>
      <c r="K2" s="2"/>
      <c r="L2" s="2"/>
      <c r="M2" s="2"/>
      <c r="N2" s="2" t="s">
        <v>7</v>
      </c>
      <c r="O2" s="2" t="s">
        <v>8</v>
      </c>
    </row>
    <row r="3" customFormat="false" ht="39" hidden="false" customHeight="true" outlineLevel="0" collapsed="false">
      <c r="A3" s="2"/>
      <c r="B3" s="2"/>
      <c r="C3" s="2"/>
      <c r="D3" s="3" t="s">
        <v>150</v>
      </c>
      <c r="E3" s="3" t="s">
        <v>151</v>
      </c>
      <c r="F3" s="3" t="s">
        <v>145</v>
      </c>
      <c r="G3" s="3" t="s">
        <v>319</v>
      </c>
      <c r="H3" s="3" t="s">
        <v>320</v>
      </c>
      <c r="I3" s="3" t="s">
        <v>321</v>
      </c>
      <c r="J3" s="3" t="s">
        <v>322</v>
      </c>
      <c r="K3" s="3" t="s">
        <v>323</v>
      </c>
      <c r="L3" s="3" t="s">
        <v>324</v>
      </c>
      <c r="M3" s="3" t="s">
        <v>325</v>
      </c>
      <c r="N3" s="2"/>
      <c r="O3" s="2"/>
    </row>
    <row r="4" customFormat="false" ht="61.5" hidden="false" customHeight="true" outlineLevel="0" collapsed="false">
      <c r="A4" s="19" t="s">
        <v>326</v>
      </c>
      <c r="B4" s="8" t="s">
        <v>327</v>
      </c>
      <c r="C4" s="8" t="s">
        <v>328</v>
      </c>
      <c r="D4" s="8" t="n">
        <v>70</v>
      </c>
      <c r="E4" s="8" t="n">
        <v>70</v>
      </c>
      <c r="F4" s="8" t="n">
        <v>65</v>
      </c>
      <c r="G4" s="7" t="n">
        <v>2.49</v>
      </c>
      <c r="H4" s="7" t="n">
        <f aca="false">IF(G4="","",G4/1.4)</f>
        <v>1.77857142857143</v>
      </c>
      <c r="I4" s="8" t="n">
        <v>1</v>
      </c>
      <c r="J4" s="8" t="n">
        <v>30</v>
      </c>
      <c r="K4" s="7" t="n">
        <v>4.5</v>
      </c>
      <c r="L4" s="7" t="n">
        <f aca="false">IF(H4="","",H4/I4)</f>
        <v>1.77857142857143</v>
      </c>
      <c r="M4" s="7" t="n">
        <f aca="false">Datos_pilotes!$B$4</f>
        <v>22</v>
      </c>
      <c r="N4" s="9" t="str">
        <f aca="false">IF(L4="","FALTA CARGA",IF(L4&lt;=M4,"VERIFICA","NO VERIFICA"))</f>
        <v>VERIFICA</v>
      </c>
      <c r="O4" s="10" t="s">
        <v>329</v>
      </c>
    </row>
    <row r="5" customFormat="false" ht="61.5" hidden="false" customHeight="true" outlineLevel="0" collapsed="false">
      <c r="A5" s="19" t="s">
        <v>330</v>
      </c>
      <c r="B5" s="8" t="s">
        <v>331</v>
      </c>
      <c r="C5" s="8" t="s">
        <v>328</v>
      </c>
      <c r="D5" s="8" t="n">
        <v>70</v>
      </c>
      <c r="E5" s="8" t="n">
        <v>70</v>
      </c>
      <c r="F5" s="8" t="n">
        <v>65</v>
      </c>
      <c r="G5" s="7" t="n">
        <v>29.46</v>
      </c>
      <c r="H5" s="7" t="n">
        <f aca="false">IF(G5="","",G5/1.4)</f>
        <v>21.0428571428571</v>
      </c>
      <c r="I5" s="8" t="n">
        <v>1</v>
      </c>
      <c r="J5" s="8" t="n">
        <v>30</v>
      </c>
      <c r="K5" s="7" t="n">
        <v>4.5</v>
      </c>
      <c r="L5" s="7" t="n">
        <f aca="false">IF(H5="","",H5/I5)</f>
        <v>21.0428571428571</v>
      </c>
      <c r="M5" s="7" t="n">
        <f aca="false">Datos_pilotes!$B$4</f>
        <v>22</v>
      </c>
      <c r="N5" s="9" t="str">
        <f aca="false">IF(L5="","FALTA CARGA",IF(L5&lt;=M5,"VERIFICA","NO VERIFICA"))</f>
        <v>VERIFICA</v>
      </c>
      <c r="O5" s="10" t="s">
        <v>329</v>
      </c>
    </row>
    <row r="6" customFormat="false" ht="61.5" hidden="false" customHeight="true" outlineLevel="0" collapsed="false">
      <c r="A6" s="19" t="s">
        <v>332</v>
      </c>
      <c r="B6" s="8" t="s">
        <v>333</v>
      </c>
      <c r="C6" s="8" t="s">
        <v>328</v>
      </c>
      <c r="D6" s="8" t="n">
        <v>70</v>
      </c>
      <c r="E6" s="8" t="n">
        <v>70</v>
      </c>
      <c r="F6" s="8" t="n">
        <v>65</v>
      </c>
      <c r="G6" s="7" t="n">
        <v>15.96</v>
      </c>
      <c r="H6" s="7" t="n">
        <f aca="false">IF(G6="","",G6/1.4)</f>
        <v>11.4</v>
      </c>
      <c r="I6" s="8" t="n">
        <v>1</v>
      </c>
      <c r="J6" s="8" t="n">
        <v>30</v>
      </c>
      <c r="K6" s="7" t="n">
        <v>4.5</v>
      </c>
      <c r="L6" s="7" t="n">
        <f aca="false">IF(H6="","",H6/I6)</f>
        <v>11.4</v>
      </c>
      <c r="M6" s="7" t="n">
        <f aca="false">Datos_pilotes!$B$4</f>
        <v>22</v>
      </c>
      <c r="N6" s="9" t="str">
        <f aca="false">IF(L6="","FALTA CARGA",IF(L6&lt;=M6,"VERIFICA","NO VERIFICA"))</f>
        <v>VERIFICA</v>
      </c>
      <c r="O6" s="10" t="s">
        <v>329</v>
      </c>
    </row>
    <row r="7" customFormat="false" ht="61.5" hidden="false" customHeight="true" outlineLevel="0" collapsed="false">
      <c r="A7" s="19" t="s">
        <v>334</v>
      </c>
      <c r="B7" s="8" t="s">
        <v>335</v>
      </c>
      <c r="C7" s="8" t="s">
        <v>328</v>
      </c>
      <c r="D7" s="8" t="n">
        <v>70</v>
      </c>
      <c r="E7" s="8" t="n">
        <v>70</v>
      </c>
      <c r="F7" s="8" t="n">
        <v>65</v>
      </c>
      <c r="G7" s="7" t="n">
        <v>10.6</v>
      </c>
      <c r="H7" s="7" t="n">
        <f aca="false">IF(G7="","",G7/1.4)</f>
        <v>7.57142857142857</v>
      </c>
      <c r="I7" s="8" t="n">
        <v>1</v>
      </c>
      <c r="J7" s="8" t="n">
        <v>30</v>
      </c>
      <c r="K7" s="7" t="n">
        <v>4.5</v>
      </c>
      <c r="L7" s="7" t="n">
        <f aca="false">IF(H7="","",H7/I7)</f>
        <v>7.57142857142857</v>
      </c>
      <c r="M7" s="7" t="n">
        <f aca="false">Datos_pilotes!$B$4</f>
        <v>22</v>
      </c>
      <c r="N7" s="9" t="str">
        <f aca="false">IF(L7="","FALTA CARGA",IF(L7&lt;=M7,"VERIFICA","NO VERIFICA"))</f>
        <v>VERIFICA</v>
      </c>
      <c r="O7" s="10" t="s">
        <v>329</v>
      </c>
    </row>
    <row r="8" customFormat="false" ht="61.5" hidden="false" customHeight="true" outlineLevel="0" collapsed="false">
      <c r="A8" s="19" t="s">
        <v>336</v>
      </c>
      <c r="B8" s="8" t="s">
        <v>337</v>
      </c>
      <c r="C8" s="8" t="s">
        <v>328</v>
      </c>
      <c r="D8" s="8" t="n">
        <v>70</v>
      </c>
      <c r="E8" s="8" t="n">
        <v>70</v>
      </c>
      <c r="F8" s="8" t="n">
        <v>65</v>
      </c>
      <c r="G8" s="7" t="n">
        <v>10.28</v>
      </c>
      <c r="H8" s="7" t="n">
        <f aca="false">IF(G8="","",G8/1.4)</f>
        <v>7.34285714285714</v>
      </c>
      <c r="I8" s="8" t="n">
        <v>1</v>
      </c>
      <c r="J8" s="8" t="n">
        <v>30</v>
      </c>
      <c r="K8" s="7" t="n">
        <v>4.5</v>
      </c>
      <c r="L8" s="7" t="n">
        <f aca="false">IF(H8="","",H8/I8)</f>
        <v>7.34285714285714</v>
      </c>
      <c r="M8" s="7" t="n">
        <f aca="false">Datos_pilotes!$B$4</f>
        <v>22</v>
      </c>
      <c r="N8" s="9" t="str">
        <f aca="false">IF(L8="","FALTA CARGA",IF(L8&lt;=M8,"VERIFICA","NO VERIFICA"))</f>
        <v>VERIFICA</v>
      </c>
      <c r="O8" s="10" t="s">
        <v>329</v>
      </c>
    </row>
    <row r="9" customFormat="false" ht="69.75" hidden="false" customHeight="true" outlineLevel="0" collapsed="false">
      <c r="A9" s="19" t="s">
        <v>338</v>
      </c>
      <c r="B9" s="8" t="s">
        <v>339</v>
      </c>
      <c r="C9" s="8" t="s">
        <v>340</v>
      </c>
      <c r="D9" s="8" t="n">
        <v>144</v>
      </c>
      <c r="E9" s="8" t="n">
        <v>70</v>
      </c>
      <c r="F9" s="8" t="n">
        <v>70</v>
      </c>
      <c r="G9" s="7" t="n">
        <v>32.1</v>
      </c>
      <c r="H9" s="7" t="n">
        <f aca="false">IF(G9="","",G9/1.4)</f>
        <v>22.9285714285714</v>
      </c>
      <c r="I9" s="8" t="n">
        <v>3</v>
      </c>
      <c r="J9" s="8" t="n">
        <v>30</v>
      </c>
      <c r="K9" s="7" t="n">
        <v>4.5</v>
      </c>
      <c r="L9" s="7" t="n">
        <f aca="false">IF(H9="","",H9/I9)</f>
        <v>7.64285714285714</v>
      </c>
      <c r="M9" s="7" t="n">
        <f aca="false">Datos_pilotes!$B$4</f>
        <v>22</v>
      </c>
      <c r="N9" s="9" t="str">
        <f aca="false">IF(L9="","FALTA CARGA",IF(L9&lt;=M9,"VERIFICA","NO VERIFICA"))</f>
        <v>VERIFICA</v>
      </c>
      <c r="O9" s="10" t="s">
        <v>341</v>
      </c>
    </row>
    <row r="10" customFormat="false" ht="69.75" hidden="false" customHeight="true" outlineLevel="0" collapsed="false">
      <c r="A10" s="19" t="s">
        <v>342</v>
      </c>
      <c r="B10" s="8" t="s">
        <v>343</v>
      </c>
      <c r="C10" s="8" t="s">
        <v>344</v>
      </c>
      <c r="D10" s="8" t="n">
        <v>129</v>
      </c>
      <c r="E10" s="8" t="n">
        <v>70</v>
      </c>
      <c r="F10" s="8" t="n">
        <v>70</v>
      </c>
      <c r="G10" s="7" t="n">
        <v>37.78</v>
      </c>
      <c r="H10" s="7" t="n">
        <f aca="false">IF(G10="","",G10/1.4)</f>
        <v>26.9857142857143</v>
      </c>
      <c r="I10" s="8" t="n">
        <v>2</v>
      </c>
      <c r="J10" s="8" t="n">
        <v>30</v>
      </c>
      <c r="K10" s="7" t="n">
        <v>4.5</v>
      </c>
      <c r="L10" s="7" t="n">
        <f aca="false">IF(H10="","",H10/I10)</f>
        <v>13.4928571428571</v>
      </c>
      <c r="M10" s="7" t="n">
        <f aca="false">Datos_pilotes!$B$4</f>
        <v>22</v>
      </c>
      <c r="N10" s="9" t="str">
        <f aca="false">IF(L10="","FALTA CARGA",IF(L10&lt;=M10,"VERIFICA","NO VERIFICA"))</f>
        <v>VERIFICA</v>
      </c>
      <c r="O10" s="10" t="s">
        <v>345</v>
      </c>
    </row>
    <row r="11" customFormat="false" ht="69.75" hidden="false" customHeight="true" outlineLevel="0" collapsed="false">
      <c r="A11" s="19" t="s">
        <v>346</v>
      </c>
      <c r="B11" s="8" t="s">
        <v>347</v>
      </c>
      <c r="C11" s="8" t="s">
        <v>340</v>
      </c>
      <c r="D11" s="8" t="n">
        <v>144</v>
      </c>
      <c r="E11" s="8" t="n">
        <v>70</v>
      </c>
      <c r="F11" s="8" t="n">
        <v>70</v>
      </c>
      <c r="G11" s="7" t="n">
        <v>54.93</v>
      </c>
      <c r="H11" s="7" t="n">
        <f aca="false">IF(G11="","",G11/1.4)</f>
        <v>39.2357142857143</v>
      </c>
      <c r="I11" s="8" t="n">
        <v>3</v>
      </c>
      <c r="J11" s="8" t="n">
        <v>30</v>
      </c>
      <c r="K11" s="7" t="n">
        <v>4.5</v>
      </c>
      <c r="L11" s="7" t="n">
        <f aca="false">IF(H11="","",H11/I11)</f>
        <v>13.0785714285714</v>
      </c>
      <c r="M11" s="7" t="n">
        <f aca="false">Datos_pilotes!$B$4</f>
        <v>22</v>
      </c>
      <c r="N11" s="9" t="str">
        <f aca="false">IF(L11="","FALTA CARGA",IF(L11&lt;=M11,"VERIFICA","NO VERIFICA"))</f>
        <v>VERIFICA</v>
      </c>
      <c r="O11" s="10" t="s">
        <v>341</v>
      </c>
    </row>
    <row r="12" customFormat="false" ht="69.75" hidden="false" customHeight="true" outlineLevel="0" collapsed="false">
      <c r="A12" s="30" t="s">
        <v>348</v>
      </c>
      <c r="B12" s="13" t="s">
        <v>349</v>
      </c>
      <c r="C12" s="13" t="s">
        <v>344</v>
      </c>
      <c r="D12" s="13" t="n">
        <v>129</v>
      </c>
      <c r="E12" s="13" t="n">
        <v>70</v>
      </c>
      <c r="F12" s="13" t="n">
        <v>70</v>
      </c>
      <c r="G12" s="12" t="n">
        <v>42.67</v>
      </c>
      <c r="H12" s="12" t="n">
        <f aca="false">IF(G12="","",G12/1.4)</f>
        <v>30.4785714285714</v>
      </c>
      <c r="I12" s="13" t="n">
        <v>2</v>
      </c>
      <c r="J12" s="13" t="n">
        <v>30</v>
      </c>
      <c r="K12" s="12" t="n">
        <v>4.5</v>
      </c>
      <c r="L12" s="12" t="n">
        <f aca="false">IF(H12="","",H12/I12)</f>
        <v>15.2392857142857</v>
      </c>
      <c r="M12" s="12" t="n">
        <f aca="false">Datos_pilotes!$B$4</f>
        <v>22</v>
      </c>
      <c r="N12" s="14" t="str">
        <f aca="false">IF(L12="","FALTA CARGA",IF(L12&lt;=M12,"VERIFICA","NO VERIFICA"))</f>
        <v>VERIFICA</v>
      </c>
      <c r="O12" s="15" t="s">
        <v>345</v>
      </c>
    </row>
    <row r="13" customFormat="false" ht="15" hidden="false" customHeight="false" outlineLevel="0" collapsed="false">
      <c r="A13" s="24"/>
      <c r="B13" s="24"/>
      <c r="C13" s="24"/>
      <c r="D13" s="24"/>
      <c r="E13" s="24"/>
      <c r="F13" s="24"/>
      <c r="G13" s="24"/>
      <c r="H13" s="24"/>
      <c r="I13" s="24"/>
      <c r="J13" s="24"/>
      <c r="K13" s="24"/>
      <c r="L13" s="24"/>
      <c r="M13" s="24"/>
      <c r="N13" s="24"/>
      <c r="O13" s="24"/>
    </row>
    <row r="14" customFormat="false" ht="39" hidden="false" customHeight="true" outlineLevel="0" collapsed="false">
      <c r="A14" s="25" t="s">
        <v>350</v>
      </c>
      <c r="B14" s="24"/>
      <c r="C14" s="24"/>
      <c r="D14" s="24"/>
      <c r="E14" s="24"/>
      <c r="F14" s="24"/>
      <c r="G14" s="24"/>
      <c r="H14" s="24"/>
      <c r="I14" s="24"/>
      <c r="J14" s="24"/>
      <c r="K14" s="24"/>
      <c r="L14" s="24"/>
      <c r="M14" s="24"/>
      <c r="N14" s="24"/>
      <c r="O14" s="24"/>
    </row>
  </sheetData>
  <mergeCells count="9">
    <mergeCell ref="A1:O1"/>
    <mergeCell ref="A2:A3"/>
    <mergeCell ref="B2:B3"/>
    <mergeCell ref="C2:C3"/>
    <mergeCell ref="D2:F2"/>
    <mergeCell ref="G2:H2"/>
    <mergeCell ref="I2:M2"/>
    <mergeCell ref="N2:N3"/>
    <mergeCell ref="O2:O3"/>
  </mergeCells>
  <conditionalFormatting sqref="N4:N12">
    <cfRule type="cellIs" priority="2" operator="equal" aboveAverage="0" equalAverage="0" bottom="0" percent="0" rank="0" text="" dxfId="0">
      <formula>"VERIFICA"</formula>
    </cfRule>
    <cfRule type="cellIs" priority="3" operator="equal" aboveAverage="0" equalAverage="0" bottom="0" percent="0" rank="0" text="" dxfId="1">
      <formula>"NO VERIFICA"</formula>
    </cfRule>
    <cfRule type="cellIs" priority="4" operator="equal" aboveAverage="0" equalAverage="0" bottom="0" percent="0" rank="0" text="" dxfId="1">
      <formula>"FALTA CARGA"</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8"/>
    <col collapsed="false" customWidth="true" hidden="false" outlineLevel="0" max="4" min="2" style="0" width="13.5"/>
    <col collapsed="false" customWidth="true" hidden="false" outlineLevel="0" max="7" min="5" style="0" width="10.8"/>
    <col collapsed="false" customWidth="true" hidden="false" outlineLevel="0" max="8" min="8" style="0" width="8.1"/>
    <col collapsed="false" customWidth="true" hidden="false" outlineLevel="0" max="9" min="9" style="0" width="14.9"/>
    <col collapsed="false" customWidth="true" hidden="false" outlineLevel="0" max="10" min="10" style="0" width="10.8"/>
    <col collapsed="false" customWidth="true" hidden="false" outlineLevel="0" max="11" min="11" style="0" width="8.1"/>
    <col collapsed="false" customWidth="true" hidden="false" outlineLevel="0" max="12" min="12" style="0" width="14.9"/>
    <col collapsed="false" customWidth="true" hidden="false" outlineLevel="0" max="13" min="13" style="0" width="13.5"/>
    <col collapsed="false" customWidth="true" hidden="false" outlineLevel="0" max="14" min="14" style="0" width="16.2"/>
    <col collapsed="false" customWidth="true" hidden="false" outlineLevel="0" max="15" min="15" style="0" width="13.5"/>
    <col collapsed="false" customWidth="true" hidden="false" outlineLevel="0" max="16" min="16" style="0" width="17.61"/>
    <col collapsed="false" customWidth="true" hidden="false" outlineLevel="0" max="17" min="17" style="0" width="59.39"/>
  </cols>
  <sheetData>
    <row r="1" customFormat="false" ht="39" hidden="false" customHeight="true" outlineLevel="0" collapsed="false">
      <c r="A1" s="1" t="s">
        <v>351</v>
      </c>
      <c r="B1" s="1"/>
      <c r="C1" s="1"/>
      <c r="D1" s="1"/>
      <c r="E1" s="1"/>
      <c r="F1" s="1"/>
      <c r="G1" s="1"/>
      <c r="H1" s="1"/>
      <c r="I1" s="1"/>
      <c r="J1" s="1"/>
      <c r="K1" s="1"/>
      <c r="L1" s="1"/>
      <c r="M1" s="1"/>
      <c r="N1" s="1"/>
      <c r="O1" s="1"/>
      <c r="P1" s="1"/>
      <c r="Q1" s="1"/>
    </row>
    <row r="2" customFormat="false" ht="39" hidden="false" customHeight="true" outlineLevel="0" collapsed="false">
      <c r="A2" s="2" t="s">
        <v>127</v>
      </c>
      <c r="B2" s="2" t="s">
        <v>128</v>
      </c>
      <c r="C2" s="2" t="s">
        <v>245</v>
      </c>
      <c r="D2" s="2" t="s">
        <v>244</v>
      </c>
      <c r="E2" s="2" t="s">
        <v>246</v>
      </c>
      <c r="F2" s="2"/>
      <c r="G2" s="2" t="s">
        <v>352</v>
      </c>
      <c r="H2" s="2"/>
      <c r="I2" s="2"/>
      <c r="J2" s="2" t="s">
        <v>353</v>
      </c>
      <c r="K2" s="2"/>
      <c r="L2" s="2"/>
      <c r="M2" s="2" t="s">
        <v>7</v>
      </c>
      <c r="N2" s="2"/>
      <c r="O2" s="2"/>
      <c r="P2" s="2"/>
      <c r="Q2" s="2" t="s">
        <v>8</v>
      </c>
    </row>
    <row r="3" customFormat="false" ht="39" hidden="false" customHeight="true" outlineLevel="0" collapsed="false">
      <c r="A3" s="2"/>
      <c r="B3" s="2"/>
      <c r="C3" s="2"/>
      <c r="D3" s="2"/>
      <c r="E3" s="3" t="s">
        <v>150</v>
      </c>
      <c r="F3" s="3" t="s">
        <v>151</v>
      </c>
      <c r="G3" s="3" t="s">
        <v>147</v>
      </c>
      <c r="H3" s="3" t="s">
        <v>149</v>
      </c>
      <c r="I3" s="3" t="s">
        <v>354</v>
      </c>
      <c r="J3" s="3" t="s">
        <v>147</v>
      </c>
      <c r="K3" s="3" t="s">
        <v>149</v>
      </c>
      <c r="L3" s="3" t="s">
        <v>354</v>
      </c>
      <c r="M3" s="3" t="s">
        <v>355</v>
      </c>
      <c r="N3" s="3" t="s">
        <v>356</v>
      </c>
      <c r="O3" s="3" t="s">
        <v>250</v>
      </c>
      <c r="P3" s="3" t="s">
        <v>357</v>
      </c>
      <c r="Q3" s="2"/>
    </row>
    <row r="4" customFormat="false" ht="69.75" hidden="false" customHeight="true" outlineLevel="0" collapsed="false">
      <c r="A4" s="28" t="s">
        <v>12</v>
      </c>
      <c r="B4" s="19" t="s">
        <v>358</v>
      </c>
      <c r="C4" s="7" t="n">
        <v>18.74</v>
      </c>
      <c r="D4" s="7" t="n">
        <v>3.15</v>
      </c>
      <c r="E4" s="8" t="n">
        <v>365</v>
      </c>
      <c r="F4" s="8" t="n">
        <v>87</v>
      </c>
      <c r="G4" s="7" t="n">
        <f aca="false">2*(100/I4)*PI()*(H4/10)^2/4</f>
        <v>5.02654824574367</v>
      </c>
      <c r="H4" s="8" t="n">
        <v>8</v>
      </c>
      <c r="I4" s="8" t="n">
        <v>20</v>
      </c>
      <c r="J4" s="7" t="n">
        <f aca="false">(100/L4)*PI()*(K4/10)^2/4</f>
        <v>2.51327412287184</v>
      </c>
      <c r="K4" s="8" t="n">
        <v>8</v>
      </c>
      <c r="L4" s="8" t="n">
        <v>20</v>
      </c>
      <c r="M4" s="29" t="n">
        <f aca="false">IF(F4&lt;=12,E4*F4,(E4+F4-12)*12)</f>
        <v>5280</v>
      </c>
      <c r="N4" s="7" t="n">
        <f aca="false">IF(C4="","",C4*1000/M4)</f>
        <v>3.54924242424242</v>
      </c>
      <c r="O4" s="7" t="n">
        <f aca="false">0.55*0.65*Datos_vigas!$B$5*M4*MAX(0,1-(D4*100/(32*12))^2)/1000</f>
        <v>129.656137939453</v>
      </c>
      <c r="P4" s="9" t="str">
        <f aca="false">IF(C4="","FALTA CARGA",IF(C4&lt;=O4,"VERIFICA","NO VERIFICA"))</f>
        <v>VERIFICA</v>
      </c>
      <c r="Q4" s="10" t="s">
        <v>359</v>
      </c>
    </row>
    <row r="5" customFormat="false" ht="69.75" hidden="false" customHeight="true" outlineLevel="0" collapsed="false">
      <c r="A5" s="28"/>
      <c r="B5" s="19" t="s">
        <v>360</v>
      </c>
      <c r="C5" s="7" t="n">
        <v>8.5</v>
      </c>
      <c r="D5" s="7" t="n">
        <v>3.15</v>
      </c>
      <c r="E5" s="8" t="n">
        <v>420</v>
      </c>
      <c r="F5" s="8" t="n">
        <v>85</v>
      </c>
      <c r="G5" s="7" t="n">
        <f aca="false">2*(100/I5)*PI()*(H5/10)^2/4</f>
        <v>5.02654824574367</v>
      </c>
      <c r="H5" s="8" t="n">
        <v>8</v>
      </c>
      <c r="I5" s="8" t="n">
        <v>20</v>
      </c>
      <c r="J5" s="7" t="n">
        <f aca="false">(100/L5)*PI()*(K5/10)^2/4</f>
        <v>2.51327412287184</v>
      </c>
      <c r="K5" s="8" t="n">
        <v>8</v>
      </c>
      <c r="L5" s="8" t="n">
        <v>20</v>
      </c>
      <c r="M5" s="29" t="n">
        <f aca="false">IF(F5&lt;=12,E5*F5,(E5+F5-12)*12)</f>
        <v>5916</v>
      </c>
      <c r="N5" s="7" t="n">
        <f aca="false">IF(C5="","",C5*1000/M5)</f>
        <v>1.4367816091954</v>
      </c>
      <c r="O5" s="7" t="n">
        <f aca="false">0.55*0.65*Datos_vigas!$B$5*M5*MAX(0,1-(D5*100/(32*12))^2)/1000</f>
        <v>145.273809100342</v>
      </c>
      <c r="P5" s="9" t="str">
        <f aca="false">IF(C5="","FALTA CARGA",IF(C5&lt;=O5,"VERIFICA","NO VERIFICA"))</f>
        <v>VERIFICA</v>
      </c>
      <c r="Q5" s="10" t="s">
        <v>361</v>
      </c>
    </row>
    <row r="6" customFormat="false" ht="69.75" hidden="false" customHeight="true" outlineLevel="0" collapsed="false">
      <c r="A6" s="28"/>
      <c r="B6" s="19" t="s">
        <v>362</v>
      </c>
      <c r="C6" s="7" t="n">
        <v>5</v>
      </c>
      <c r="D6" s="7" t="n">
        <v>3.15</v>
      </c>
      <c r="E6" s="8" t="n">
        <v>80</v>
      </c>
      <c r="F6" s="8" t="n">
        <v>12</v>
      </c>
      <c r="G6" s="7" t="n">
        <f aca="false">2*(100/I6)*PI()*(H6/10)^2/4</f>
        <v>5.02654824574367</v>
      </c>
      <c r="H6" s="8" t="n">
        <v>8</v>
      </c>
      <c r="I6" s="8" t="n">
        <v>20</v>
      </c>
      <c r="J6" s="7" t="n">
        <f aca="false">(100/L6)*PI()*(K6/10)^2/4</f>
        <v>2.51327412287184</v>
      </c>
      <c r="K6" s="8" t="n">
        <v>8</v>
      </c>
      <c r="L6" s="8" t="n">
        <v>20</v>
      </c>
      <c r="M6" s="29" t="n">
        <f aca="false">IF(F6&lt;=12,E6*F6,(E6+F6-12)*12)</f>
        <v>960</v>
      </c>
      <c r="N6" s="7" t="n">
        <f aca="false">IF(C6="","",C6*1000/M6)</f>
        <v>5.20833333333333</v>
      </c>
      <c r="O6" s="7" t="n">
        <f aca="false">0.55*0.65*Datos_vigas!$B$5*M6*MAX(0,1-(D6*100/(32*12))^2)/1000</f>
        <v>23.5738432617188</v>
      </c>
      <c r="P6" s="9" t="str">
        <f aca="false">IF(C6="","FALTA CARGA",IF(C6&lt;=O6,"VERIFICA","NO VERIFICA"))</f>
        <v>VERIFICA</v>
      </c>
      <c r="Q6" s="10" t="s">
        <v>363</v>
      </c>
    </row>
    <row r="7" customFormat="false" ht="69.75" hidden="false" customHeight="true" outlineLevel="0" collapsed="false">
      <c r="A7" s="28"/>
      <c r="B7" s="19" t="s">
        <v>364</v>
      </c>
      <c r="C7" s="7" t="n">
        <v>12.52</v>
      </c>
      <c r="D7" s="7" t="n">
        <v>3.15</v>
      </c>
      <c r="E7" s="8" t="n">
        <v>355</v>
      </c>
      <c r="F7" s="8" t="n">
        <v>12</v>
      </c>
      <c r="G7" s="7" t="n">
        <f aca="false">2*(100/I7)*PI()*(H7/10)^2/4</f>
        <v>5.02654824574367</v>
      </c>
      <c r="H7" s="8" t="n">
        <v>8</v>
      </c>
      <c r="I7" s="8" t="n">
        <v>20</v>
      </c>
      <c r="J7" s="7" t="n">
        <f aca="false">(100/L7)*PI()*(K7/10)^2/4</f>
        <v>2.51327412287184</v>
      </c>
      <c r="K7" s="8" t="n">
        <v>8</v>
      </c>
      <c r="L7" s="8" t="n">
        <v>20</v>
      </c>
      <c r="M7" s="29" t="n">
        <f aca="false">IF(F7&lt;=12,E7*F7,(E7+F7-12)*12)</f>
        <v>4260</v>
      </c>
      <c r="N7" s="7" t="n">
        <f aca="false">IF(C7="","",C7*1000/M7)</f>
        <v>2.93896713615023</v>
      </c>
      <c r="O7" s="7" t="n">
        <f aca="false">0.55*0.65*Datos_vigas!$B$5*M7*MAX(0,1-(D7*100/(32*12))^2)/1000</f>
        <v>104.608929473877</v>
      </c>
      <c r="P7" s="9" t="str">
        <f aca="false">IF(C7="","FALTA CARGA",IF(C7&lt;=O7,"VERIFICA","NO VERIFICA"))</f>
        <v>VERIFICA</v>
      </c>
      <c r="Q7" s="10" t="s">
        <v>365</v>
      </c>
    </row>
    <row r="8" customFormat="false" ht="69.75" hidden="false" customHeight="true" outlineLevel="0" collapsed="false">
      <c r="A8" s="28"/>
      <c r="B8" s="19" t="s">
        <v>366</v>
      </c>
      <c r="C8" s="7" t="n">
        <v>11</v>
      </c>
      <c r="D8" s="7" t="n">
        <v>3.15</v>
      </c>
      <c r="E8" s="8" t="n">
        <v>400</v>
      </c>
      <c r="F8" s="8" t="n">
        <v>300</v>
      </c>
      <c r="G8" s="7" t="n">
        <f aca="false">2*(100/I8)*PI()*(H8/10)^2/4</f>
        <v>5.02654824574367</v>
      </c>
      <c r="H8" s="8" t="n">
        <v>8</v>
      </c>
      <c r="I8" s="8" t="n">
        <v>20</v>
      </c>
      <c r="J8" s="7" t="n">
        <f aca="false">(100/L8)*PI()*(K8/10)^2/4</f>
        <v>2.51327412287184</v>
      </c>
      <c r="K8" s="8" t="n">
        <v>8</v>
      </c>
      <c r="L8" s="8" t="n">
        <v>20</v>
      </c>
      <c r="M8" s="29" t="n">
        <f aca="false">IF(F8&lt;=12,E8*F8,(E8+F8-12)*12)</f>
        <v>8256</v>
      </c>
      <c r="N8" s="7" t="n">
        <f aca="false">IF(C8="","",C8*1000/M8)</f>
        <v>1.33236434108527</v>
      </c>
      <c r="O8" s="7" t="n">
        <f aca="false">0.55*0.65*Datos_vigas!$B$5*M8*MAX(0,1-(D8*100/(32*12))^2)/1000</f>
        <v>202.735052050781</v>
      </c>
      <c r="P8" s="9" t="str">
        <f aca="false">IF(C8="","FALTA CARGA",IF(C8&lt;=O8,"VERIFICA","NO VERIFICA"))</f>
        <v>VERIFICA</v>
      </c>
      <c r="Q8" s="10" t="s">
        <v>367</v>
      </c>
    </row>
    <row r="9" customFormat="false" ht="69.75" hidden="false" customHeight="true" outlineLevel="0" collapsed="false">
      <c r="A9" s="28"/>
      <c r="B9" s="19" t="s">
        <v>368</v>
      </c>
      <c r="C9" s="7" t="n">
        <v>14.1</v>
      </c>
      <c r="D9" s="7" t="n">
        <v>3.15</v>
      </c>
      <c r="E9" s="8" t="n">
        <v>270</v>
      </c>
      <c r="F9" s="8" t="n">
        <v>90</v>
      </c>
      <c r="G9" s="7" t="n">
        <f aca="false">2*(100/I9)*PI()*(H9/10)^2/4</f>
        <v>5.02654824574367</v>
      </c>
      <c r="H9" s="8" t="n">
        <v>8</v>
      </c>
      <c r="I9" s="8" t="n">
        <v>20</v>
      </c>
      <c r="J9" s="7" t="n">
        <f aca="false">(100/L9)*PI()*(K9/10)^2/4</f>
        <v>2.51327412287184</v>
      </c>
      <c r="K9" s="8" t="n">
        <v>8</v>
      </c>
      <c r="L9" s="8" t="n">
        <v>20</v>
      </c>
      <c r="M9" s="29" t="n">
        <f aca="false">IF(F9&lt;=12,E9*F9,(E9+F9-12)*12)</f>
        <v>4176</v>
      </c>
      <c r="N9" s="7" t="n">
        <f aca="false">IF(C9="","",C9*1000/M9)</f>
        <v>3.3764367816092</v>
      </c>
      <c r="O9" s="7" t="n">
        <f aca="false">0.55*0.65*Datos_vigas!$B$5*M9*MAX(0,1-(D9*100/(32*12))^2)/1000</f>
        <v>102.546218188477</v>
      </c>
      <c r="P9" s="9" t="str">
        <f aca="false">IF(C9="","FALTA CARGA",IF(C9&lt;=O9,"VERIFICA","NO VERIFICA"))</f>
        <v>VERIFICA</v>
      </c>
      <c r="Q9" s="10" t="s">
        <v>369</v>
      </c>
    </row>
    <row r="10" customFormat="false" ht="69.75" hidden="false" customHeight="true" outlineLevel="0" collapsed="false">
      <c r="A10" s="28"/>
      <c r="B10" s="19" t="s">
        <v>370</v>
      </c>
      <c r="C10" s="7" t="n">
        <v>30.62</v>
      </c>
      <c r="D10" s="7" t="n">
        <v>3.15</v>
      </c>
      <c r="E10" s="8" t="n">
        <v>98</v>
      </c>
      <c r="F10" s="8" t="n">
        <v>12</v>
      </c>
      <c r="G10" s="7" t="n">
        <f aca="false">2*(100/I10)*PI()*(H10/10)^2/4</f>
        <v>5.02654824574367</v>
      </c>
      <c r="H10" s="8" t="n">
        <v>8</v>
      </c>
      <c r="I10" s="8" t="n">
        <v>20</v>
      </c>
      <c r="J10" s="7" t="n">
        <f aca="false">(100/L10)*PI()*(K10/10)^2/4</f>
        <v>2.51327412287184</v>
      </c>
      <c r="K10" s="8" t="n">
        <v>8</v>
      </c>
      <c r="L10" s="8" t="n">
        <v>20</v>
      </c>
      <c r="M10" s="29" t="n">
        <f aca="false">IF(F10&lt;=12,E10*F10,(E10+F10-12)*12)</f>
        <v>1176</v>
      </c>
      <c r="N10" s="7" t="n">
        <f aca="false">IF(C10="","",C10*1000/M10)</f>
        <v>26.0374149659864</v>
      </c>
      <c r="O10" s="7" t="n">
        <f aca="false">0.55*0.65*Datos_vigas!$B$5*M10*MAX(0,1-(D10*100/(32*12))^2)/1000</f>
        <v>28.8779579956055</v>
      </c>
      <c r="P10" s="9" t="str">
        <f aca="false">IF(C10="","FALTA CARGA",IF(C10&lt;=O10,"VERIFICA","NO VERIFICA"))</f>
        <v>NO VERIFICA</v>
      </c>
      <c r="Q10" s="10" t="s">
        <v>371</v>
      </c>
    </row>
    <row r="11" customFormat="false" ht="69.75" hidden="false" customHeight="true" outlineLevel="0" collapsed="false">
      <c r="A11" s="28"/>
      <c r="B11" s="30" t="s">
        <v>372</v>
      </c>
      <c r="C11" s="12" t="n">
        <v>13.78</v>
      </c>
      <c r="D11" s="12" t="n">
        <v>3.15</v>
      </c>
      <c r="E11" s="13" t="n">
        <v>290</v>
      </c>
      <c r="F11" s="13" t="n">
        <v>12</v>
      </c>
      <c r="G11" s="12" t="n">
        <f aca="false">2*(100/I11)*PI()*(H11/10)^2/4</f>
        <v>5.02654824574367</v>
      </c>
      <c r="H11" s="13" t="n">
        <v>8</v>
      </c>
      <c r="I11" s="13" t="n">
        <v>20</v>
      </c>
      <c r="J11" s="12" t="n">
        <f aca="false">(100/L11)*PI()*(K11/10)^2/4</f>
        <v>2.51327412287184</v>
      </c>
      <c r="K11" s="13" t="n">
        <v>8</v>
      </c>
      <c r="L11" s="13" t="n">
        <v>20</v>
      </c>
      <c r="M11" s="31" t="n">
        <f aca="false">IF(F11&lt;=12,E11*F11,(E11+F11-12)*12)</f>
        <v>3480</v>
      </c>
      <c r="N11" s="12" t="n">
        <f aca="false">IF(C11="","",C11*1000/M11)</f>
        <v>3.95977011494253</v>
      </c>
      <c r="O11" s="12" t="n">
        <f aca="false">0.55*0.65*Datos_vigas!$B$5*M11*MAX(0,1-(D11*100/(32*12))^2)/1000</f>
        <v>85.4551818237305</v>
      </c>
      <c r="P11" s="14" t="str">
        <f aca="false">IF(C11="","FALTA CARGA",IF(C11&lt;=O11,"VERIFICA","NO VERIFICA"))</f>
        <v>VERIFICA</v>
      </c>
      <c r="Q11" s="15" t="s">
        <v>373</v>
      </c>
    </row>
    <row r="12" customFormat="false" ht="69.75" hidden="false" customHeight="true" outlineLevel="0" collapsed="false">
      <c r="A12" s="28" t="s">
        <v>29</v>
      </c>
      <c r="B12" s="19" t="s">
        <v>374</v>
      </c>
      <c r="C12" s="7" t="n">
        <v>6.96</v>
      </c>
      <c r="D12" s="7" t="n">
        <v>3.2</v>
      </c>
      <c r="E12" s="8" t="n">
        <v>375</v>
      </c>
      <c r="F12" s="8" t="n">
        <v>12</v>
      </c>
      <c r="G12" s="7" t="n">
        <f aca="false">2*(100/I12)*PI()*(H12/10)^2/4</f>
        <v>5.02654824574367</v>
      </c>
      <c r="H12" s="8" t="n">
        <v>8</v>
      </c>
      <c r="I12" s="8" t="n">
        <v>20</v>
      </c>
      <c r="J12" s="7" t="n">
        <f aca="false">(100/L12)*PI()*(K12/10)^2/4</f>
        <v>2.51327412287184</v>
      </c>
      <c r="K12" s="8" t="n">
        <v>8</v>
      </c>
      <c r="L12" s="8" t="n">
        <v>20</v>
      </c>
      <c r="M12" s="29" t="n">
        <f aca="false">IF(F12&lt;=12,E12*F12,(E12+F12-12)*12)</f>
        <v>4500</v>
      </c>
      <c r="N12" s="7" t="n">
        <f aca="false">IF(C12="","",C12*1000/M12)</f>
        <v>1.54666666666667</v>
      </c>
      <c r="O12" s="7" t="n">
        <f aca="false">0.55*0.65*Datos_vigas!$B$5*M12*MAX(0,1-(D12*100/(32*12))^2)/1000</f>
        <v>103.228125</v>
      </c>
      <c r="P12" s="9" t="str">
        <f aca="false">IF(C12="","FALTA CARGA",IF(C12&lt;=O12,"VERIFICA","NO VERIFICA"))</f>
        <v>VERIFICA</v>
      </c>
      <c r="Q12" s="10" t="s">
        <v>375</v>
      </c>
    </row>
    <row r="13" customFormat="false" ht="69.75" hidden="false" customHeight="true" outlineLevel="0" collapsed="false">
      <c r="A13" s="28"/>
      <c r="B13" s="19" t="s">
        <v>376</v>
      </c>
      <c r="C13" s="7" t="n">
        <v>13.38</v>
      </c>
      <c r="D13" s="7" t="n">
        <v>2.6</v>
      </c>
      <c r="E13" s="8" t="n">
        <v>170</v>
      </c>
      <c r="F13" s="8" t="n">
        <v>12</v>
      </c>
      <c r="G13" s="7" t="n">
        <f aca="false">2*(100/I13)*PI()*(H13/10)^2/4</f>
        <v>5.02654824574367</v>
      </c>
      <c r="H13" s="8" t="n">
        <v>8</v>
      </c>
      <c r="I13" s="8" t="n">
        <v>20</v>
      </c>
      <c r="J13" s="7" t="n">
        <f aca="false">(100/L13)*PI()*(K13/10)^2/4</f>
        <v>2.51327412287184</v>
      </c>
      <c r="K13" s="8" t="n">
        <v>8</v>
      </c>
      <c r="L13" s="8" t="n">
        <v>20</v>
      </c>
      <c r="M13" s="29" t="n">
        <f aca="false">IF(F13&lt;=12,E13*F13,(E13+F13-12)*12)</f>
        <v>2040</v>
      </c>
      <c r="N13" s="7" t="n">
        <f aca="false">IF(C13="","",C13*1000/M13)</f>
        <v>6.55882352941176</v>
      </c>
      <c r="O13" s="7" t="n">
        <f aca="false">0.55*0.65*Datos_vigas!$B$5*M13*MAX(0,1-(D13*100/(32*12))^2)/1000</f>
        <v>82.9412568359375</v>
      </c>
      <c r="P13" s="9" t="str">
        <f aca="false">IF(C13="","FALTA CARGA",IF(C13&lt;=O13,"VERIFICA","NO VERIFICA"))</f>
        <v>VERIFICA</v>
      </c>
      <c r="Q13" s="10" t="s">
        <v>377</v>
      </c>
    </row>
    <row r="14" customFormat="false" ht="69.75" hidden="false" customHeight="true" outlineLevel="0" collapsed="false">
      <c r="A14" s="28"/>
      <c r="B14" s="19" t="s">
        <v>378</v>
      </c>
      <c r="C14" s="7" t="n">
        <v>5.07</v>
      </c>
      <c r="D14" s="7" t="n">
        <v>2.6</v>
      </c>
      <c r="E14" s="8" t="n">
        <v>28</v>
      </c>
      <c r="F14" s="8" t="n">
        <v>12</v>
      </c>
      <c r="G14" s="7" t="n">
        <f aca="false">2*(100/I14)*PI()*(H14/10)^2/4</f>
        <v>5.02654824574367</v>
      </c>
      <c r="H14" s="8" t="n">
        <v>8</v>
      </c>
      <c r="I14" s="8" t="n">
        <v>20</v>
      </c>
      <c r="J14" s="7" t="n">
        <f aca="false">(100/L14)*PI()*(K14/10)^2/4</f>
        <v>2.51327412287184</v>
      </c>
      <c r="K14" s="8" t="n">
        <v>8</v>
      </c>
      <c r="L14" s="8" t="n">
        <v>20</v>
      </c>
      <c r="M14" s="29" t="n">
        <f aca="false">IF(F14&lt;=12,E14*F14,(E14+F14-12)*12)</f>
        <v>336</v>
      </c>
      <c r="N14" s="7" t="n">
        <f aca="false">IF(C14="","",C14*1000/M14)</f>
        <v>15.0892857142857</v>
      </c>
      <c r="O14" s="7" t="n">
        <f aca="false">0.55*0.65*Datos_vigas!$B$5*M14*MAX(0,1-(D14*100/(32*12))^2)/1000</f>
        <v>13.660912890625</v>
      </c>
      <c r="P14" s="9" t="str">
        <f aca="false">IF(C14="","FALTA CARGA",IF(C14&lt;=O14,"VERIFICA","NO VERIFICA"))</f>
        <v>VERIFICA</v>
      </c>
      <c r="Q14" s="10" t="s">
        <v>379</v>
      </c>
    </row>
    <row r="15" customFormat="false" ht="69.75" hidden="false" customHeight="true" outlineLevel="0" collapsed="false">
      <c r="A15" s="28"/>
      <c r="B15" s="19" t="s">
        <v>380</v>
      </c>
      <c r="C15" s="7" t="n">
        <v>5.62</v>
      </c>
      <c r="D15" s="7" t="n">
        <v>2.6</v>
      </c>
      <c r="E15" s="8" t="n">
        <v>32</v>
      </c>
      <c r="F15" s="8" t="n">
        <v>12</v>
      </c>
      <c r="G15" s="7" t="n">
        <f aca="false">2*(100/I15)*PI()*(H15/10)^2/4</f>
        <v>5.02654824574367</v>
      </c>
      <c r="H15" s="8" t="n">
        <v>8</v>
      </c>
      <c r="I15" s="8" t="n">
        <v>20</v>
      </c>
      <c r="J15" s="7" t="n">
        <f aca="false">(100/L15)*PI()*(K15/10)^2/4</f>
        <v>2.51327412287184</v>
      </c>
      <c r="K15" s="8" t="n">
        <v>8</v>
      </c>
      <c r="L15" s="8" t="n">
        <v>20</v>
      </c>
      <c r="M15" s="29" t="n">
        <f aca="false">IF(F15&lt;=12,E15*F15,(E15+F15-12)*12)</f>
        <v>384</v>
      </c>
      <c r="N15" s="7" t="n">
        <f aca="false">IF(C15="","",C15*1000/M15)</f>
        <v>14.6354166666667</v>
      </c>
      <c r="O15" s="7" t="n">
        <f aca="false">0.55*0.65*Datos_vigas!$B$5*M15*MAX(0,1-(D15*100/(32*12))^2)/1000</f>
        <v>15.612471875</v>
      </c>
      <c r="P15" s="9" t="str">
        <f aca="false">IF(C15="","FALTA CARGA",IF(C15&lt;=O15,"VERIFICA","NO VERIFICA"))</f>
        <v>VERIFICA</v>
      </c>
      <c r="Q15" s="10" t="s">
        <v>381</v>
      </c>
    </row>
    <row r="16" customFormat="false" ht="69.75" hidden="false" customHeight="true" outlineLevel="0" collapsed="false">
      <c r="A16" s="28"/>
      <c r="B16" s="30" t="s">
        <v>382</v>
      </c>
      <c r="C16" s="12" t="n">
        <v>1.22</v>
      </c>
      <c r="D16" s="12" t="n">
        <v>3.2</v>
      </c>
      <c r="E16" s="13" t="n">
        <v>132</v>
      </c>
      <c r="F16" s="13" t="n">
        <v>12</v>
      </c>
      <c r="G16" s="12" t="n">
        <f aca="false">2*(100/I16)*PI()*(H16/10)^2/4</f>
        <v>5.02654824574367</v>
      </c>
      <c r="H16" s="13" t="n">
        <v>8</v>
      </c>
      <c r="I16" s="13" t="n">
        <v>20</v>
      </c>
      <c r="J16" s="12" t="n">
        <f aca="false">(100/L16)*PI()*(K16/10)^2/4</f>
        <v>2.51327412287184</v>
      </c>
      <c r="K16" s="13" t="n">
        <v>8</v>
      </c>
      <c r="L16" s="13" t="n">
        <v>20</v>
      </c>
      <c r="M16" s="31" t="n">
        <f aca="false">IF(F16&lt;=12,E16*F16,(E16+F16-12)*12)</f>
        <v>1584</v>
      </c>
      <c r="N16" s="12" t="n">
        <f aca="false">IF(C16="","",C16*1000/M16)</f>
        <v>0.77020202020202</v>
      </c>
      <c r="O16" s="12" t="n">
        <f aca="false">0.55*0.65*Datos_vigas!$B$5*M16*MAX(0,1-(D16*100/(32*12))^2)/1000</f>
        <v>36.3363</v>
      </c>
      <c r="P16" s="14" t="str">
        <f aca="false">IF(C16="","FALTA CARGA",IF(C16&lt;=O16,"VERIFICA","NO VERIFICA"))</f>
        <v>VERIFICA</v>
      </c>
      <c r="Q16" s="15" t="s">
        <v>383</v>
      </c>
    </row>
    <row r="17" customFormat="false" ht="15" hidden="false" customHeight="false" outlineLevel="0" collapsed="false">
      <c r="A17" s="24"/>
      <c r="B17" s="24"/>
      <c r="C17" s="24"/>
      <c r="D17" s="24"/>
      <c r="E17" s="24"/>
      <c r="F17" s="24"/>
      <c r="G17" s="24"/>
      <c r="H17" s="24"/>
      <c r="I17" s="24"/>
      <c r="J17" s="24"/>
      <c r="K17" s="24"/>
      <c r="L17" s="24"/>
      <c r="M17" s="24"/>
      <c r="N17" s="24"/>
      <c r="O17" s="24"/>
      <c r="P17" s="24"/>
      <c r="Q17" s="24"/>
    </row>
    <row r="18" customFormat="false" ht="39" hidden="false" customHeight="true" outlineLevel="0" collapsed="false">
      <c r="A18" s="26" t="s">
        <v>384</v>
      </c>
      <c r="B18" s="24"/>
      <c r="C18" s="24"/>
      <c r="D18" s="24"/>
      <c r="E18" s="24"/>
      <c r="F18" s="24"/>
      <c r="G18" s="24"/>
      <c r="H18" s="24"/>
      <c r="I18" s="24"/>
      <c r="J18" s="24"/>
      <c r="K18" s="24"/>
      <c r="L18" s="24"/>
      <c r="M18" s="24"/>
      <c r="N18" s="24"/>
      <c r="O18" s="24"/>
      <c r="P18" s="24"/>
      <c r="Q18" s="24"/>
    </row>
    <row r="19" customFormat="false" ht="39" hidden="false" customHeight="true" outlineLevel="0" collapsed="false">
      <c r="A19" s="26" t="s">
        <v>385</v>
      </c>
      <c r="B19" s="24"/>
      <c r="C19" s="24"/>
      <c r="D19" s="24"/>
      <c r="E19" s="24"/>
      <c r="F19" s="24"/>
      <c r="G19" s="24"/>
      <c r="H19" s="24"/>
      <c r="I19" s="24"/>
      <c r="J19" s="24"/>
      <c r="K19" s="24"/>
      <c r="L19" s="24"/>
      <c r="M19" s="24"/>
      <c r="N19" s="24"/>
      <c r="O19" s="24"/>
      <c r="P19" s="24"/>
      <c r="Q19" s="24"/>
    </row>
    <row r="20" customFormat="false" ht="39" hidden="false" customHeight="true" outlineLevel="0" collapsed="false">
      <c r="A20" s="26" t="s">
        <v>386</v>
      </c>
      <c r="B20" s="24"/>
      <c r="C20" s="24"/>
      <c r="D20" s="24"/>
      <c r="E20" s="24"/>
      <c r="F20" s="24"/>
      <c r="G20" s="24"/>
      <c r="H20" s="24"/>
      <c r="I20" s="24"/>
      <c r="J20" s="24"/>
      <c r="K20" s="24"/>
      <c r="L20" s="24"/>
      <c r="M20" s="24"/>
      <c r="N20" s="24"/>
      <c r="O20" s="24"/>
      <c r="P20" s="24"/>
      <c r="Q20" s="24"/>
    </row>
    <row r="21" customFormat="false" ht="39" hidden="false" customHeight="true" outlineLevel="0" collapsed="false">
      <c r="A21" s="26" t="s">
        <v>387</v>
      </c>
      <c r="B21" s="24"/>
      <c r="C21" s="24"/>
      <c r="D21" s="24"/>
      <c r="E21" s="24"/>
      <c r="F21" s="24"/>
      <c r="G21" s="24"/>
      <c r="H21" s="24"/>
      <c r="I21" s="24"/>
      <c r="J21" s="24"/>
      <c r="K21" s="24"/>
      <c r="L21" s="24"/>
      <c r="M21" s="24"/>
      <c r="N21" s="24"/>
      <c r="O21" s="24"/>
      <c r="P21" s="24"/>
      <c r="Q21" s="24"/>
    </row>
    <row r="22" customFormat="false" ht="39" hidden="false" customHeight="true" outlineLevel="0" collapsed="false">
      <c r="A22" s="26" t="s">
        <v>388</v>
      </c>
      <c r="B22" s="24"/>
      <c r="C22" s="24"/>
      <c r="D22" s="24"/>
      <c r="E22" s="24"/>
      <c r="F22" s="24"/>
      <c r="G22" s="24"/>
      <c r="H22" s="24"/>
      <c r="I22" s="24"/>
      <c r="J22" s="24"/>
      <c r="K22" s="24"/>
      <c r="L22" s="24"/>
      <c r="M22" s="24"/>
      <c r="N22" s="24"/>
      <c r="O22" s="24"/>
      <c r="P22" s="24"/>
      <c r="Q22" s="24"/>
    </row>
    <row r="23" customFormat="false" ht="39" hidden="false" customHeight="true" outlineLevel="0" collapsed="false">
      <c r="A23" s="26" t="s">
        <v>389</v>
      </c>
      <c r="B23" s="24"/>
      <c r="C23" s="24"/>
      <c r="D23" s="24"/>
      <c r="E23" s="24"/>
      <c r="F23" s="24"/>
      <c r="G23" s="24"/>
      <c r="H23" s="24"/>
      <c r="I23" s="24"/>
      <c r="J23" s="24"/>
      <c r="K23" s="24"/>
      <c r="L23" s="24"/>
      <c r="M23" s="24"/>
      <c r="N23" s="24"/>
      <c r="O23" s="24"/>
      <c r="P23" s="24"/>
      <c r="Q23" s="24"/>
    </row>
    <row r="24" customFormat="false" ht="39" hidden="false" customHeight="true" outlineLevel="0" collapsed="false">
      <c r="A24" s="26" t="s">
        <v>390</v>
      </c>
      <c r="B24" s="24"/>
      <c r="C24" s="24"/>
      <c r="D24" s="24"/>
      <c r="E24" s="24"/>
      <c r="F24" s="24"/>
      <c r="G24" s="24"/>
      <c r="H24" s="24"/>
      <c r="I24" s="24"/>
      <c r="J24" s="24"/>
      <c r="K24" s="24"/>
      <c r="L24" s="24"/>
      <c r="M24" s="24"/>
      <c r="N24" s="24"/>
      <c r="O24" s="24"/>
      <c r="P24" s="24"/>
      <c r="Q24" s="24"/>
    </row>
  </sheetData>
  <mergeCells count="12">
    <mergeCell ref="A1:Q1"/>
    <mergeCell ref="A2:A3"/>
    <mergeCell ref="B2:B3"/>
    <mergeCell ref="C2:C3"/>
    <mergeCell ref="D2:D3"/>
    <mergeCell ref="E2:F2"/>
    <mergeCell ref="G2:I2"/>
    <mergeCell ref="J2:L2"/>
    <mergeCell ref="M2:P2"/>
    <mergeCell ref="Q2:Q3"/>
    <mergeCell ref="A4:A11"/>
    <mergeCell ref="A12:A16"/>
  </mergeCells>
  <conditionalFormatting sqref="P4:P16">
    <cfRule type="cellIs" priority="2" operator="equal" aboveAverage="0" equalAverage="0" bottom="0" percent="0" rank="0" text="" dxfId="0">
      <formula>"VERIFICA"</formula>
    </cfRule>
    <cfRule type="cellIs" priority="3" operator="equal" aboveAverage="0" equalAverage="0" bottom="0" percent="0" rank="0" text="" dxfId="1">
      <formula>"NO VERIFICA"</formula>
    </cfRule>
    <cfRule type="cellIs" priority="4" operator="equal" aboveAverage="0" equalAverage="0" bottom="0" percent="0" rank="0" text="" dxfId="1">
      <formula>"FALTA CARGA"</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5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1"/>
    <col collapsed="false" customWidth="true" hidden="false" outlineLevel="0" max="2" min="2" style="0" width="45.9"/>
    <col collapsed="false" customWidth="true" hidden="false" outlineLevel="0" max="3" min="3" style="0" width="27"/>
    <col collapsed="false" customWidth="true" hidden="false" outlineLevel="0" max="4" min="4" style="0" width="16.2"/>
    <col collapsed="false" customWidth="true" hidden="false" outlineLevel="0" max="5" min="5" style="0" width="13.5"/>
    <col collapsed="false" customWidth="true" hidden="false" outlineLevel="0" max="6" min="6" style="0" width="27"/>
    <col collapsed="false" customWidth="true" hidden="false" outlineLevel="0" max="7" min="7" style="0" width="4.1"/>
    <col collapsed="false" customWidth="true" hidden="false" outlineLevel="0" max="9" min="8" style="0" width="13.5"/>
  </cols>
  <sheetData>
    <row r="1" customFormat="false" ht="39" hidden="false" customHeight="true" outlineLevel="0" collapsed="false">
      <c r="A1" s="2" t="s">
        <v>391</v>
      </c>
      <c r="B1" s="2"/>
      <c r="C1" s="2"/>
      <c r="D1" s="2"/>
      <c r="E1" s="2"/>
      <c r="F1" s="2"/>
      <c r="G1" s="24"/>
      <c r="H1" s="2" t="s">
        <v>392</v>
      </c>
      <c r="I1" s="2" t="s">
        <v>393</v>
      </c>
    </row>
    <row r="2" customFormat="false" ht="15" hidden="false" customHeight="false" outlineLevel="0" collapsed="false">
      <c r="A2" s="24"/>
      <c r="B2" s="24"/>
      <c r="C2" s="24"/>
      <c r="D2" s="24"/>
      <c r="E2" s="24"/>
      <c r="F2" s="24"/>
      <c r="G2" s="24"/>
      <c r="H2" s="24"/>
      <c r="I2" s="24"/>
    </row>
    <row r="3" customFormat="false" ht="39" hidden="false" customHeight="true" outlineLevel="0" collapsed="false">
      <c r="A3" s="37" t="s">
        <v>394</v>
      </c>
      <c r="B3" s="37"/>
      <c r="C3" s="37"/>
      <c r="D3" s="37"/>
      <c r="E3" s="37"/>
      <c r="F3" s="37"/>
      <c r="G3" s="24"/>
      <c r="H3" s="24"/>
      <c r="I3" s="24"/>
    </row>
    <row r="4" customFormat="false" ht="39" hidden="false" customHeight="true" outlineLevel="0" collapsed="false">
      <c r="A4" s="2" t="s">
        <v>395</v>
      </c>
      <c r="B4" s="2" t="s">
        <v>396</v>
      </c>
      <c r="C4" s="2" t="s">
        <v>397</v>
      </c>
      <c r="D4" s="2" t="s">
        <v>398</v>
      </c>
      <c r="E4" s="2" t="s">
        <v>399</v>
      </c>
      <c r="F4" s="2" t="s">
        <v>400</v>
      </c>
      <c r="G4" s="24"/>
      <c r="H4" s="24"/>
      <c r="I4" s="24"/>
    </row>
    <row r="5" customFormat="false" ht="39" hidden="false" customHeight="true" outlineLevel="0" collapsed="false">
      <c r="A5" s="19" t="s">
        <v>401</v>
      </c>
      <c r="B5" s="38" t="s">
        <v>402</v>
      </c>
      <c r="C5" s="8"/>
      <c r="D5" s="8"/>
      <c r="E5" s="8"/>
      <c r="F5" s="8"/>
      <c r="G5" s="24"/>
      <c r="H5" s="24"/>
      <c r="I5" s="24"/>
    </row>
    <row r="6" customFormat="false" ht="46.5" hidden="false" customHeight="true" outlineLevel="0" collapsed="false">
      <c r="A6" s="8"/>
      <c r="B6" s="39" t="s">
        <v>67</v>
      </c>
      <c r="C6" s="8" t="str">
        <f aca="false">IF(COUNT(H6,I6)&lt;2,"",TEXT(H6,"0.00")&amp;" x "&amp;TEXT(I6,"0.00"))</f>
        <v>0.75 x 3.00</v>
      </c>
      <c r="D6" s="7" t="n">
        <f aca="false">IF(COUNT(H6,I6)&lt;2,"",ROUND(H6*I6,2))</f>
        <v>2.25</v>
      </c>
      <c r="E6" s="29" t="n">
        <v>60</v>
      </c>
      <c r="F6" s="32" t="n">
        <f aca="false">IF(D6="","",ROUND(D6*E6,1))</f>
        <v>135</v>
      </c>
      <c r="G6" s="24"/>
      <c r="H6" s="40" t="n">
        <v>0.75</v>
      </c>
      <c r="I6" s="40" t="n">
        <v>3</v>
      </c>
    </row>
    <row r="7" customFormat="false" ht="46.5" hidden="false" customHeight="true" outlineLevel="0" collapsed="false">
      <c r="A7" s="8"/>
      <c r="B7" s="39" t="s">
        <v>74</v>
      </c>
      <c r="C7" s="8" t="str">
        <f aca="false">IF(COUNT(H7,I7)&lt;2,"",TEXT(H7,"0.00")&amp;" x "&amp;TEXT(I7,"0.00"))</f>
        <v>2.88 x 3.00</v>
      </c>
      <c r="D7" s="7" t="n">
        <f aca="false">IF(COUNT(H7,I7)&lt;2,"",ROUND(H7*I7,2))</f>
        <v>8.64</v>
      </c>
      <c r="E7" s="29" t="n">
        <v>60</v>
      </c>
      <c r="F7" s="32" t="n">
        <f aca="false">IF(D7="","",ROUND(D7*E7,1))</f>
        <v>518.4</v>
      </c>
      <c r="G7" s="24"/>
      <c r="H7" s="40" t="n">
        <v>2.88</v>
      </c>
      <c r="I7" s="40" t="n">
        <v>3</v>
      </c>
    </row>
    <row r="8" customFormat="false" ht="46.5" hidden="false" customHeight="true" outlineLevel="0" collapsed="false">
      <c r="A8" s="8"/>
      <c r="B8" s="39" t="s">
        <v>66</v>
      </c>
      <c r="C8" s="8" t="str">
        <f aca="false">IF(COUNT(H8,I8)&lt;2,"",TEXT(H8,"0.00")&amp;" x "&amp;TEXT(I8,"0.00"))</f>
        <v>2.70 x 0.60</v>
      </c>
      <c r="D8" s="7" t="n">
        <f aca="false">IF(COUNT(H8,I8)&lt;2,"",ROUND(H8*I8,2))</f>
        <v>1.62</v>
      </c>
      <c r="E8" s="29" t="n">
        <v>60</v>
      </c>
      <c r="F8" s="32" t="n">
        <f aca="false">IF(D8="","",ROUND(D8*E8,1))</f>
        <v>97.2</v>
      </c>
      <c r="G8" s="24"/>
      <c r="H8" s="40" t="n">
        <v>2.7</v>
      </c>
      <c r="I8" s="40" t="n">
        <v>0.6</v>
      </c>
    </row>
    <row r="9" customFormat="false" ht="46.5" hidden="false" customHeight="true" outlineLevel="0" collapsed="false">
      <c r="A9" s="8"/>
      <c r="B9" s="39" t="s">
        <v>77</v>
      </c>
      <c r="C9" s="8" t="str">
        <f aca="false">IF(COUNT(H9,I9)&lt;2,"",TEXT(H9,"0.00")&amp;" x "&amp;TEXT(I9,"0.00"))</f>
        <v>2.48 x 3.00</v>
      </c>
      <c r="D9" s="7" t="n">
        <f aca="false">IF(COUNT(H9,I9)&lt;2,"",ROUND(H9*I9,2))</f>
        <v>7.44</v>
      </c>
      <c r="E9" s="29" t="n">
        <v>60</v>
      </c>
      <c r="F9" s="32" t="n">
        <f aca="false">IF(D9="","",ROUND(D9*E9,1))</f>
        <v>446.4</v>
      </c>
      <c r="G9" s="24"/>
      <c r="H9" s="40" t="n">
        <v>2.48</v>
      </c>
      <c r="I9" s="40" t="n">
        <v>3</v>
      </c>
    </row>
    <row r="10" customFormat="false" ht="39" hidden="false" customHeight="true" outlineLevel="0" collapsed="false">
      <c r="A10" s="19" t="s">
        <v>403</v>
      </c>
      <c r="B10" s="38" t="s">
        <v>404</v>
      </c>
      <c r="C10" s="8"/>
      <c r="D10" s="8"/>
      <c r="E10" s="8"/>
      <c r="F10" s="8"/>
      <c r="G10" s="24"/>
      <c r="H10" s="24"/>
      <c r="I10" s="24"/>
    </row>
    <row r="11" customFormat="false" ht="46.5" hidden="false" customHeight="true" outlineLevel="0" collapsed="false">
      <c r="A11" s="8"/>
      <c r="B11" s="39" t="s">
        <v>405</v>
      </c>
      <c r="C11" s="8" t="str">
        <f aca="false">IF(COUNT(H11,I11)&lt;2,"",TEXT(H11,"0.00")&amp;" x "&amp;TEXT(I11,"0.00"))</f>
        <v>7.63 x 3.00</v>
      </c>
      <c r="D11" s="7" t="n">
        <f aca="false">IF(COUNT(H11,I11)&lt;2,"",ROUND(H11*I11,2))</f>
        <v>22.89</v>
      </c>
      <c r="E11" s="29" t="n">
        <v>20</v>
      </c>
      <c r="F11" s="32" t="n">
        <f aca="false">IF(D11="","",ROUND(D11*E11,1))</f>
        <v>457.8</v>
      </c>
      <c r="G11" s="24"/>
      <c r="H11" s="40" t="n">
        <v>7.63</v>
      </c>
      <c r="I11" s="40" t="n">
        <v>3</v>
      </c>
    </row>
    <row r="12" customFormat="false" ht="46.5" hidden="false" customHeight="true" outlineLevel="0" collapsed="false">
      <c r="A12" s="8"/>
      <c r="B12" s="39" t="s">
        <v>406</v>
      </c>
      <c r="C12" s="8" t="str">
        <f aca="false">IF(COUNT(H12,I12)&lt;2,"",TEXT(H12,"0.00")&amp;" x "&amp;TEXT(I12,"0.00"))</f>
        <v>3.56 x 3.00</v>
      </c>
      <c r="D12" s="7" t="n">
        <f aca="false">IF(COUNT(H12,I12)&lt;2,"",ROUND(H12*I12,2))</f>
        <v>10.68</v>
      </c>
      <c r="E12" s="29" t="n">
        <v>20</v>
      </c>
      <c r="F12" s="32" t="n">
        <f aca="false">IF(D12="","",ROUND(D12*E12,1))</f>
        <v>213.6</v>
      </c>
      <c r="G12" s="24"/>
      <c r="H12" s="40" t="n">
        <v>3.56</v>
      </c>
      <c r="I12" s="40" t="n">
        <v>3</v>
      </c>
    </row>
    <row r="13" customFormat="false" ht="46.5" hidden="false" customHeight="true" outlineLevel="0" collapsed="false">
      <c r="A13" s="8"/>
      <c r="B13" s="39" t="s">
        <v>407</v>
      </c>
      <c r="C13" s="8" t="str">
        <f aca="false">IF(COUNT(H13,I13)&lt;2,"",TEXT(H13,"0.00")&amp;" x "&amp;TEXT(I13,"0.00"))</f>
        <v>7.63 x 3.00</v>
      </c>
      <c r="D13" s="7" t="n">
        <f aca="false">IF(COUNT(H13,I13)&lt;2,"",ROUND(H13*I13,2))</f>
        <v>22.89</v>
      </c>
      <c r="E13" s="29" t="n">
        <v>25</v>
      </c>
      <c r="F13" s="32" t="n">
        <f aca="false">IF(D13="","",ROUND(D13*E13,1))</f>
        <v>572.3</v>
      </c>
      <c r="G13" s="24"/>
      <c r="H13" s="40" t="n">
        <v>7.63</v>
      </c>
      <c r="I13" s="40" t="n">
        <v>3</v>
      </c>
    </row>
    <row r="14" customFormat="false" ht="46.5" hidden="false" customHeight="true" outlineLevel="0" collapsed="false">
      <c r="A14" s="8"/>
      <c r="B14" s="39" t="s">
        <v>408</v>
      </c>
      <c r="C14" s="8" t="str">
        <f aca="false">IF(COUNT(H14,I14)&lt;2,"",TEXT(H14,"0.00")&amp;" x "&amp;TEXT(I14,"0.00"))</f>
        <v>3.56 x 3.00</v>
      </c>
      <c r="D14" s="7" t="n">
        <f aca="false">IF(COUNT(H14,I14)&lt;2,"",ROUND(H14*I14,2))</f>
        <v>10.68</v>
      </c>
      <c r="E14" s="29" t="n">
        <v>25</v>
      </c>
      <c r="F14" s="32" t="n">
        <f aca="false">IF(D14="","",ROUND(D14*E14,1))</f>
        <v>267</v>
      </c>
      <c r="G14" s="24"/>
      <c r="H14" s="40" t="n">
        <v>3.56</v>
      </c>
      <c r="I14" s="40" t="n">
        <v>3</v>
      </c>
    </row>
    <row r="15" customFormat="false" ht="39" hidden="false" customHeight="true" outlineLevel="0" collapsed="false">
      <c r="A15" s="19" t="s">
        <v>409</v>
      </c>
      <c r="B15" s="38" t="s">
        <v>410</v>
      </c>
      <c r="C15" s="8"/>
      <c r="D15" s="8"/>
      <c r="E15" s="8"/>
      <c r="F15" s="8"/>
      <c r="G15" s="24"/>
      <c r="H15" s="24"/>
      <c r="I15" s="24"/>
    </row>
    <row r="16" customFormat="false" ht="46.5" hidden="false" customHeight="true" outlineLevel="0" collapsed="false">
      <c r="A16" s="8"/>
      <c r="B16" s="39" t="s">
        <v>411</v>
      </c>
      <c r="C16" s="8"/>
      <c r="D16" s="7" t="str">
        <f aca="false">IF(COUNT(H16,I16)&lt;2,"",ROUND(H16*I16,2))</f>
        <v/>
      </c>
      <c r="E16" s="29" t="n">
        <v>30</v>
      </c>
      <c r="F16" s="32" t="str">
        <f aca="false">IF(D16="","",ROUND(D16*E16,1))</f>
        <v/>
      </c>
      <c r="G16" s="24"/>
      <c r="H16" s="40"/>
      <c r="I16" s="40"/>
    </row>
    <row r="17" customFormat="false" ht="46.5" hidden="false" customHeight="true" outlineLevel="0" collapsed="false">
      <c r="A17" s="8"/>
      <c r="B17" s="39" t="s">
        <v>412</v>
      </c>
      <c r="C17" s="8"/>
      <c r="D17" s="7" t="str">
        <f aca="false">IF(COUNT(H17,I17)&lt;2,"",ROUND(H17*I17,2))</f>
        <v/>
      </c>
      <c r="E17" s="29" t="n">
        <v>20</v>
      </c>
      <c r="F17" s="32" t="str">
        <f aca="false">IF(D17="","",ROUND(D17*E17,1))</f>
        <v/>
      </c>
      <c r="G17" s="24"/>
      <c r="H17" s="40"/>
      <c r="I17" s="40"/>
    </row>
    <row r="18" customFormat="false" ht="39" hidden="false" customHeight="true" outlineLevel="0" collapsed="false">
      <c r="A18" s="8"/>
      <c r="B18" s="39" t="s">
        <v>413</v>
      </c>
      <c r="C18" s="8" t="s">
        <v>414</v>
      </c>
      <c r="D18" s="7" t="n">
        <v>27.16</v>
      </c>
      <c r="E18" s="29" t="n">
        <v>15</v>
      </c>
      <c r="F18" s="32" t="n">
        <f aca="false">IF(D18="","",ROUND(D18*E18,1))</f>
        <v>407.4</v>
      </c>
      <c r="G18" s="24"/>
      <c r="H18" s="40"/>
      <c r="I18" s="40"/>
    </row>
    <row r="19" customFormat="false" ht="39" hidden="false" customHeight="true" outlineLevel="0" collapsed="false">
      <c r="A19" s="19" t="s">
        <v>415</v>
      </c>
      <c r="B19" s="38" t="s">
        <v>416</v>
      </c>
      <c r="C19" s="8"/>
      <c r="D19" s="8"/>
      <c r="E19" s="8"/>
      <c r="F19" s="8"/>
      <c r="G19" s="24"/>
      <c r="H19" s="24"/>
      <c r="I19" s="24"/>
    </row>
    <row r="20" customFormat="false" ht="39" hidden="false" customHeight="true" outlineLevel="0" collapsed="false">
      <c r="A20" s="8"/>
      <c r="B20" s="39" t="s">
        <v>417</v>
      </c>
      <c r="C20" s="8" t="s">
        <v>414</v>
      </c>
      <c r="D20" s="7" t="n">
        <v>27.16</v>
      </c>
      <c r="E20" s="29" t="n">
        <v>10</v>
      </c>
      <c r="F20" s="32" t="n">
        <f aca="false">IF(D20="","",ROUND(D20*E20,1))</f>
        <v>271.6</v>
      </c>
      <c r="G20" s="24"/>
      <c r="H20" s="40"/>
      <c r="I20" s="40"/>
    </row>
    <row r="21" customFormat="false" ht="46.5" hidden="false" customHeight="true" outlineLevel="0" collapsed="false">
      <c r="A21" s="8"/>
      <c r="B21" s="39" t="s">
        <v>418</v>
      </c>
      <c r="C21" s="8"/>
      <c r="D21" s="7" t="str">
        <f aca="false">IF(COUNT(H21,I21)&lt;2,"",ROUND(H21*I21,2))</f>
        <v/>
      </c>
      <c r="E21" s="29" t="n">
        <v>15</v>
      </c>
      <c r="F21" s="32" t="str">
        <f aca="false">IF(D21="","",ROUND(D21*E21,1))</f>
        <v/>
      </c>
      <c r="G21" s="24"/>
      <c r="H21" s="40"/>
      <c r="I21" s="40"/>
    </row>
    <row r="22" customFormat="false" ht="39" hidden="false" customHeight="true" outlineLevel="0" collapsed="false">
      <c r="A22" s="19" t="s">
        <v>419</v>
      </c>
      <c r="B22" s="38" t="s">
        <v>420</v>
      </c>
      <c r="C22" s="8"/>
      <c r="D22" s="19" t="s">
        <v>421</v>
      </c>
      <c r="E22" s="8"/>
      <c r="F22" s="8"/>
      <c r="G22" s="24"/>
      <c r="H22" s="24"/>
      <c r="I22" s="24"/>
    </row>
    <row r="23" customFormat="false" ht="46.5" hidden="false" customHeight="true" outlineLevel="0" collapsed="false">
      <c r="A23" s="8"/>
      <c r="B23" s="39" t="s">
        <v>422</v>
      </c>
      <c r="C23" s="8"/>
      <c r="D23" s="7" t="str">
        <f aca="false">IF(COUNT(H23,I23)&lt;2,"",ROUND(H23*I23,2))</f>
        <v/>
      </c>
      <c r="E23" s="29" t="n">
        <v>6</v>
      </c>
      <c r="F23" s="32" t="str">
        <f aca="false">IF(D23="","",ROUND(D23*E23,1))</f>
        <v/>
      </c>
      <c r="G23" s="24"/>
      <c r="H23" s="40"/>
      <c r="I23" s="40"/>
    </row>
    <row r="24" customFormat="false" ht="39" hidden="false" customHeight="true" outlineLevel="0" collapsed="false">
      <c r="A24" s="8"/>
      <c r="B24" s="39" t="s">
        <v>423</v>
      </c>
      <c r="C24" s="8" t="s">
        <v>424</v>
      </c>
      <c r="D24" s="7" t="n">
        <v>81.48</v>
      </c>
      <c r="E24" s="29" t="n">
        <v>9</v>
      </c>
      <c r="F24" s="32" t="n">
        <f aca="false">IF(D24="","",ROUND(D24*E24,1))</f>
        <v>733.3</v>
      </c>
      <c r="G24" s="24"/>
      <c r="H24" s="40"/>
      <c r="I24" s="40"/>
    </row>
    <row r="25" customFormat="false" ht="46.5" hidden="false" customHeight="true" outlineLevel="0" collapsed="false">
      <c r="A25" s="8"/>
      <c r="B25" s="39" t="s">
        <v>425</v>
      </c>
      <c r="C25" s="8"/>
      <c r="D25" s="7" t="str">
        <f aca="false">IF(COUNT(H25,I25)&lt;2,"",ROUND(H25*I25,2))</f>
        <v/>
      </c>
      <c r="E25" s="29" t="n">
        <v>12</v>
      </c>
      <c r="F25" s="32" t="str">
        <f aca="false">IF(D25="","",ROUND(D25*E25,1))</f>
        <v/>
      </c>
      <c r="G25" s="24"/>
      <c r="H25" s="40"/>
      <c r="I25" s="40"/>
    </row>
    <row r="26" customFormat="false" ht="69.75" hidden="false" customHeight="true" outlineLevel="0" collapsed="false">
      <c r="A26" s="19" t="s">
        <v>426</v>
      </c>
      <c r="B26" s="38" t="s">
        <v>427</v>
      </c>
      <c r="C26" s="8"/>
      <c r="D26" s="8"/>
      <c r="E26" s="8"/>
      <c r="F26" s="41" t="n">
        <f aca="false">IF(F6="",0,F6)+IF(F7="",0,F7)+IF(F8="",0,F8)+IF(F9="",0,F9)+IF(F11="",0,F11)+IF(F12="",0,F12)+IF(F13="",0,F13)+IF(F14="",0,F14)+IF(F16="",0,F16)+IF(F17="",0,F17)+IF(F18="",0,F18)+IF(F20="",0,F20)+IF(F21="",0,F21)+IF(F23="",0,F23)+IF(F24="",0,F24)+IF(F25="",0,F25)</f>
        <v>4120</v>
      </c>
      <c r="G26" s="24"/>
      <c r="H26" s="24"/>
      <c r="I26" s="24"/>
    </row>
    <row r="27" customFormat="false" ht="46.5" hidden="false" customHeight="true" outlineLevel="0" collapsed="false">
      <c r="A27" s="19" t="s">
        <v>428</v>
      </c>
      <c r="B27" s="38" t="s">
        <v>429</v>
      </c>
      <c r="C27" s="42" t="str">
        <f aca="false">TEXT(F26,"0.00")&amp;"  X  "&amp;Datos_balance!$B$4&amp;" (FI)  X  "&amp;Datos_balance!$B$5&amp;" (FO)  X  "&amp;Datos_balance!$B$6&amp;" (FZ)"</f>
        <v>4120.00  X  1.07 (FI)  X  1 (FO)  X  1 (FZ)</v>
      </c>
      <c r="D27" s="42"/>
      <c r="E27" s="42"/>
      <c r="F27" s="41" t="n">
        <f aca="false">ROUND(F26*Datos_balance!$B$4*Datos_balance!$B$5*Datos_balance!$B$6,1)</f>
        <v>4408.4</v>
      </c>
      <c r="G27" s="24"/>
      <c r="H27" s="24"/>
      <c r="I27" s="24"/>
    </row>
    <row r="28" customFormat="false" ht="39" hidden="false" customHeight="true" outlineLevel="0" collapsed="false">
      <c r="A28" s="8"/>
      <c r="B28" s="10" t="s">
        <v>430</v>
      </c>
      <c r="C28" s="42"/>
      <c r="D28" s="42"/>
      <c r="E28" s="42"/>
      <c r="F28" s="32"/>
      <c r="G28" s="24"/>
      <c r="H28" s="24"/>
      <c r="I28" s="24"/>
    </row>
    <row r="29" customFormat="false" ht="39" hidden="false" customHeight="true" outlineLevel="0" collapsed="false">
      <c r="A29" s="8"/>
      <c r="B29" s="38" t="s">
        <v>431</v>
      </c>
      <c r="C29" s="42"/>
      <c r="D29" s="42"/>
      <c r="E29" s="42"/>
      <c r="F29" s="41" t="n">
        <f aca="false">F27+IF(F28="",0,F28)</f>
        <v>4408.4</v>
      </c>
      <c r="G29" s="24"/>
      <c r="H29" s="24"/>
      <c r="I29" s="24"/>
    </row>
    <row r="30" customFormat="false" ht="15" hidden="false" customHeight="false" outlineLevel="0" collapsed="false">
      <c r="A30" s="24"/>
      <c r="B30" s="24"/>
      <c r="C30" s="24"/>
      <c r="D30" s="24"/>
      <c r="E30" s="24"/>
      <c r="F30" s="24"/>
      <c r="G30" s="24"/>
      <c r="H30" s="24"/>
      <c r="I30" s="24"/>
    </row>
    <row r="31" customFormat="false" ht="61.5" hidden="false" customHeight="true" outlineLevel="0" collapsed="false">
      <c r="A31" s="8"/>
      <c r="B31" s="10" t="s">
        <v>432</v>
      </c>
      <c r="C31" s="42" t="str">
        <f aca="false">TEXT((Datos_balance!$B$9+Datos_balance!$B$10)/2,"0")&amp;" - "&amp;TEXT(Datos_balance!$B$11,"0")&amp;" = "&amp;TEXT((Datos_balance!$B$9+Datos_balance!$B$10)/2-Datos_balance!$B$11,"0")&amp;" C"</f>
        <v>86 - 20 = 66 C</v>
      </c>
      <c r="D31" s="42"/>
      <c r="E31" s="42"/>
      <c r="F31" s="8"/>
      <c r="G31" s="24"/>
      <c r="H31" s="24"/>
      <c r="I31" s="24"/>
    </row>
    <row r="32" customFormat="false" ht="39" hidden="false" customHeight="true" outlineLevel="0" collapsed="false">
      <c r="A32" s="8"/>
      <c r="B32" s="10" t="s">
        <v>433</v>
      </c>
      <c r="C32" s="43" t="n">
        <f aca="false">ROUND(Datos_balance!$B$14*Datos_balance!$B$15,2)</f>
        <v>274.4</v>
      </c>
      <c r="D32" s="43"/>
      <c r="E32" s="43"/>
      <c r="F32" s="8"/>
      <c r="G32" s="24"/>
      <c r="H32" s="24"/>
      <c r="I32" s="24"/>
    </row>
    <row r="33" customFormat="false" ht="39" hidden="false" customHeight="true" outlineLevel="0" collapsed="false">
      <c r="A33" s="8"/>
      <c r="B33" s="10" t="s">
        <v>434</v>
      </c>
      <c r="C33" s="44" t="n">
        <f aca="false">ROUNDUP(F29/(Datos_balance!$B$14*Datos_balance!$B$15),0)</f>
        <v>17</v>
      </c>
      <c r="D33" s="44"/>
      <c r="E33" s="44"/>
      <c r="F33" s="8"/>
      <c r="G33" s="24"/>
      <c r="H33" s="24"/>
      <c r="I33" s="24"/>
    </row>
    <row r="34" customFormat="false" ht="39" hidden="false" customHeight="true" outlineLevel="0" collapsed="false">
      <c r="A34" s="8"/>
      <c r="B34" s="10" t="s">
        <v>435</v>
      </c>
      <c r="C34" s="44" t="n">
        <f aca="false">ROUNDUP(F29/(Datos_balance!$B$14*Datos_balance!$B$15),0)*Datos_balance!$B$16</f>
        <v>136</v>
      </c>
      <c r="D34" s="44"/>
      <c r="E34" s="44"/>
      <c r="F34" s="8"/>
      <c r="G34" s="24"/>
      <c r="H34" s="24"/>
      <c r="I34" s="24"/>
    </row>
    <row r="35" customFormat="false" ht="39" hidden="false" customHeight="true" outlineLevel="0" collapsed="false">
      <c r="A35" s="13"/>
      <c r="B35" s="15" t="s">
        <v>436</v>
      </c>
      <c r="C35" s="14" t="str">
        <f aca="false">Datos_balance!$B$13</f>
        <v>Peisa Tropical 80-500</v>
      </c>
      <c r="D35" s="14"/>
      <c r="E35" s="14"/>
      <c r="F35" s="13"/>
      <c r="G35" s="24"/>
      <c r="H35" s="24"/>
      <c r="I35" s="24"/>
    </row>
    <row r="36" customFormat="false" ht="15" hidden="false" customHeight="false" outlineLevel="0" collapsed="false">
      <c r="A36" s="24"/>
      <c r="B36" s="24"/>
      <c r="C36" s="24"/>
      <c r="D36" s="24"/>
      <c r="E36" s="24"/>
      <c r="F36" s="24"/>
      <c r="G36" s="24"/>
      <c r="H36" s="24"/>
      <c r="I36" s="24"/>
    </row>
    <row r="37" customFormat="false" ht="39" hidden="false" customHeight="true" outlineLevel="0" collapsed="false">
      <c r="A37" s="24"/>
      <c r="B37" s="45" t="s">
        <v>437</v>
      </c>
      <c r="C37" s="24"/>
      <c r="D37" s="24"/>
      <c r="E37" s="24"/>
      <c r="F37" s="24"/>
      <c r="G37" s="24"/>
      <c r="H37" s="24"/>
      <c r="I37" s="24"/>
    </row>
    <row r="38" customFormat="false" ht="39" hidden="false" customHeight="true" outlineLevel="0" collapsed="false">
      <c r="A38" s="24"/>
      <c r="B38" s="24"/>
      <c r="C38" s="24"/>
      <c r="D38" s="24"/>
      <c r="E38" s="24"/>
      <c r="F38" s="24"/>
      <c r="G38" s="24"/>
      <c r="H38" s="24"/>
      <c r="I38" s="24"/>
    </row>
    <row r="39" customFormat="false" ht="39" hidden="false" customHeight="true" outlineLevel="0" collapsed="false">
      <c r="A39" s="24"/>
      <c r="B39" s="24"/>
      <c r="C39" s="24"/>
      <c r="D39" s="24"/>
      <c r="E39" s="24"/>
      <c r="F39" s="24"/>
      <c r="G39" s="24"/>
      <c r="H39" s="24"/>
      <c r="I39" s="24"/>
    </row>
    <row r="40" customFormat="false" ht="39" hidden="false" customHeight="true" outlineLevel="0" collapsed="false">
      <c r="A40" s="24"/>
      <c r="B40" s="24"/>
      <c r="C40" s="24"/>
      <c r="D40" s="24"/>
      <c r="E40" s="24"/>
      <c r="F40" s="24"/>
      <c r="G40" s="24"/>
      <c r="H40" s="24"/>
      <c r="I40" s="24"/>
    </row>
    <row r="41" customFormat="false" ht="39" hidden="false" customHeight="true" outlineLevel="0" collapsed="false">
      <c r="A41" s="24"/>
      <c r="B41" s="24"/>
      <c r="C41" s="24"/>
      <c r="D41" s="24"/>
      <c r="E41" s="24"/>
      <c r="F41" s="24"/>
      <c r="G41" s="24"/>
      <c r="H41" s="24"/>
      <c r="I41" s="24"/>
    </row>
    <row r="42" customFormat="false" ht="39" hidden="false" customHeight="true" outlineLevel="0" collapsed="false">
      <c r="A42" s="24"/>
      <c r="B42" s="24"/>
      <c r="C42" s="24"/>
      <c r="D42" s="24"/>
      <c r="E42" s="24"/>
      <c r="F42" s="24"/>
      <c r="G42" s="24"/>
      <c r="H42" s="24"/>
      <c r="I42" s="24"/>
    </row>
    <row r="43" customFormat="false" ht="39" hidden="false" customHeight="true" outlineLevel="0" collapsed="false">
      <c r="A43" s="24"/>
      <c r="B43" s="24"/>
      <c r="C43" s="24"/>
      <c r="D43" s="24"/>
      <c r="E43" s="24"/>
      <c r="F43" s="24"/>
      <c r="G43" s="24"/>
      <c r="H43" s="24"/>
      <c r="I43" s="24"/>
    </row>
    <row r="44" customFormat="false" ht="39" hidden="false" customHeight="true" outlineLevel="0" collapsed="false">
      <c r="A44" s="24"/>
      <c r="B44" s="24"/>
      <c r="C44" s="24"/>
      <c r="D44" s="24"/>
      <c r="E44" s="24"/>
      <c r="F44" s="24"/>
      <c r="G44" s="24"/>
      <c r="H44" s="24"/>
      <c r="I44" s="24"/>
    </row>
    <row r="45" customFormat="false" ht="39" hidden="false" customHeight="true" outlineLevel="0" collapsed="false">
      <c r="A45" s="24"/>
      <c r="B45" s="24"/>
      <c r="C45" s="24"/>
      <c r="D45" s="24"/>
      <c r="E45" s="24"/>
      <c r="F45" s="24"/>
      <c r="G45" s="24"/>
      <c r="H45" s="24"/>
      <c r="I45" s="24"/>
    </row>
    <row r="46" customFormat="false" ht="39" hidden="false" customHeight="true" outlineLevel="0" collapsed="false">
      <c r="A46" s="24"/>
      <c r="B46" s="24"/>
      <c r="C46" s="24"/>
      <c r="D46" s="24"/>
      <c r="E46" s="24"/>
      <c r="F46" s="24"/>
      <c r="G46" s="24"/>
      <c r="H46" s="24"/>
      <c r="I46" s="24"/>
    </row>
    <row r="47" customFormat="false" ht="39" hidden="false" customHeight="true" outlineLevel="0" collapsed="false">
      <c r="A47" s="24"/>
      <c r="B47" s="24"/>
      <c r="C47" s="24"/>
      <c r="D47" s="24"/>
      <c r="E47" s="24"/>
      <c r="F47" s="24"/>
      <c r="G47" s="24"/>
      <c r="H47" s="24"/>
      <c r="I47" s="24"/>
    </row>
    <row r="48" customFormat="false" ht="15" hidden="false" customHeight="false" outlineLevel="0" collapsed="false">
      <c r="A48" s="24"/>
      <c r="B48" s="24"/>
      <c r="C48" s="24"/>
      <c r="D48" s="24"/>
      <c r="E48" s="24"/>
      <c r="F48" s="24"/>
      <c r="G48" s="24"/>
      <c r="H48" s="24"/>
      <c r="I48" s="24"/>
    </row>
    <row r="49" customFormat="false" ht="15" hidden="false" customHeight="false" outlineLevel="0" collapsed="false">
      <c r="A49" s="24"/>
      <c r="B49" s="24"/>
      <c r="C49" s="24"/>
      <c r="D49" s="24"/>
      <c r="E49" s="24"/>
      <c r="F49" s="24"/>
      <c r="G49" s="24"/>
      <c r="H49" s="24"/>
      <c r="I49" s="24"/>
    </row>
    <row r="50" customFormat="false" ht="15" hidden="false" customHeight="false" outlineLevel="0" collapsed="false">
      <c r="A50" s="24"/>
      <c r="B50" s="24"/>
      <c r="C50" s="24"/>
      <c r="D50" s="24"/>
      <c r="E50" s="24"/>
      <c r="F50" s="24"/>
      <c r="G50" s="24"/>
      <c r="H50" s="24"/>
      <c r="I50" s="24"/>
    </row>
    <row r="51" customFormat="false" ht="39" hidden="false" customHeight="true" outlineLevel="0" collapsed="false">
      <c r="A51" s="37" t="s">
        <v>438</v>
      </c>
      <c r="B51" s="37"/>
      <c r="C51" s="37"/>
      <c r="D51" s="37"/>
      <c r="E51" s="37"/>
      <c r="F51" s="37"/>
      <c r="G51" s="24"/>
      <c r="H51" s="24"/>
      <c r="I51" s="24"/>
    </row>
    <row r="52" customFormat="false" ht="39" hidden="false" customHeight="true" outlineLevel="0" collapsed="false">
      <c r="A52" s="2" t="s">
        <v>395</v>
      </c>
      <c r="B52" s="2" t="s">
        <v>396</v>
      </c>
      <c r="C52" s="2" t="s">
        <v>397</v>
      </c>
      <c r="D52" s="2" t="s">
        <v>398</v>
      </c>
      <c r="E52" s="2" t="s">
        <v>399</v>
      </c>
      <c r="F52" s="2" t="s">
        <v>400</v>
      </c>
      <c r="G52" s="24"/>
      <c r="H52" s="24"/>
      <c r="I52" s="24"/>
    </row>
    <row r="53" customFormat="false" ht="39" hidden="false" customHeight="true" outlineLevel="0" collapsed="false">
      <c r="A53" s="19" t="s">
        <v>401</v>
      </c>
      <c r="B53" s="38" t="s">
        <v>402</v>
      </c>
      <c r="C53" s="8"/>
      <c r="D53" s="8"/>
      <c r="E53" s="8"/>
      <c r="F53" s="8"/>
      <c r="G53" s="24"/>
      <c r="H53" s="24"/>
      <c r="I53" s="24"/>
    </row>
    <row r="54" customFormat="false" ht="46.5" hidden="false" customHeight="true" outlineLevel="0" collapsed="false">
      <c r="A54" s="8"/>
      <c r="B54" s="39" t="s">
        <v>69</v>
      </c>
      <c r="C54" s="8" t="str">
        <f aca="false">IF(COUNT(H54,I54)&lt;2,"",TEXT(H54,"0.00")&amp;" x "&amp;TEXT(I54,"0.00"))</f>
        <v>3.75 x 3.00</v>
      </c>
      <c r="D54" s="7" t="n">
        <f aca="false">IF(COUNT(H54,I54)&lt;2,"",ROUND(H54*I54,2))</f>
        <v>11.25</v>
      </c>
      <c r="E54" s="29" t="n">
        <v>60</v>
      </c>
      <c r="F54" s="32" t="n">
        <f aca="false">IF(D54="","",ROUND(D54*E54,1))</f>
        <v>675</v>
      </c>
      <c r="G54" s="24"/>
      <c r="H54" s="40" t="n">
        <v>3.75</v>
      </c>
      <c r="I54" s="40" t="n">
        <v>3</v>
      </c>
    </row>
    <row r="55" customFormat="false" ht="46.5" hidden="false" customHeight="true" outlineLevel="0" collapsed="false">
      <c r="A55" s="8"/>
      <c r="B55" s="39" t="s">
        <v>76</v>
      </c>
      <c r="C55" s="8" t="str">
        <f aca="false">IF(COUNT(H55,I55)&lt;2,"",TEXT(H55,"0.00")&amp;" x "&amp;TEXT(I55,"0.00"))</f>
        <v>7.70 x 3.00</v>
      </c>
      <c r="D55" s="7" t="n">
        <f aca="false">IF(COUNT(H55,I55)&lt;2,"",ROUND(H55*I55,2))</f>
        <v>23.1</v>
      </c>
      <c r="E55" s="29" t="n">
        <v>60</v>
      </c>
      <c r="F55" s="32" t="n">
        <f aca="false">IF(D55="","",ROUND(D55*E55,1))</f>
        <v>1386</v>
      </c>
      <c r="G55" s="24"/>
      <c r="H55" s="40" t="n">
        <v>7.7</v>
      </c>
      <c r="I55" s="40" t="n">
        <v>3</v>
      </c>
    </row>
    <row r="56" customFormat="false" ht="39" hidden="false" customHeight="true" outlineLevel="0" collapsed="false">
      <c r="A56" s="19" t="s">
        <v>403</v>
      </c>
      <c r="B56" s="38" t="s">
        <v>404</v>
      </c>
      <c r="C56" s="8"/>
      <c r="D56" s="8"/>
      <c r="E56" s="8"/>
      <c r="F56" s="8"/>
      <c r="G56" s="24"/>
      <c r="H56" s="24"/>
      <c r="I56" s="24"/>
    </row>
    <row r="57" customFormat="false" ht="46.5" hidden="false" customHeight="true" outlineLevel="0" collapsed="false">
      <c r="A57" s="8"/>
      <c r="B57" s="39" t="s">
        <v>439</v>
      </c>
      <c r="C57" s="8" t="str">
        <f aca="false">IF(COUNT(H57,I57)&lt;2,"",TEXT(H57,"0.00")&amp;" x "&amp;TEXT(I57,"0.00"))</f>
        <v>8.66 x 3.00</v>
      </c>
      <c r="D57" s="7" t="n">
        <f aca="false">IF(COUNT(H57,I57)&lt;2,"",ROUND(H57*I57,2))</f>
        <v>25.98</v>
      </c>
      <c r="E57" s="29" t="n">
        <v>20</v>
      </c>
      <c r="F57" s="32" t="n">
        <f aca="false">IF(D57="","",ROUND(D57*E57,1))</f>
        <v>519.6</v>
      </c>
      <c r="G57" s="24"/>
      <c r="H57" s="40" t="n">
        <v>8.66</v>
      </c>
      <c r="I57" s="40" t="n">
        <v>3</v>
      </c>
    </row>
    <row r="58" customFormat="false" ht="46.5" hidden="false" customHeight="true" outlineLevel="0" collapsed="false">
      <c r="A58" s="8"/>
      <c r="B58" s="39" t="s">
        <v>440</v>
      </c>
      <c r="C58" s="8" t="str">
        <f aca="false">IF(COUNT(H58,I58)&lt;2,"",TEXT(H58,"0.00")&amp;" x "&amp;TEXT(I58,"0.00"))</f>
        <v/>
      </c>
      <c r="D58" s="7" t="str">
        <f aca="false">IF(COUNT(H58,I58)&lt;2,"",ROUND(H58*I58,2))</f>
        <v/>
      </c>
      <c r="E58" s="29" t="n">
        <v>20</v>
      </c>
      <c r="F58" s="32" t="str">
        <f aca="false">IF(D58="","",ROUND(D58*E58,1))</f>
        <v/>
      </c>
      <c r="G58" s="24"/>
      <c r="H58" s="40"/>
      <c r="I58" s="40"/>
    </row>
    <row r="59" customFormat="false" ht="46.5" hidden="false" customHeight="true" outlineLevel="0" collapsed="false">
      <c r="A59" s="8"/>
      <c r="B59" s="39" t="s">
        <v>408</v>
      </c>
      <c r="C59" s="8" t="str">
        <f aca="false">IF(COUNT(H59,I59)&lt;2,"",TEXT(H59,"0.00")&amp;" x "&amp;TEXT(I59,"0.00"))</f>
        <v>4.06 x 3.00</v>
      </c>
      <c r="D59" s="7" t="n">
        <f aca="false">IF(COUNT(H59,I59)&lt;2,"",ROUND(H59*I59,2))</f>
        <v>12.18</v>
      </c>
      <c r="E59" s="29" t="n">
        <v>25</v>
      </c>
      <c r="F59" s="32" t="n">
        <f aca="false">IF(D59="","",ROUND(D59*E59,1))</f>
        <v>304.5</v>
      </c>
      <c r="G59" s="24"/>
      <c r="H59" s="40" t="n">
        <v>4.06</v>
      </c>
      <c r="I59" s="40" t="n">
        <v>3</v>
      </c>
    </row>
    <row r="60" customFormat="false" ht="46.5" hidden="false" customHeight="true" outlineLevel="0" collapsed="false">
      <c r="A60" s="8"/>
      <c r="B60" s="39" t="s">
        <v>441</v>
      </c>
      <c r="C60" s="8" t="str">
        <f aca="false">IF(COUNT(H60,I60)&lt;2,"",TEXT(H60,"0.00")&amp;" x "&amp;TEXT(I60,"0.00"))</f>
        <v>8.66 x 3.00</v>
      </c>
      <c r="D60" s="7" t="n">
        <f aca="false">IF(COUNT(H60,I60)&lt;2,"",ROUND(H60*I60,2))</f>
        <v>25.98</v>
      </c>
      <c r="E60" s="29" t="n">
        <v>25</v>
      </c>
      <c r="F60" s="32" t="n">
        <f aca="false">IF(D60="","",ROUND(D60*E60,1))</f>
        <v>649.5</v>
      </c>
      <c r="G60" s="24"/>
      <c r="H60" s="40" t="n">
        <v>8.66</v>
      </c>
      <c r="I60" s="40" t="n">
        <v>3</v>
      </c>
    </row>
    <row r="61" customFormat="false" ht="46.5" hidden="false" customHeight="true" outlineLevel="0" collapsed="false">
      <c r="A61" s="8"/>
      <c r="B61" s="39" t="s">
        <v>442</v>
      </c>
      <c r="C61" s="8" t="str">
        <f aca="false">IF(COUNT(H61,I61)&lt;2,"",TEXT(H61,"0.00")&amp;" x "&amp;TEXT(I61,"0.00"))</f>
        <v>4.06 x 3.00</v>
      </c>
      <c r="D61" s="7" t="n">
        <f aca="false">IF(COUNT(H61,I61)&lt;2,"",ROUND(H61*I61,2))</f>
        <v>12.18</v>
      </c>
      <c r="E61" s="29" t="n">
        <v>25</v>
      </c>
      <c r="F61" s="32" t="n">
        <f aca="false">IF(D61="","",ROUND(D61*E61,1))</f>
        <v>304.5</v>
      </c>
      <c r="G61" s="24"/>
      <c r="H61" s="40" t="n">
        <v>4.06</v>
      </c>
      <c r="I61" s="40" t="n">
        <v>3</v>
      </c>
    </row>
    <row r="62" customFormat="false" ht="39" hidden="false" customHeight="true" outlineLevel="0" collapsed="false">
      <c r="A62" s="19" t="s">
        <v>409</v>
      </c>
      <c r="B62" s="38" t="s">
        <v>410</v>
      </c>
      <c r="C62" s="8"/>
      <c r="D62" s="8"/>
      <c r="E62" s="8"/>
      <c r="F62" s="8"/>
      <c r="G62" s="24"/>
      <c r="H62" s="24"/>
      <c r="I62" s="24"/>
    </row>
    <row r="63" customFormat="false" ht="46.5" hidden="false" customHeight="true" outlineLevel="0" collapsed="false">
      <c r="A63" s="8"/>
      <c r="B63" s="39" t="s">
        <v>411</v>
      </c>
      <c r="C63" s="8"/>
      <c r="D63" s="7" t="str">
        <f aca="false">IF(COUNT(H63,I63)&lt;2,"",ROUND(H63*I63,2))</f>
        <v/>
      </c>
      <c r="E63" s="29" t="n">
        <v>30</v>
      </c>
      <c r="F63" s="32" t="str">
        <f aca="false">IF(D63="","",ROUND(D63*E63,1))</f>
        <v/>
      </c>
      <c r="G63" s="24"/>
      <c r="H63" s="40"/>
      <c r="I63" s="40"/>
    </row>
    <row r="64" customFormat="false" ht="46.5" hidden="false" customHeight="true" outlineLevel="0" collapsed="false">
      <c r="A64" s="8"/>
      <c r="B64" s="39" t="s">
        <v>412</v>
      </c>
      <c r="C64" s="8"/>
      <c r="D64" s="7" t="str">
        <f aca="false">IF(COUNT(H64,I64)&lt;2,"",ROUND(H64*I64,2))</f>
        <v/>
      </c>
      <c r="E64" s="29" t="n">
        <v>20</v>
      </c>
      <c r="F64" s="32" t="str">
        <f aca="false">IF(D64="","",ROUND(D64*E64,1))</f>
        <v/>
      </c>
      <c r="G64" s="24"/>
      <c r="H64" s="40"/>
      <c r="I64" s="40"/>
    </row>
    <row r="65" customFormat="false" ht="39" hidden="false" customHeight="true" outlineLevel="0" collapsed="false">
      <c r="A65" s="8"/>
      <c r="B65" s="39" t="s">
        <v>413</v>
      </c>
      <c r="C65" s="8" t="s">
        <v>414</v>
      </c>
      <c r="D65" s="7" t="n">
        <v>35.16</v>
      </c>
      <c r="E65" s="29" t="n">
        <v>15</v>
      </c>
      <c r="F65" s="32" t="n">
        <f aca="false">IF(D65="","",ROUND(D65*E65,1))</f>
        <v>527.4</v>
      </c>
      <c r="G65" s="24"/>
      <c r="H65" s="40"/>
      <c r="I65" s="40"/>
    </row>
    <row r="66" customFormat="false" ht="39" hidden="false" customHeight="true" outlineLevel="0" collapsed="false">
      <c r="A66" s="19" t="s">
        <v>415</v>
      </c>
      <c r="B66" s="38" t="s">
        <v>416</v>
      </c>
      <c r="C66" s="8"/>
      <c r="D66" s="8"/>
      <c r="E66" s="8"/>
      <c r="F66" s="8"/>
      <c r="G66" s="24"/>
      <c r="H66" s="24"/>
      <c r="I66" s="24"/>
    </row>
    <row r="67" customFormat="false" ht="39" hidden="false" customHeight="true" outlineLevel="0" collapsed="false">
      <c r="A67" s="8"/>
      <c r="B67" s="39" t="s">
        <v>417</v>
      </c>
      <c r="C67" s="8" t="s">
        <v>414</v>
      </c>
      <c r="D67" s="7" t="n">
        <v>35.16</v>
      </c>
      <c r="E67" s="29" t="n">
        <v>10</v>
      </c>
      <c r="F67" s="32" t="n">
        <f aca="false">IF(D67="","",ROUND(D67*E67,1))</f>
        <v>351.6</v>
      </c>
      <c r="G67" s="24"/>
      <c r="H67" s="40"/>
      <c r="I67" s="40"/>
    </row>
    <row r="68" customFormat="false" ht="46.5" hidden="false" customHeight="true" outlineLevel="0" collapsed="false">
      <c r="A68" s="8"/>
      <c r="B68" s="39" t="s">
        <v>418</v>
      </c>
      <c r="C68" s="8"/>
      <c r="D68" s="7" t="str">
        <f aca="false">IF(COUNT(H68,I68)&lt;2,"",ROUND(H68*I68,2))</f>
        <v/>
      </c>
      <c r="E68" s="29" t="n">
        <v>15</v>
      </c>
      <c r="F68" s="32" t="str">
        <f aca="false">IF(D68="","",ROUND(D68*E68,1))</f>
        <v/>
      </c>
      <c r="G68" s="24"/>
      <c r="H68" s="40"/>
      <c r="I68" s="40"/>
    </row>
    <row r="69" customFormat="false" ht="39" hidden="false" customHeight="true" outlineLevel="0" collapsed="false">
      <c r="A69" s="19" t="s">
        <v>419</v>
      </c>
      <c r="B69" s="38" t="s">
        <v>420</v>
      </c>
      <c r="C69" s="8"/>
      <c r="D69" s="19" t="s">
        <v>421</v>
      </c>
      <c r="E69" s="8"/>
      <c r="F69" s="8"/>
      <c r="G69" s="24"/>
      <c r="H69" s="24"/>
      <c r="I69" s="24"/>
    </row>
    <row r="70" customFormat="false" ht="39" hidden="false" customHeight="true" outlineLevel="0" collapsed="false">
      <c r="A70" s="8"/>
      <c r="B70" s="39" t="s">
        <v>422</v>
      </c>
      <c r="C70" s="8" t="s">
        <v>443</v>
      </c>
      <c r="D70" s="7" t="n">
        <v>105.48</v>
      </c>
      <c r="E70" s="29" t="n">
        <v>6</v>
      </c>
      <c r="F70" s="32" t="n">
        <f aca="false">IF(D70="","",ROUND(D70*E70,1))</f>
        <v>632.9</v>
      </c>
      <c r="G70" s="24"/>
      <c r="H70" s="40"/>
      <c r="I70" s="40"/>
    </row>
    <row r="71" customFormat="false" ht="46.5" hidden="false" customHeight="true" outlineLevel="0" collapsed="false">
      <c r="A71" s="8"/>
      <c r="B71" s="39" t="s">
        <v>423</v>
      </c>
      <c r="C71" s="8"/>
      <c r="D71" s="7" t="str">
        <f aca="false">IF(COUNT(H71,I71)&lt;2,"",ROUND(H71*I71,2))</f>
        <v/>
      </c>
      <c r="E71" s="29" t="n">
        <v>9</v>
      </c>
      <c r="F71" s="32" t="str">
        <f aca="false">IF(D71="","",ROUND(D71*E71,1))</f>
        <v/>
      </c>
      <c r="G71" s="24"/>
      <c r="H71" s="40"/>
      <c r="I71" s="40"/>
    </row>
    <row r="72" customFormat="false" ht="46.5" hidden="false" customHeight="true" outlineLevel="0" collapsed="false">
      <c r="A72" s="8"/>
      <c r="B72" s="39" t="s">
        <v>425</v>
      </c>
      <c r="C72" s="8"/>
      <c r="D72" s="7" t="str">
        <f aca="false">IF(COUNT(H72,I72)&lt;2,"",ROUND(H72*I72,2))</f>
        <v/>
      </c>
      <c r="E72" s="29" t="n">
        <v>12</v>
      </c>
      <c r="F72" s="32" t="str">
        <f aca="false">IF(D72="","",ROUND(D72*E72,1))</f>
        <v/>
      </c>
      <c r="G72" s="24"/>
      <c r="H72" s="40"/>
      <c r="I72" s="40"/>
    </row>
    <row r="73" customFormat="false" ht="69.75" hidden="false" customHeight="true" outlineLevel="0" collapsed="false">
      <c r="A73" s="19" t="s">
        <v>426</v>
      </c>
      <c r="B73" s="38" t="s">
        <v>427</v>
      </c>
      <c r="C73" s="8"/>
      <c r="D73" s="8"/>
      <c r="E73" s="8"/>
      <c r="F73" s="41" t="n">
        <f aca="false">IF(F54="",0,F54)+IF(F55="",0,F55)+IF(F57="",0,F57)+IF(F58="",0,F58)+IF(F59="",0,F59)+IF(F60="",0,F60)+IF(F61="",0,F61)+IF(F63="",0,F63)+IF(F64="",0,F64)+IF(F65="",0,F65)+IF(F67="",0,F67)+IF(F68="",0,F68)+IF(F70="",0,F70)+IF(F71="",0,F71)+IF(F72="",0,F72)</f>
        <v>5351</v>
      </c>
      <c r="G73" s="24"/>
      <c r="H73" s="24"/>
      <c r="I73" s="24"/>
    </row>
    <row r="74" customFormat="false" ht="46.5" hidden="false" customHeight="true" outlineLevel="0" collapsed="false">
      <c r="A74" s="19" t="s">
        <v>428</v>
      </c>
      <c r="B74" s="38" t="s">
        <v>429</v>
      </c>
      <c r="C74" s="42" t="str">
        <f aca="false">TEXT(F73,"0.00")&amp;"  X  "&amp;Datos_balance!$B$4&amp;" (FI)  X  "&amp;Datos_balance!$B$5&amp;" (FO)  X  "&amp;Datos_balance!$B$6&amp;" (FZ)"</f>
        <v>5351.00  X  1.07 (FI)  X  1 (FO)  X  1 (FZ)</v>
      </c>
      <c r="D74" s="42"/>
      <c r="E74" s="42"/>
      <c r="F74" s="41" t="n">
        <f aca="false">ROUND(F73*Datos_balance!$B$4*Datos_balance!$B$5*Datos_balance!$B$6,1)</f>
        <v>5725.6</v>
      </c>
      <c r="G74" s="24"/>
      <c r="H74" s="24"/>
      <c r="I74" s="24"/>
    </row>
    <row r="75" customFormat="false" ht="39" hidden="false" customHeight="true" outlineLevel="0" collapsed="false">
      <c r="A75" s="8"/>
      <c r="B75" s="10" t="s">
        <v>430</v>
      </c>
      <c r="C75" s="42" t="s">
        <v>21</v>
      </c>
      <c r="D75" s="42"/>
      <c r="E75" s="42"/>
      <c r="F75" s="32" t="n">
        <f aca="false">F120</f>
        <v>2339.6</v>
      </c>
      <c r="G75" s="24"/>
      <c r="H75" s="24"/>
      <c r="I75" s="24"/>
    </row>
    <row r="76" customFormat="false" ht="39" hidden="false" customHeight="true" outlineLevel="0" collapsed="false">
      <c r="A76" s="8"/>
      <c r="B76" s="38" t="s">
        <v>431</v>
      </c>
      <c r="C76" s="42"/>
      <c r="D76" s="42"/>
      <c r="E76" s="42"/>
      <c r="F76" s="41" t="n">
        <f aca="false">F74+IF(F75="",0,F75)</f>
        <v>8065.2</v>
      </c>
      <c r="G76" s="24"/>
      <c r="H76" s="24"/>
      <c r="I76" s="24"/>
    </row>
    <row r="77" customFormat="false" ht="15" hidden="false" customHeight="false" outlineLevel="0" collapsed="false">
      <c r="A77" s="24"/>
      <c r="B77" s="24"/>
      <c r="C77" s="24"/>
      <c r="D77" s="24"/>
      <c r="E77" s="24"/>
      <c r="F77" s="24"/>
      <c r="G77" s="24"/>
      <c r="H77" s="24"/>
      <c r="I77" s="24"/>
    </row>
    <row r="78" customFormat="false" ht="61.5" hidden="false" customHeight="true" outlineLevel="0" collapsed="false">
      <c r="A78" s="8"/>
      <c r="B78" s="10" t="s">
        <v>432</v>
      </c>
      <c r="C78" s="42" t="str">
        <f aca="false">TEXT((Datos_balance!$B$9+Datos_balance!$B$10)/2,"0")&amp;" - "&amp;TEXT(Datos_balance!$B$11,"0")&amp;" = "&amp;TEXT((Datos_balance!$B$9+Datos_balance!$B$10)/2-Datos_balance!$B$11,"0")&amp;" C"</f>
        <v>86 - 20 = 66 C</v>
      </c>
      <c r="D78" s="42"/>
      <c r="E78" s="42"/>
      <c r="F78" s="8"/>
      <c r="G78" s="24"/>
      <c r="H78" s="24"/>
      <c r="I78" s="24"/>
    </row>
    <row r="79" customFormat="false" ht="39" hidden="false" customHeight="true" outlineLevel="0" collapsed="false">
      <c r="A79" s="8"/>
      <c r="B79" s="10" t="s">
        <v>433</v>
      </c>
      <c r="C79" s="43" t="n">
        <f aca="false">ROUND(Datos_balance!$B$14*Datos_balance!$B$15,2)</f>
        <v>274.4</v>
      </c>
      <c r="D79" s="43"/>
      <c r="E79" s="43"/>
      <c r="F79" s="8"/>
      <c r="G79" s="24"/>
      <c r="H79" s="24"/>
      <c r="I79" s="24"/>
    </row>
    <row r="80" customFormat="false" ht="39" hidden="false" customHeight="true" outlineLevel="0" collapsed="false">
      <c r="A80" s="8"/>
      <c r="B80" s="10" t="s">
        <v>434</v>
      </c>
      <c r="C80" s="44" t="n">
        <f aca="false">ROUNDUP(F76/(Datos_balance!$B$14*Datos_balance!$B$15),0)</f>
        <v>30</v>
      </c>
      <c r="D80" s="44"/>
      <c r="E80" s="44"/>
      <c r="F80" s="8"/>
      <c r="G80" s="24"/>
      <c r="H80" s="24"/>
      <c r="I80" s="24"/>
    </row>
    <row r="81" customFormat="false" ht="39" hidden="false" customHeight="true" outlineLevel="0" collapsed="false">
      <c r="A81" s="8"/>
      <c r="B81" s="10" t="s">
        <v>435</v>
      </c>
      <c r="C81" s="44" t="n">
        <f aca="false">ROUNDUP(F76/(Datos_balance!$B$14*Datos_balance!$B$15),0)*Datos_balance!$B$16</f>
        <v>240</v>
      </c>
      <c r="D81" s="44"/>
      <c r="E81" s="44"/>
      <c r="F81" s="8"/>
      <c r="G81" s="24"/>
      <c r="H81" s="24"/>
      <c r="I81" s="24"/>
    </row>
    <row r="82" customFormat="false" ht="39" hidden="false" customHeight="true" outlineLevel="0" collapsed="false">
      <c r="A82" s="13"/>
      <c r="B82" s="15" t="s">
        <v>436</v>
      </c>
      <c r="C82" s="14" t="str">
        <f aca="false">Datos_balance!$B$13</f>
        <v>Peisa Tropical 80-500</v>
      </c>
      <c r="D82" s="14"/>
      <c r="E82" s="14"/>
      <c r="F82" s="13"/>
      <c r="G82" s="24"/>
      <c r="H82" s="24"/>
      <c r="I82" s="24"/>
    </row>
    <row r="83" customFormat="false" ht="15" hidden="false" customHeight="false" outlineLevel="0" collapsed="false">
      <c r="A83" s="24"/>
      <c r="B83" s="24"/>
      <c r="C83" s="24"/>
      <c r="D83" s="24"/>
      <c r="E83" s="24"/>
      <c r="F83" s="24"/>
      <c r="G83" s="24"/>
      <c r="H83" s="24"/>
      <c r="I83" s="24"/>
    </row>
    <row r="84" customFormat="false" ht="39" hidden="false" customHeight="true" outlineLevel="0" collapsed="false">
      <c r="A84" s="24"/>
      <c r="B84" s="45" t="s">
        <v>444</v>
      </c>
      <c r="C84" s="24"/>
      <c r="D84" s="24"/>
      <c r="E84" s="24"/>
      <c r="F84" s="24"/>
      <c r="G84" s="24"/>
      <c r="H84" s="24"/>
      <c r="I84" s="24"/>
    </row>
    <row r="85" customFormat="false" ht="39" hidden="false" customHeight="true" outlineLevel="0" collapsed="false">
      <c r="A85" s="24"/>
      <c r="B85" s="24"/>
      <c r="C85" s="24"/>
      <c r="D85" s="24"/>
      <c r="E85" s="24"/>
      <c r="F85" s="24"/>
      <c r="G85" s="24"/>
      <c r="H85" s="24"/>
      <c r="I85" s="24"/>
    </row>
    <row r="86" customFormat="false" ht="39" hidden="false" customHeight="true" outlineLevel="0" collapsed="false">
      <c r="A86" s="24"/>
      <c r="B86" s="24"/>
      <c r="C86" s="24"/>
      <c r="D86" s="24"/>
      <c r="E86" s="24"/>
      <c r="F86" s="24"/>
      <c r="G86" s="24"/>
      <c r="H86" s="24"/>
      <c r="I86" s="24"/>
    </row>
    <row r="87" customFormat="false" ht="39" hidden="false" customHeight="true" outlineLevel="0" collapsed="false">
      <c r="A87" s="24"/>
      <c r="B87" s="24"/>
      <c r="C87" s="24"/>
      <c r="D87" s="24"/>
      <c r="E87" s="24"/>
      <c r="F87" s="24"/>
      <c r="G87" s="24"/>
      <c r="H87" s="24"/>
      <c r="I87" s="24"/>
    </row>
    <row r="88" customFormat="false" ht="39" hidden="false" customHeight="true" outlineLevel="0" collapsed="false">
      <c r="A88" s="24"/>
      <c r="B88" s="24"/>
      <c r="C88" s="24"/>
      <c r="D88" s="24"/>
      <c r="E88" s="24"/>
      <c r="F88" s="24"/>
      <c r="G88" s="24"/>
      <c r="H88" s="24"/>
      <c r="I88" s="24"/>
    </row>
    <row r="89" customFormat="false" ht="39" hidden="false" customHeight="true" outlineLevel="0" collapsed="false">
      <c r="A89" s="24"/>
      <c r="B89" s="24"/>
      <c r="C89" s="24"/>
      <c r="D89" s="24"/>
      <c r="E89" s="24"/>
      <c r="F89" s="24"/>
      <c r="G89" s="24"/>
      <c r="H89" s="24"/>
      <c r="I89" s="24"/>
    </row>
    <row r="90" customFormat="false" ht="39" hidden="false" customHeight="true" outlineLevel="0" collapsed="false">
      <c r="A90" s="24"/>
      <c r="B90" s="24"/>
      <c r="C90" s="24"/>
      <c r="D90" s="24"/>
      <c r="E90" s="24"/>
      <c r="F90" s="24"/>
      <c r="G90" s="24"/>
      <c r="H90" s="24"/>
      <c r="I90" s="24"/>
    </row>
    <row r="91" customFormat="false" ht="39" hidden="false" customHeight="true" outlineLevel="0" collapsed="false">
      <c r="A91" s="24"/>
      <c r="B91" s="24"/>
      <c r="C91" s="24"/>
      <c r="D91" s="24"/>
      <c r="E91" s="24"/>
      <c r="F91" s="24"/>
      <c r="G91" s="24"/>
      <c r="H91" s="24"/>
      <c r="I91" s="24"/>
    </row>
    <row r="92" customFormat="false" ht="39" hidden="false" customHeight="true" outlineLevel="0" collapsed="false">
      <c r="A92" s="24"/>
      <c r="B92" s="24"/>
      <c r="C92" s="24"/>
      <c r="D92" s="24"/>
      <c r="E92" s="24"/>
      <c r="F92" s="24"/>
      <c r="G92" s="24"/>
      <c r="H92" s="24"/>
      <c r="I92" s="24"/>
    </row>
    <row r="93" customFormat="false" ht="39" hidden="false" customHeight="true" outlineLevel="0" collapsed="false">
      <c r="A93" s="24"/>
      <c r="B93" s="24"/>
      <c r="C93" s="24"/>
      <c r="D93" s="24"/>
      <c r="E93" s="24"/>
      <c r="F93" s="24"/>
      <c r="G93" s="24"/>
      <c r="H93" s="24"/>
      <c r="I93" s="24"/>
    </row>
    <row r="94" customFormat="false" ht="39" hidden="false" customHeight="true" outlineLevel="0" collapsed="false">
      <c r="A94" s="24"/>
      <c r="B94" s="24"/>
      <c r="C94" s="24"/>
      <c r="D94" s="24"/>
      <c r="E94" s="24"/>
      <c r="F94" s="24"/>
      <c r="G94" s="24"/>
      <c r="H94" s="24"/>
      <c r="I94" s="24"/>
    </row>
    <row r="95" customFormat="false" ht="15" hidden="false" customHeight="false" outlineLevel="0" collapsed="false">
      <c r="A95" s="24"/>
      <c r="B95" s="24"/>
      <c r="C95" s="24"/>
      <c r="D95" s="24"/>
      <c r="E95" s="24"/>
      <c r="F95" s="24"/>
      <c r="G95" s="24"/>
      <c r="H95" s="24"/>
      <c r="I95" s="24"/>
    </row>
    <row r="96" customFormat="false" ht="15" hidden="false" customHeight="false" outlineLevel="0" collapsed="false">
      <c r="A96" s="24"/>
      <c r="B96" s="24"/>
      <c r="C96" s="24"/>
      <c r="D96" s="24"/>
      <c r="E96" s="24"/>
      <c r="F96" s="24"/>
      <c r="G96" s="24"/>
      <c r="H96" s="24"/>
      <c r="I96" s="24"/>
    </row>
    <row r="97" customFormat="false" ht="15" hidden="false" customHeight="false" outlineLevel="0" collapsed="false">
      <c r="A97" s="24"/>
      <c r="B97" s="24"/>
      <c r="C97" s="24"/>
      <c r="D97" s="24"/>
      <c r="E97" s="24"/>
      <c r="F97" s="24"/>
      <c r="G97" s="24"/>
      <c r="H97" s="24"/>
      <c r="I97" s="24"/>
    </row>
    <row r="98" customFormat="false" ht="39" hidden="false" customHeight="true" outlineLevel="0" collapsed="false">
      <c r="A98" s="37" t="s">
        <v>445</v>
      </c>
      <c r="B98" s="37"/>
      <c r="C98" s="37"/>
      <c r="D98" s="37"/>
      <c r="E98" s="37"/>
      <c r="F98" s="37"/>
      <c r="G98" s="24"/>
      <c r="H98" s="24"/>
      <c r="I98" s="24"/>
    </row>
    <row r="99" customFormat="false" ht="39" hidden="false" customHeight="true" outlineLevel="0" collapsed="false">
      <c r="A99" s="2" t="s">
        <v>395</v>
      </c>
      <c r="B99" s="2" t="s">
        <v>396</v>
      </c>
      <c r="C99" s="2" t="s">
        <v>397</v>
      </c>
      <c r="D99" s="2" t="s">
        <v>398</v>
      </c>
      <c r="E99" s="2" t="s">
        <v>399</v>
      </c>
      <c r="F99" s="2" t="s">
        <v>400</v>
      </c>
      <c r="G99" s="24"/>
      <c r="H99" s="24"/>
      <c r="I99" s="24"/>
    </row>
    <row r="100" customFormat="false" ht="39" hidden="false" customHeight="true" outlineLevel="0" collapsed="false">
      <c r="A100" s="19" t="s">
        <v>401</v>
      </c>
      <c r="B100" s="38" t="s">
        <v>402</v>
      </c>
      <c r="C100" s="8"/>
      <c r="D100" s="8"/>
      <c r="E100" s="8"/>
      <c r="F100" s="8"/>
      <c r="G100" s="24"/>
      <c r="H100" s="24"/>
      <c r="I100" s="24"/>
    </row>
    <row r="101" customFormat="false" ht="61.5" hidden="false" customHeight="true" outlineLevel="0" collapsed="false">
      <c r="A101" s="8"/>
      <c r="B101" s="39" t="s">
        <v>65</v>
      </c>
      <c r="C101" s="8" t="str">
        <f aca="false">IF(COUNT(H101,I101)&lt;2,"",TEXT(H101,"0.00")&amp;" x "&amp;TEXT(I101,"0.00"))</f>
        <v>3.55 x 3.00</v>
      </c>
      <c r="D101" s="7" t="n">
        <f aca="false">IF(COUNT(H101,I101)&lt;2,"",ROUND(H101*I101,2))</f>
        <v>10.65</v>
      </c>
      <c r="E101" s="29" t="n">
        <v>60</v>
      </c>
      <c r="F101" s="32" t="n">
        <f aca="false">IF(D101="","",ROUND(D101*E101,1))</f>
        <v>639</v>
      </c>
      <c r="G101" s="24"/>
      <c r="H101" s="40" t="n">
        <v>3.55</v>
      </c>
      <c r="I101" s="40" t="n">
        <v>3</v>
      </c>
    </row>
    <row r="102" customFormat="false" ht="61.5" hidden="false" customHeight="true" outlineLevel="0" collapsed="false">
      <c r="A102" s="8"/>
      <c r="B102" s="39" t="s">
        <v>446</v>
      </c>
      <c r="C102" s="8" t="str">
        <f aca="false">IF(COUNT(H102,I102)&lt;2,"",TEXT(H102,"0.00")&amp;" x "&amp;TEXT(I102,"0.00"))</f>
        <v>1.50 x 3.00</v>
      </c>
      <c r="D102" s="7" t="n">
        <f aca="false">IF(COUNT(H102,I102)&lt;2,"",ROUND(H102*I102,2))</f>
        <v>4.5</v>
      </c>
      <c r="E102" s="29" t="n">
        <v>60</v>
      </c>
      <c r="F102" s="32" t="n">
        <f aca="false">IF(D102="","",ROUND(D102*E102,1))</f>
        <v>270</v>
      </c>
      <c r="G102" s="24"/>
      <c r="H102" s="40" t="n">
        <v>1.5</v>
      </c>
      <c r="I102" s="40" t="n">
        <v>3</v>
      </c>
    </row>
    <row r="103" customFormat="false" ht="39" hidden="false" customHeight="true" outlineLevel="0" collapsed="false">
      <c r="A103" s="19" t="s">
        <v>403</v>
      </c>
      <c r="B103" s="38" t="s">
        <v>404</v>
      </c>
      <c r="C103" s="8"/>
      <c r="D103" s="8"/>
      <c r="E103" s="8"/>
      <c r="F103" s="8"/>
      <c r="G103" s="24"/>
      <c r="H103" s="24"/>
      <c r="I103" s="24"/>
    </row>
    <row r="104" customFormat="false" ht="61.5" hidden="false" customHeight="true" outlineLevel="0" collapsed="false">
      <c r="A104" s="8"/>
      <c r="B104" s="39" t="s">
        <v>406</v>
      </c>
      <c r="C104" s="8" t="str">
        <f aca="false">IF(COUNT(H104,I104)&lt;2,"",TEXT(H104,"0.00")&amp;" x "&amp;TEXT(I104,"0.00"))</f>
        <v>4.00 x 3.00</v>
      </c>
      <c r="D104" s="7" t="n">
        <f aca="false">IF(COUNT(H104,I104)&lt;2,"",ROUND(H104*I104,2))</f>
        <v>12</v>
      </c>
      <c r="E104" s="29" t="n">
        <v>20</v>
      </c>
      <c r="F104" s="32" t="n">
        <f aca="false">IF(D104="","",ROUND(D104*E104,1))</f>
        <v>240</v>
      </c>
      <c r="G104" s="24"/>
      <c r="H104" s="40" t="n">
        <v>4</v>
      </c>
      <c r="I104" s="40" t="n">
        <v>3</v>
      </c>
    </row>
    <row r="105" customFormat="false" ht="61.5" hidden="false" customHeight="true" outlineLevel="0" collapsed="false">
      <c r="A105" s="8"/>
      <c r="B105" s="39" t="s">
        <v>439</v>
      </c>
      <c r="C105" s="8" t="str">
        <f aca="false">IF(COUNT(H105,I105)&lt;2,"",TEXT(H105,"0.00")&amp;" x "&amp;TEXT(I105,"0.00"))</f>
        <v>2.15 x 3.00</v>
      </c>
      <c r="D105" s="7" t="n">
        <f aca="false">IF(COUNT(H105,I105)&lt;2,"",ROUND(H105*I105,2))</f>
        <v>6.45</v>
      </c>
      <c r="E105" s="29" t="n">
        <v>20</v>
      </c>
      <c r="F105" s="32" t="n">
        <f aca="false">IF(D105="","",ROUND(D105*E105,1))</f>
        <v>129</v>
      </c>
      <c r="G105" s="24"/>
      <c r="H105" s="40" t="n">
        <v>2.15</v>
      </c>
      <c r="I105" s="40" t="n">
        <v>3</v>
      </c>
    </row>
    <row r="106" customFormat="false" ht="61.5" hidden="false" customHeight="true" outlineLevel="0" collapsed="false">
      <c r="A106" s="8"/>
      <c r="B106" s="39" t="s">
        <v>408</v>
      </c>
      <c r="C106" s="8" t="str">
        <f aca="false">IF(COUNT(H106,I106)&lt;2,"",TEXT(H106,"0.00")&amp;" x "&amp;TEXT(I106,"0.00"))</f>
        <v>4.00 x 3.00</v>
      </c>
      <c r="D106" s="7" t="n">
        <f aca="false">IF(COUNT(H106,I106)&lt;2,"",ROUND(H106*I106,2))</f>
        <v>12</v>
      </c>
      <c r="E106" s="29" t="n">
        <v>25</v>
      </c>
      <c r="F106" s="32" t="n">
        <f aca="false">IF(D106="","",ROUND(D106*E106,1))</f>
        <v>300</v>
      </c>
      <c r="G106" s="24"/>
      <c r="H106" s="40" t="n">
        <v>4</v>
      </c>
      <c r="I106" s="40" t="n">
        <v>3</v>
      </c>
    </row>
    <row r="107" customFormat="false" ht="61.5" hidden="false" customHeight="true" outlineLevel="0" collapsed="false">
      <c r="A107" s="8"/>
      <c r="B107" s="39" t="s">
        <v>441</v>
      </c>
      <c r="C107" s="8" t="str">
        <f aca="false">IF(COUNT(H107,I107)&lt;2,"",TEXT(H107,"0.00")&amp;" x "&amp;TEXT(I107,"0.00"))</f>
        <v>2.15 x 3.00</v>
      </c>
      <c r="D107" s="7" t="n">
        <f aca="false">IF(COUNT(H107,I107)&lt;2,"",ROUND(H107*I107,2))</f>
        <v>6.45</v>
      </c>
      <c r="E107" s="29" t="n">
        <v>25</v>
      </c>
      <c r="F107" s="32" t="n">
        <f aca="false">IF(D107="","",ROUND(D107*E107,1))</f>
        <v>161.3</v>
      </c>
      <c r="G107" s="24"/>
      <c r="H107" s="40" t="n">
        <v>2.15</v>
      </c>
      <c r="I107" s="40" t="n">
        <v>3</v>
      </c>
    </row>
    <row r="108" customFormat="false" ht="39" hidden="false" customHeight="true" outlineLevel="0" collapsed="false">
      <c r="A108" s="19" t="s">
        <v>409</v>
      </c>
      <c r="B108" s="38" t="s">
        <v>410</v>
      </c>
      <c r="C108" s="8"/>
      <c r="D108" s="8"/>
      <c r="E108" s="8"/>
      <c r="F108" s="8"/>
      <c r="G108" s="24"/>
      <c r="H108" s="24"/>
      <c r="I108" s="24"/>
    </row>
    <row r="109" customFormat="false" ht="61.5" hidden="false" customHeight="true" outlineLevel="0" collapsed="false">
      <c r="A109" s="8"/>
      <c r="B109" s="39" t="s">
        <v>411</v>
      </c>
      <c r="C109" s="8"/>
      <c r="D109" s="7" t="str">
        <f aca="false">IF(COUNT(H109,I109)&lt;2,"",ROUND(H109*I109,2))</f>
        <v/>
      </c>
      <c r="E109" s="29" t="n">
        <v>30</v>
      </c>
      <c r="F109" s="32" t="str">
        <f aca="false">IF(D109="","",ROUND(D109*E109,1))</f>
        <v/>
      </c>
      <c r="G109" s="24"/>
      <c r="H109" s="40"/>
      <c r="I109" s="40"/>
    </row>
    <row r="110" customFormat="false" ht="61.5" hidden="false" customHeight="true" outlineLevel="0" collapsed="false">
      <c r="A110" s="8"/>
      <c r="B110" s="39" t="s">
        <v>412</v>
      </c>
      <c r="C110" s="8"/>
      <c r="D110" s="7" t="str">
        <f aca="false">IF(COUNT(H110,I110)&lt;2,"",ROUND(H110*I110,2))</f>
        <v/>
      </c>
      <c r="E110" s="29" t="n">
        <v>20</v>
      </c>
      <c r="F110" s="32" t="str">
        <f aca="false">IF(D110="","",ROUND(D110*E110,1))</f>
        <v/>
      </c>
      <c r="G110" s="24"/>
      <c r="H110" s="40"/>
      <c r="I110" s="40"/>
    </row>
    <row r="111" customFormat="false" ht="39" hidden="false" customHeight="true" outlineLevel="0" collapsed="false">
      <c r="A111" s="8"/>
      <c r="B111" s="39" t="s">
        <v>413</v>
      </c>
      <c r="C111" s="8" t="s">
        <v>414</v>
      </c>
      <c r="D111" s="7" t="n">
        <v>8.6</v>
      </c>
      <c r="E111" s="29" t="n">
        <v>15</v>
      </c>
      <c r="F111" s="32" t="n">
        <f aca="false">IF(D111="","",ROUND(D111*E111,1))</f>
        <v>129</v>
      </c>
      <c r="G111" s="24"/>
      <c r="H111" s="40"/>
      <c r="I111" s="40"/>
    </row>
    <row r="112" customFormat="false" ht="39" hidden="false" customHeight="true" outlineLevel="0" collapsed="false">
      <c r="A112" s="19" t="s">
        <v>415</v>
      </c>
      <c r="B112" s="38" t="s">
        <v>416</v>
      </c>
      <c r="C112" s="8"/>
      <c r="D112" s="8"/>
      <c r="E112" s="8"/>
      <c r="F112" s="8"/>
      <c r="G112" s="24"/>
      <c r="H112" s="24"/>
      <c r="I112" s="24"/>
    </row>
    <row r="113" customFormat="false" ht="39" hidden="false" customHeight="true" outlineLevel="0" collapsed="false">
      <c r="A113" s="8"/>
      <c r="B113" s="39" t="s">
        <v>417</v>
      </c>
      <c r="C113" s="8" t="s">
        <v>414</v>
      </c>
      <c r="D113" s="7" t="n">
        <v>8.6</v>
      </c>
      <c r="E113" s="29" t="n">
        <v>10</v>
      </c>
      <c r="F113" s="32" t="n">
        <f aca="false">IF(D113="","",ROUND(D113*E113,1))</f>
        <v>86</v>
      </c>
      <c r="G113" s="24"/>
      <c r="H113" s="40"/>
      <c r="I113" s="40"/>
    </row>
    <row r="114" customFormat="false" ht="61.5" hidden="false" customHeight="true" outlineLevel="0" collapsed="false">
      <c r="A114" s="8"/>
      <c r="B114" s="39" t="s">
        <v>418</v>
      </c>
      <c r="C114" s="8"/>
      <c r="D114" s="7" t="str">
        <f aca="false">IF(COUNT(H114,I114)&lt;2,"",ROUND(H114*I114,2))</f>
        <v/>
      </c>
      <c r="E114" s="29" t="n">
        <v>15</v>
      </c>
      <c r="F114" s="32" t="str">
        <f aca="false">IF(D114="","",ROUND(D114*E114,1))</f>
        <v/>
      </c>
      <c r="G114" s="24"/>
      <c r="H114" s="40"/>
      <c r="I114" s="40"/>
    </row>
    <row r="115" customFormat="false" ht="39" hidden="false" customHeight="true" outlineLevel="0" collapsed="false">
      <c r="A115" s="19" t="s">
        <v>419</v>
      </c>
      <c r="B115" s="38" t="s">
        <v>420</v>
      </c>
      <c r="C115" s="8"/>
      <c r="D115" s="19" t="s">
        <v>421</v>
      </c>
      <c r="E115" s="8"/>
      <c r="F115" s="8"/>
      <c r="G115" s="24"/>
      <c r="H115" s="24"/>
      <c r="I115" s="24"/>
    </row>
    <row r="116" customFormat="false" ht="61.5" hidden="false" customHeight="true" outlineLevel="0" collapsed="false">
      <c r="A116" s="8"/>
      <c r="B116" s="39" t="s">
        <v>422</v>
      </c>
      <c r="C116" s="8"/>
      <c r="D116" s="7" t="str">
        <f aca="false">IF(COUNT(H116,I116)&lt;2,"",ROUND(H116*I116,2))</f>
        <v/>
      </c>
      <c r="E116" s="29" t="n">
        <v>6</v>
      </c>
      <c r="F116" s="32" t="str">
        <f aca="false">IF(D116="","",ROUND(D116*E116,1))</f>
        <v/>
      </c>
      <c r="G116" s="24"/>
      <c r="H116" s="40"/>
      <c r="I116" s="40"/>
    </row>
    <row r="117" customFormat="false" ht="39" hidden="false" customHeight="true" outlineLevel="0" collapsed="false">
      <c r="A117" s="8"/>
      <c r="B117" s="39" t="s">
        <v>423</v>
      </c>
      <c r="C117" s="8" t="s">
        <v>447</v>
      </c>
      <c r="D117" s="7" t="n">
        <v>25.8</v>
      </c>
      <c r="E117" s="29" t="n">
        <v>9</v>
      </c>
      <c r="F117" s="32" t="n">
        <f aca="false">IF(D117="","",ROUND(D117*E117,1))</f>
        <v>232.2</v>
      </c>
      <c r="G117" s="24"/>
      <c r="H117" s="40"/>
      <c r="I117" s="40"/>
    </row>
    <row r="118" customFormat="false" ht="61.5" hidden="false" customHeight="true" outlineLevel="0" collapsed="false">
      <c r="A118" s="8"/>
      <c r="B118" s="39" t="s">
        <v>425</v>
      </c>
      <c r="C118" s="8"/>
      <c r="D118" s="7" t="str">
        <f aca="false">IF(COUNT(H118,I118)&lt;2,"",ROUND(H118*I118,2))</f>
        <v/>
      </c>
      <c r="E118" s="29" t="n">
        <v>12</v>
      </c>
      <c r="F118" s="32" t="str">
        <f aca="false">IF(D118="","",ROUND(D118*E118,1))</f>
        <v/>
      </c>
      <c r="G118" s="24"/>
      <c r="H118" s="40"/>
      <c r="I118" s="40"/>
    </row>
    <row r="119" customFormat="false" ht="69.75" hidden="false" customHeight="true" outlineLevel="0" collapsed="false">
      <c r="A119" s="19" t="s">
        <v>426</v>
      </c>
      <c r="B119" s="38" t="s">
        <v>427</v>
      </c>
      <c r="C119" s="8"/>
      <c r="D119" s="8"/>
      <c r="E119" s="8"/>
      <c r="F119" s="41" t="n">
        <f aca="false">IF(F101="",0,F101)+IF(F102="",0,F102)+IF(F104="",0,F104)+IF(F105="",0,F105)+IF(F106="",0,F106)+IF(F107="",0,F107)+IF(F109="",0,F109)+IF(F110="",0,F110)+IF(F111="",0,F111)+IF(F113="",0,F113)+IF(F114="",0,F114)+IF(F116="",0,F116)+IF(F117="",0,F117)+IF(F118="",0,F118)</f>
        <v>2186.5</v>
      </c>
      <c r="G119" s="24"/>
      <c r="H119" s="24"/>
      <c r="I119" s="24"/>
    </row>
    <row r="120" customFormat="false" ht="46.5" hidden="false" customHeight="true" outlineLevel="0" collapsed="false">
      <c r="A120" s="19" t="s">
        <v>428</v>
      </c>
      <c r="B120" s="38" t="s">
        <v>429</v>
      </c>
      <c r="C120" s="42" t="str">
        <f aca="false">TEXT(F119,"0.00")&amp;"  X  "&amp;Datos_balance!$B$4&amp;" (FI)  X  "&amp;Datos_balance!$B$5&amp;" (FO)  X  "&amp;Datos_balance!$B$6&amp;" (FZ)"</f>
        <v>2186.50  X  1.07 (FI)  X  1 (FO)  X  1 (FZ)</v>
      </c>
      <c r="D120" s="42"/>
      <c r="E120" s="42"/>
      <c r="F120" s="41" t="n">
        <f aca="false">ROUND(F119*Datos_balance!$B$4*Datos_balance!$B$5*Datos_balance!$B$6,1)</f>
        <v>2339.6</v>
      </c>
      <c r="G120" s="24"/>
      <c r="H120" s="24"/>
      <c r="I120" s="24"/>
    </row>
    <row r="121" customFormat="false" ht="39" hidden="false" customHeight="true" outlineLevel="0" collapsed="false">
      <c r="A121" s="8"/>
      <c r="B121" s="10" t="s">
        <v>430</v>
      </c>
      <c r="C121" s="42"/>
      <c r="D121" s="42"/>
      <c r="E121" s="42"/>
      <c r="F121" s="32"/>
      <c r="G121" s="24"/>
      <c r="H121" s="24"/>
      <c r="I121" s="24"/>
    </row>
    <row r="122" customFormat="false" ht="39" hidden="false" customHeight="true" outlineLevel="0" collapsed="false">
      <c r="A122" s="8"/>
      <c r="B122" s="38" t="s">
        <v>431</v>
      </c>
      <c r="C122" s="42"/>
      <c r="D122" s="42"/>
      <c r="E122" s="42"/>
      <c r="F122" s="41" t="n">
        <f aca="false">F120+IF(F121="",0,F121)</f>
        <v>2339.6</v>
      </c>
      <c r="G122" s="24"/>
      <c r="H122" s="24"/>
      <c r="I122" s="24"/>
    </row>
    <row r="123" customFormat="false" ht="15" hidden="false" customHeight="false" outlineLevel="0" collapsed="false">
      <c r="A123" s="24"/>
      <c r="B123" s="24"/>
      <c r="C123" s="24"/>
      <c r="D123" s="24"/>
      <c r="E123" s="24"/>
      <c r="F123" s="24"/>
      <c r="G123" s="24"/>
      <c r="H123" s="24"/>
      <c r="I123" s="24"/>
    </row>
    <row r="124" customFormat="false" ht="39" hidden="false" customHeight="true" outlineLevel="0" collapsed="false">
      <c r="A124" s="13"/>
      <c r="B124" s="46" t="s">
        <v>448</v>
      </c>
      <c r="C124" s="14" t="s">
        <v>449</v>
      </c>
      <c r="D124" s="14"/>
      <c r="E124" s="14"/>
      <c r="F124" s="13"/>
      <c r="G124" s="24"/>
      <c r="H124" s="24"/>
      <c r="I124" s="24"/>
    </row>
    <row r="125" customFormat="false" ht="15" hidden="false" customHeight="false" outlineLevel="0" collapsed="false">
      <c r="A125" s="24"/>
      <c r="B125" s="24"/>
      <c r="C125" s="24"/>
      <c r="D125" s="24"/>
      <c r="E125" s="24"/>
      <c r="F125" s="24"/>
      <c r="G125" s="24"/>
      <c r="H125" s="24"/>
      <c r="I125" s="24"/>
    </row>
    <row r="126" customFormat="false" ht="39" hidden="false" customHeight="true" outlineLevel="0" collapsed="false">
      <c r="A126" s="24"/>
      <c r="B126" s="45" t="s">
        <v>450</v>
      </c>
      <c r="C126" s="24"/>
      <c r="D126" s="24"/>
      <c r="E126" s="24"/>
      <c r="F126" s="24"/>
      <c r="G126" s="24"/>
      <c r="H126" s="24"/>
      <c r="I126" s="24"/>
    </row>
    <row r="127" customFormat="false" ht="39" hidden="false" customHeight="true" outlineLevel="0" collapsed="false">
      <c r="A127" s="24"/>
      <c r="B127" s="24"/>
      <c r="C127" s="24"/>
      <c r="D127" s="24"/>
      <c r="E127" s="24"/>
      <c r="F127" s="24"/>
      <c r="G127" s="24"/>
      <c r="H127" s="24"/>
      <c r="I127" s="24"/>
    </row>
    <row r="128" customFormat="false" ht="39" hidden="false" customHeight="true" outlineLevel="0" collapsed="false">
      <c r="A128" s="24"/>
      <c r="B128" s="24"/>
      <c r="C128" s="24"/>
      <c r="D128" s="24"/>
      <c r="E128" s="24"/>
      <c r="F128" s="24"/>
      <c r="G128" s="24"/>
      <c r="H128" s="24"/>
      <c r="I128" s="24"/>
    </row>
    <row r="129" customFormat="false" ht="39" hidden="false" customHeight="true" outlineLevel="0" collapsed="false">
      <c r="A129" s="24"/>
      <c r="B129" s="24"/>
      <c r="C129" s="24"/>
      <c r="D129" s="24"/>
      <c r="E129" s="24"/>
      <c r="F129" s="24"/>
      <c r="G129" s="24"/>
      <c r="H129" s="24"/>
      <c r="I129" s="24"/>
    </row>
    <row r="130" customFormat="false" ht="39" hidden="false" customHeight="true" outlineLevel="0" collapsed="false">
      <c r="A130" s="24"/>
      <c r="B130" s="24"/>
      <c r="C130" s="24"/>
      <c r="D130" s="24"/>
      <c r="E130" s="24"/>
      <c r="F130" s="24"/>
      <c r="G130" s="24"/>
      <c r="H130" s="24"/>
      <c r="I130" s="24"/>
    </row>
    <row r="131" customFormat="false" ht="39" hidden="false" customHeight="true" outlineLevel="0" collapsed="false">
      <c r="A131" s="24"/>
      <c r="B131" s="24"/>
      <c r="C131" s="24"/>
      <c r="D131" s="24"/>
      <c r="E131" s="24"/>
      <c r="F131" s="24"/>
      <c r="G131" s="24"/>
      <c r="H131" s="24"/>
      <c r="I131" s="24"/>
    </row>
    <row r="132" customFormat="false" ht="39" hidden="false" customHeight="true" outlineLevel="0" collapsed="false">
      <c r="A132" s="24"/>
      <c r="B132" s="24"/>
      <c r="C132" s="24"/>
      <c r="D132" s="24"/>
      <c r="E132" s="24"/>
      <c r="F132" s="24"/>
      <c r="G132" s="24"/>
      <c r="H132" s="24"/>
      <c r="I132" s="24"/>
    </row>
    <row r="133" customFormat="false" ht="39" hidden="false" customHeight="true" outlineLevel="0" collapsed="false">
      <c r="A133" s="24"/>
      <c r="B133" s="24"/>
      <c r="C133" s="24"/>
      <c r="D133" s="24"/>
      <c r="E133" s="24"/>
      <c r="F133" s="24"/>
      <c r="G133" s="24"/>
      <c r="H133" s="24"/>
      <c r="I133" s="24"/>
    </row>
    <row r="134" customFormat="false" ht="39" hidden="false" customHeight="true" outlineLevel="0" collapsed="false">
      <c r="A134" s="24"/>
      <c r="B134" s="24"/>
      <c r="C134" s="24"/>
      <c r="D134" s="24"/>
      <c r="E134" s="24"/>
      <c r="F134" s="24"/>
      <c r="G134" s="24"/>
      <c r="H134" s="24"/>
      <c r="I134" s="24"/>
    </row>
    <row r="135" customFormat="false" ht="39" hidden="false" customHeight="true" outlineLevel="0" collapsed="false">
      <c r="A135" s="24"/>
      <c r="B135" s="24"/>
      <c r="C135" s="24"/>
      <c r="D135" s="24"/>
      <c r="E135" s="24"/>
      <c r="F135" s="24"/>
      <c r="G135" s="24"/>
      <c r="H135" s="24"/>
      <c r="I135" s="24"/>
    </row>
    <row r="136" customFormat="false" ht="39" hidden="false" customHeight="true" outlineLevel="0" collapsed="false">
      <c r="A136" s="24"/>
      <c r="B136" s="24"/>
      <c r="C136" s="24"/>
      <c r="D136" s="24"/>
      <c r="E136" s="24"/>
      <c r="F136" s="24"/>
      <c r="G136" s="24"/>
      <c r="H136" s="24"/>
      <c r="I136" s="24"/>
    </row>
    <row r="137" customFormat="false" ht="15" hidden="false" customHeight="false" outlineLevel="0" collapsed="false">
      <c r="A137" s="24"/>
      <c r="B137" s="24"/>
      <c r="C137" s="24"/>
      <c r="D137" s="24"/>
      <c r="E137" s="24"/>
      <c r="F137" s="24"/>
      <c r="G137" s="24"/>
      <c r="H137" s="24"/>
      <c r="I137" s="24"/>
    </row>
    <row r="138" customFormat="false" ht="15" hidden="false" customHeight="false" outlineLevel="0" collapsed="false">
      <c r="A138" s="24"/>
      <c r="B138" s="24"/>
      <c r="C138" s="24"/>
      <c r="D138" s="24"/>
      <c r="E138" s="24"/>
      <c r="F138" s="24"/>
      <c r="G138" s="24"/>
      <c r="H138" s="24"/>
      <c r="I138" s="24"/>
    </row>
    <row r="139" customFormat="false" ht="15" hidden="false" customHeight="false" outlineLevel="0" collapsed="false">
      <c r="A139" s="24"/>
      <c r="B139" s="24"/>
      <c r="C139" s="24"/>
      <c r="D139" s="24"/>
      <c r="E139" s="24"/>
      <c r="F139" s="24"/>
      <c r="G139" s="24"/>
      <c r="H139" s="24"/>
      <c r="I139" s="24"/>
    </row>
    <row r="140" customFormat="false" ht="39" hidden="false" customHeight="true" outlineLevel="0" collapsed="false">
      <c r="A140" s="37" t="s">
        <v>451</v>
      </c>
      <c r="B140" s="37"/>
      <c r="C140" s="37"/>
      <c r="D140" s="37"/>
      <c r="E140" s="37"/>
      <c r="F140" s="37"/>
      <c r="G140" s="24"/>
      <c r="H140" s="24"/>
      <c r="I140" s="24"/>
    </row>
    <row r="141" customFormat="false" ht="39" hidden="false" customHeight="true" outlineLevel="0" collapsed="false">
      <c r="A141" s="2" t="s">
        <v>395</v>
      </c>
      <c r="B141" s="2" t="s">
        <v>396</v>
      </c>
      <c r="C141" s="2" t="s">
        <v>397</v>
      </c>
      <c r="D141" s="2" t="s">
        <v>398</v>
      </c>
      <c r="E141" s="2" t="s">
        <v>399</v>
      </c>
      <c r="F141" s="2" t="s">
        <v>400</v>
      </c>
      <c r="G141" s="24"/>
      <c r="H141" s="24"/>
      <c r="I141" s="24"/>
    </row>
    <row r="142" customFormat="false" ht="39" hidden="false" customHeight="true" outlineLevel="0" collapsed="false">
      <c r="A142" s="19" t="s">
        <v>401</v>
      </c>
      <c r="B142" s="38" t="s">
        <v>402</v>
      </c>
      <c r="C142" s="8"/>
      <c r="D142" s="8"/>
      <c r="E142" s="8"/>
      <c r="F142" s="8"/>
      <c r="G142" s="24"/>
      <c r="H142" s="24"/>
      <c r="I142" s="24"/>
    </row>
    <row r="143" customFormat="false" ht="61.5" hidden="false" customHeight="true" outlineLevel="0" collapsed="false">
      <c r="A143" s="8"/>
      <c r="B143" s="39" t="s">
        <v>452</v>
      </c>
      <c r="C143" s="8" t="str">
        <f aca="false">IF(COUNT(H143,I143)&lt;2,"",TEXT(H143,"0.00")&amp;" x "&amp;TEXT(I143,"0.00"))</f>
        <v/>
      </c>
      <c r="D143" s="7" t="str">
        <f aca="false">IF(COUNT(H143,I143)&lt;2,"",ROUND(H143*I143,2))</f>
        <v/>
      </c>
      <c r="E143" s="29" t="n">
        <v>60</v>
      </c>
      <c r="F143" s="32" t="str">
        <f aca="false">IF(D143="","",ROUND(D143*E143,1))</f>
        <v/>
      </c>
      <c r="G143" s="24"/>
      <c r="H143" s="40"/>
      <c r="I143" s="40"/>
    </row>
    <row r="144" customFormat="false" ht="39" hidden="false" customHeight="true" outlineLevel="0" collapsed="false">
      <c r="A144" s="19" t="s">
        <v>403</v>
      </c>
      <c r="B144" s="38" t="s">
        <v>404</v>
      </c>
      <c r="C144" s="8"/>
      <c r="D144" s="8"/>
      <c r="E144" s="8"/>
      <c r="F144" s="8"/>
      <c r="G144" s="24"/>
      <c r="H144" s="24"/>
      <c r="I144" s="24"/>
    </row>
    <row r="145" customFormat="false" ht="61.5" hidden="false" customHeight="true" outlineLevel="0" collapsed="false">
      <c r="A145" s="8"/>
      <c r="B145" s="39" t="s">
        <v>406</v>
      </c>
      <c r="C145" s="8" t="str">
        <f aca="false">IF(COUNT(H145,I145)&lt;2,"",TEXT(H145,"0.00")&amp;" x "&amp;TEXT(I145,"0.00"))</f>
        <v>1.70 x 3.00</v>
      </c>
      <c r="D145" s="7" t="n">
        <f aca="false">IF(COUNT(H145,I145)&lt;2,"",ROUND(H145*I145,2))</f>
        <v>5.1</v>
      </c>
      <c r="E145" s="29" t="n">
        <v>20</v>
      </c>
      <c r="F145" s="32" t="n">
        <f aca="false">IF(D145="","",ROUND(D145*E145,1))</f>
        <v>102</v>
      </c>
      <c r="G145" s="24"/>
      <c r="H145" s="40" t="n">
        <v>1.7</v>
      </c>
      <c r="I145" s="40" t="n">
        <v>3</v>
      </c>
    </row>
    <row r="146" customFormat="false" ht="61.5" hidden="false" customHeight="true" outlineLevel="0" collapsed="false">
      <c r="A146" s="8"/>
      <c r="B146" s="39" t="s">
        <v>440</v>
      </c>
      <c r="C146" s="8" t="str">
        <f aca="false">IF(COUNT(H146,I146)&lt;2,"",TEXT(H146,"0.00")&amp;" x "&amp;TEXT(I146,"0.00"))</f>
        <v/>
      </c>
      <c r="D146" s="7" t="str">
        <f aca="false">IF(COUNT(H146,I146)&lt;2,"",ROUND(H146*I146,2))</f>
        <v/>
      </c>
      <c r="E146" s="29" t="n">
        <v>20</v>
      </c>
      <c r="F146" s="32" t="str">
        <f aca="false">IF(D146="","",ROUND(D146*E146,1))</f>
        <v/>
      </c>
      <c r="G146" s="24"/>
      <c r="H146" s="40"/>
      <c r="I146" s="40"/>
    </row>
    <row r="147" customFormat="false" ht="61.5" hidden="false" customHeight="true" outlineLevel="0" collapsed="false">
      <c r="A147" s="8"/>
      <c r="B147" s="39" t="s">
        <v>442</v>
      </c>
      <c r="C147" s="8" t="str">
        <f aca="false">IF(COUNT(H147,I147)&lt;2,"",TEXT(H147,"0.00")&amp;" x "&amp;TEXT(I147,"0.00"))</f>
        <v>3.17 x 3.00</v>
      </c>
      <c r="D147" s="7" t="n">
        <f aca="false">IF(COUNT(H147,I147)&lt;2,"",ROUND(H147*I147,2))</f>
        <v>9.51</v>
      </c>
      <c r="E147" s="29" t="n">
        <v>25</v>
      </c>
      <c r="F147" s="32" t="n">
        <f aca="false">IF(D147="","",ROUND(D147*E147,1))</f>
        <v>237.8</v>
      </c>
      <c r="G147" s="24"/>
      <c r="H147" s="40" t="n">
        <v>3.17</v>
      </c>
      <c r="I147" s="40" t="n">
        <v>3</v>
      </c>
    </row>
    <row r="148" customFormat="false" ht="61.5" hidden="false" customHeight="true" outlineLevel="0" collapsed="false">
      <c r="A148" s="8"/>
      <c r="B148" s="39" t="s">
        <v>408</v>
      </c>
      <c r="C148" s="8" t="str">
        <f aca="false">IF(COUNT(H148,I148)&lt;2,"",TEXT(H148,"0.00")&amp;" x "&amp;TEXT(I148,"0.00"))</f>
        <v>3.38 x 3.00</v>
      </c>
      <c r="D148" s="7" t="n">
        <f aca="false">IF(COUNT(H148,I148)&lt;2,"",ROUND(H148*I148,2))</f>
        <v>10.14</v>
      </c>
      <c r="E148" s="29" t="n">
        <v>25</v>
      </c>
      <c r="F148" s="32" t="n">
        <f aca="false">IF(D148="","",ROUND(D148*E148,1))</f>
        <v>253.5</v>
      </c>
      <c r="G148" s="24"/>
      <c r="H148" s="40" t="n">
        <v>3.38</v>
      </c>
      <c r="I148" s="40" t="n">
        <v>3</v>
      </c>
    </row>
    <row r="149" customFormat="false" ht="61.5" hidden="false" customHeight="true" outlineLevel="0" collapsed="false">
      <c r="A149" s="8"/>
      <c r="B149" s="39" t="s">
        <v>441</v>
      </c>
      <c r="C149" s="8" t="str">
        <f aca="false">IF(COUNT(H149,I149)&lt;2,"",TEXT(H149,"0.00")&amp;" x "&amp;TEXT(I149,"0.00"))</f>
        <v>0.57 x 3.00</v>
      </c>
      <c r="D149" s="7" t="n">
        <f aca="false">IF(COUNT(H149,I149)&lt;2,"",ROUND(H149*I149,2))</f>
        <v>1.71</v>
      </c>
      <c r="E149" s="29" t="n">
        <v>25</v>
      </c>
      <c r="F149" s="32" t="n">
        <f aca="false">IF(D149="","",ROUND(D149*E149,1))</f>
        <v>42.8</v>
      </c>
      <c r="G149" s="24"/>
      <c r="H149" s="40" t="n">
        <v>0.57</v>
      </c>
      <c r="I149" s="40" t="n">
        <v>3</v>
      </c>
    </row>
    <row r="150" customFormat="false" ht="61.5" hidden="false" customHeight="true" outlineLevel="0" collapsed="false">
      <c r="A150" s="8"/>
      <c r="B150" s="39" t="s">
        <v>408</v>
      </c>
      <c r="C150" s="8" t="str">
        <f aca="false">IF(COUNT(H150,I150)&lt;2,"",TEXT(H150,"0.00")&amp;" x "&amp;TEXT(I150,"0.00"))</f>
        <v>1.49 x 3.00</v>
      </c>
      <c r="D150" s="7" t="n">
        <f aca="false">IF(COUNT(H150,I150)&lt;2,"",ROUND(H150*I150,2))</f>
        <v>4.47</v>
      </c>
      <c r="E150" s="29" t="n">
        <v>25</v>
      </c>
      <c r="F150" s="32" t="n">
        <f aca="false">IF(D150="","",ROUND(D150*E150,1))</f>
        <v>111.8</v>
      </c>
      <c r="G150" s="24"/>
      <c r="H150" s="40" t="n">
        <v>1.49</v>
      </c>
      <c r="I150" s="40" t="n">
        <v>3</v>
      </c>
    </row>
    <row r="151" customFormat="false" ht="61.5" hidden="false" customHeight="true" outlineLevel="0" collapsed="false">
      <c r="A151" s="8"/>
      <c r="B151" s="39" t="s">
        <v>407</v>
      </c>
      <c r="C151" s="8" t="str">
        <f aca="false">IF(COUNT(H151,I151)&lt;2,"",TEXT(H151,"0.00")&amp;" x "&amp;TEXT(I151,"0.00"))</f>
        <v>1.66 x 3.00</v>
      </c>
      <c r="D151" s="7" t="n">
        <f aca="false">IF(COUNT(H151,I151)&lt;2,"",ROUND(H151*I151,2))</f>
        <v>4.98</v>
      </c>
      <c r="E151" s="29" t="n">
        <v>25</v>
      </c>
      <c r="F151" s="32" t="n">
        <f aca="false">IF(D151="","",ROUND(D151*E151,1))</f>
        <v>124.5</v>
      </c>
      <c r="G151" s="24"/>
      <c r="H151" s="40" t="n">
        <v>1.66</v>
      </c>
      <c r="I151" s="40" t="n">
        <v>3</v>
      </c>
    </row>
    <row r="152" customFormat="false" ht="39" hidden="false" customHeight="true" outlineLevel="0" collapsed="false">
      <c r="A152" s="19" t="s">
        <v>409</v>
      </c>
      <c r="B152" s="38" t="s">
        <v>410</v>
      </c>
      <c r="C152" s="8"/>
      <c r="D152" s="8"/>
      <c r="E152" s="8"/>
      <c r="F152" s="8"/>
      <c r="G152" s="24"/>
      <c r="H152" s="24"/>
      <c r="I152" s="24"/>
    </row>
    <row r="153" customFormat="false" ht="61.5" hidden="false" customHeight="true" outlineLevel="0" collapsed="false">
      <c r="A153" s="8"/>
      <c r="B153" s="39" t="s">
        <v>411</v>
      </c>
      <c r="C153" s="8"/>
      <c r="D153" s="7" t="str">
        <f aca="false">IF(COUNT(H153,I153)&lt;2,"",ROUND(H153*I153,2))</f>
        <v/>
      </c>
      <c r="E153" s="29" t="n">
        <v>30</v>
      </c>
      <c r="F153" s="32" t="str">
        <f aca="false">IF(D153="","",ROUND(D153*E153,1))</f>
        <v/>
      </c>
      <c r="G153" s="24"/>
      <c r="H153" s="40"/>
      <c r="I153" s="40"/>
    </row>
    <row r="154" customFormat="false" ht="61.5" hidden="false" customHeight="true" outlineLevel="0" collapsed="false">
      <c r="A154" s="8"/>
      <c r="B154" s="39" t="s">
        <v>412</v>
      </c>
      <c r="C154" s="8"/>
      <c r="D154" s="7" t="str">
        <f aca="false">IF(COUNT(H154,I154)&lt;2,"",ROUND(H154*I154,2))</f>
        <v/>
      </c>
      <c r="E154" s="29" t="n">
        <v>20</v>
      </c>
      <c r="F154" s="32" t="str">
        <f aca="false">IF(D154="","",ROUND(D154*E154,1))</f>
        <v/>
      </c>
      <c r="G154" s="24"/>
      <c r="H154" s="40"/>
      <c r="I154" s="40"/>
    </row>
    <row r="155" customFormat="false" ht="39" hidden="false" customHeight="true" outlineLevel="0" collapsed="false">
      <c r="A155" s="8"/>
      <c r="B155" s="39" t="s">
        <v>413</v>
      </c>
      <c r="C155" s="8" t="s">
        <v>414</v>
      </c>
      <c r="D155" s="7" t="n">
        <v>7.23</v>
      </c>
      <c r="E155" s="29" t="n">
        <v>15</v>
      </c>
      <c r="F155" s="32" t="n">
        <f aca="false">IF(D155="","",ROUND(D155*E155,1))</f>
        <v>108.5</v>
      </c>
      <c r="G155" s="24"/>
      <c r="H155" s="40"/>
      <c r="I155" s="40"/>
    </row>
    <row r="156" customFormat="false" ht="39" hidden="false" customHeight="true" outlineLevel="0" collapsed="false">
      <c r="A156" s="19" t="s">
        <v>415</v>
      </c>
      <c r="B156" s="38" t="s">
        <v>416</v>
      </c>
      <c r="C156" s="8"/>
      <c r="D156" s="8"/>
      <c r="E156" s="8"/>
      <c r="F156" s="8"/>
      <c r="G156" s="24"/>
      <c r="H156" s="24"/>
      <c r="I156" s="24"/>
    </row>
    <row r="157" customFormat="false" ht="39" hidden="false" customHeight="true" outlineLevel="0" collapsed="false">
      <c r="A157" s="8"/>
      <c r="B157" s="39" t="s">
        <v>417</v>
      </c>
      <c r="C157" s="8" t="s">
        <v>414</v>
      </c>
      <c r="D157" s="7" t="n">
        <v>7.23</v>
      </c>
      <c r="E157" s="29" t="n">
        <v>10</v>
      </c>
      <c r="F157" s="32" t="n">
        <f aca="false">IF(D157="","",ROUND(D157*E157,1))</f>
        <v>72.3</v>
      </c>
      <c r="G157" s="24"/>
      <c r="H157" s="40"/>
      <c r="I157" s="40"/>
    </row>
    <row r="158" customFormat="false" ht="61.5" hidden="false" customHeight="true" outlineLevel="0" collapsed="false">
      <c r="A158" s="8"/>
      <c r="B158" s="39" t="s">
        <v>418</v>
      </c>
      <c r="C158" s="8"/>
      <c r="D158" s="7" t="str">
        <f aca="false">IF(COUNT(H158,I158)&lt;2,"",ROUND(H158*I158,2))</f>
        <v/>
      </c>
      <c r="E158" s="29" t="n">
        <v>15</v>
      </c>
      <c r="F158" s="32" t="str">
        <f aca="false">IF(D158="","",ROUND(D158*E158,1))</f>
        <v/>
      </c>
      <c r="G158" s="24"/>
      <c r="H158" s="40"/>
      <c r="I158" s="40"/>
    </row>
    <row r="159" customFormat="false" ht="39" hidden="false" customHeight="true" outlineLevel="0" collapsed="false">
      <c r="A159" s="19" t="s">
        <v>419</v>
      </c>
      <c r="B159" s="38" t="s">
        <v>420</v>
      </c>
      <c r="C159" s="8"/>
      <c r="D159" s="19" t="s">
        <v>421</v>
      </c>
      <c r="E159" s="8"/>
      <c r="F159" s="8"/>
      <c r="G159" s="24"/>
      <c r="H159" s="24"/>
      <c r="I159" s="24"/>
    </row>
    <row r="160" customFormat="false" ht="39" hidden="false" customHeight="true" outlineLevel="0" collapsed="false">
      <c r="A160" s="8"/>
      <c r="B160" s="39" t="s">
        <v>422</v>
      </c>
      <c r="C160" s="8" t="s">
        <v>453</v>
      </c>
      <c r="D160" s="7" t="n">
        <v>21.69</v>
      </c>
      <c r="E160" s="29" t="n">
        <v>6</v>
      </c>
      <c r="F160" s="32" t="n">
        <f aca="false">IF(D160="","",ROUND(D160*E160,1))</f>
        <v>130.1</v>
      </c>
      <c r="G160" s="24"/>
      <c r="H160" s="40"/>
      <c r="I160" s="40"/>
    </row>
    <row r="161" customFormat="false" ht="61.5" hidden="false" customHeight="true" outlineLevel="0" collapsed="false">
      <c r="A161" s="8"/>
      <c r="B161" s="39" t="s">
        <v>423</v>
      </c>
      <c r="C161" s="8"/>
      <c r="D161" s="7" t="str">
        <f aca="false">IF(COUNT(H161,I161)&lt;2,"",ROUND(H161*I161,2))</f>
        <v/>
      </c>
      <c r="E161" s="29" t="n">
        <v>9</v>
      </c>
      <c r="F161" s="32" t="str">
        <f aca="false">IF(D161="","",ROUND(D161*E161,1))</f>
        <v/>
      </c>
      <c r="G161" s="24"/>
      <c r="H161" s="40"/>
      <c r="I161" s="40"/>
    </row>
    <row r="162" customFormat="false" ht="61.5" hidden="false" customHeight="true" outlineLevel="0" collapsed="false">
      <c r="A162" s="8"/>
      <c r="B162" s="39" t="s">
        <v>425</v>
      </c>
      <c r="C162" s="8"/>
      <c r="D162" s="7" t="str">
        <f aca="false">IF(COUNT(H162,I162)&lt;2,"",ROUND(H162*I162,2))</f>
        <v/>
      </c>
      <c r="E162" s="29" t="n">
        <v>12</v>
      </c>
      <c r="F162" s="32" t="str">
        <f aca="false">IF(D162="","",ROUND(D162*E162,1))</f>
        <v/>
      </c>
      <c r="G162" s="24"/>
      <c r="H162" s="40"/>
      <c r="I162" s="40"/>
    </row>
    <row r="163" customFormat="false" ht="69.75" hidden="false" customHeight="true" outlineLevel="0" collapsed="false">
      <c r="A163" s="19" t="s">
        <v>426</v>
      </c>
      <c r="B163" s="38" t="s">
        <v>427</v>
      </c>
      <c r="C163" s="8"/>
      <c r="D163" s="8"/>
      <c r="E163" s="8"/>
      <c r="F163" s="41" t="n">
        <f aca="false">IF(F143="",0,F143)+IF(F145="",0,F145)+IF(F146="",0,F146)+IF(F147="",0,F147)+IF(F148="",0,F148)+IF(F149="",0,F149)+IF(F150="",0,F150)+IF(F151="",0,F151)+IF(F153="",0,F153)+IF(F154="",0,F154)+IF(F155="",0,F155)+IF(F157="",0,F157)+IF(F158="",0,F158)+IF(F160="",0,F160)+IF(F161="",0,F161)+IF(F162="",0,F162)</f>
        <v>1183.3</v>
      </c>
      <c r="G163" s="24"/>
      <c r="H163" s="24"/>
      <c r="I163" s="24"/>
    </row>
    <row r="164" customFormat="false" ht="46.5" hidden="false" customHeight="true" outlineLevel="0" collapsed="false">
      <c r="A164" s="19" t="s">
        <v>428</v>
      </c>
      <c r="B164" s="38" t="s">
        <v>429</v>
      </c>
      <c r="C164" s="42" t="str">
        <f aca="false">TEXT(F163,"0.00")&amp;"  X  "&amp;Datos_balance!$B$4&amp;" (FI)  X  "&amp;Datos_balance!$B$5&amp;" (FO)  X  "&amp;Datos_balance!$B$6&amp;" (FZ)"</f>
        <v>1183.30  X  1.07 (FI)  X  1 (FO)  X  1 (FZ)</v>
      </c>
      <c r="D164" s="42"/>
      <c r="E164" s="42"/>
      <c r="F164" s="41" t="n">
        <f aca="false">ROUND(F163*Datos_balance!$B$4*Datos_balance!$B$5*Datos_balance!$B$6,1)</f>
        <v>1266.1</v>
      </c>
      <c r="G164" s="24"/>
      <c r="H164" s="24"/>
      <c r="I164" s="24"/>
    </row>
    <row r="165" customFormat="false" ht="39" hidden="false" customHeight="true" outlineLevel="0" collapsed="false">
      <c r="A165" s="8"/>
      <c r="B165" s="10" t="s">
        <v>430</v>
      </c>
      <c r="C165" s="42"/>
      <c r="D165" s="42"/>
      <c r="E165" s="42"/>
      <c r="F165" s="32"/>
      <c r="G165" s="24"/>
      <c r="H165" s="24"/>
      <c r="I165" s="24"/>
    </row>
    <row r="166" customFormat="false" ht="39" hidden="false" customHeight="true" outlineLevel="0" collapsed="false">
      <c r="A166" s="8"/>
      <c r="B166" s="38" t="s">
        <v>431</v>
      </c>
      <c r="C166" s="42"/>
      <c r="D166" s="42"/>
      <c r="E166" s="42"/>
      <c r="F166" s="41" t="n">
        <f aca="false">F164+IF(F165="",0,F165)</f>
        <v>1266.1</v>
      </c>
      <c r="G166" s="24"/>
      <c r="H166" s="24"/>
      <c r="I166" s="24"/>
    </row>
    <row r="167" customFormat="false" ht="15" hidden="false" customHeight="false" outlineLevel="0" collapsed="false">
      <c r="A167" s="24"/>
      <c r="B167" s="24"/>
      <c r="C167" s="24"/>
      <c r="D167" s="24"/>
      <c r="E167" s="24"/>
      <c r="F167" s="24"/>
      <c r="G167" s="24"/>
      <c r="H167" s="24"/>
      <c r="I167" s="24"/>
    </row>
    <row r="168" customFormat="false" ht="61.5" hidden="false" customHeight="true" outlineLevel="0" collapsed="false">
      <c r="A168" s="8"/>
      <c r="B168" s="10" t="s">
        <v>432</v>
      </c>
      <c r="C168" s="42" t="str">
        <f aca="false">TEXT((Datos_balance!$B$9+Datos_balance!$B$10)/2,"0")&amp;" - "&amp;TEXT(Datos_balance!$B$11,"0")&amp;" = "&amp;TEXT((Datos_balance!$B$9+Datos_balance!$B$10)/2-Datos_balance!$B$11,"0")&amp;" C"</f>
        <v>86 - 20 = 66 C</v>
      </c>
      <c r="D168" s="42"/>
      <c r="E168" s="42"/>
      <c r="F168" s="8"/>
      <c r="G168" s="24"/>
      <c r="H168" s="24"/>
      <c r="I168" s="24"/>
    </row>
    <row r="169" customFormat="false" ht="39" hidden="false" customHeight="true" outlineLevel="0" collapsed="false">
      <c r="A169" s="8"/>
      <c r="B169" s="10" t="s">
        <v>433</v>
      </c>
      <c r="C169" s="43" t="n">
        <f aca="false">ROUND(Datos_balance!$B$14*Datos_balance!$B$15,2)</f>
        <v>274.4</v>
      </c>
      <c r="D169" s="43"/>
      <c r="E169" s="43"/>
      <c r="F169" s="8"/>
      <c r="G169" s="24"/>
      <c r="H169" s="24"/>
      <c r="I169" s="24"/>
    </row>
    <row r="170" customFormat="false" ht="39" hidden="false" customHeight="true" outlineLevel="0" collapsed="false">
      <c r="A170" s="8"/>
      <c r="B170" s="10" t="s">
        <v>434</v>
      </c>
      <c r="C170" s="44" t="n">
        <f aca="false">ROUNDUP(F166/(Datos_balance!$B$14*Datos_balance!$B$15),0)</f>
        <v>5</v>
      </c>
      <c r="D170" s="44"/>
      <c r="E170" s="44"/>
      <c r="F170" s="8"/>
      <c r="G170" s="24"/>
      <c r="H170" s="24"/>
      <c r="I170" s="24"/>
    </row>
    <row r="171" customFormat="false" ht="39" hidden="false" customHeight="true" outlineLevel="0" collapsed="false">
      <c r="A171" s="8"/>
      <c r="B171" s="10" t="s">
        <v>435</v>
      </c>
      <c r="C171" s="44" t="n">
        <f aca="false">ROUNDUP(F166/(Datos_balance!$B$14*Datos_balance!$B$15),0)*Datos_balance!$B$16</f>
        <v>40</v>
      </c>
      <c r="D171" s="44"/>
      <c r="E171" s="44"/>
      <c r="F171" s="8"/>
      <c r="G171" s="24"/>
      <c r="H171" s="24"/>
      <c r="I171" s="24"/>
    </row>
    <row r="172" customFormat="false" ht="39" hidden="false" customHeight="true" outlineLevel="0" collapsed="false">
      <c r="A172" s="13"/>
      <c r="B172" s="15" t="s">
        <v>436</v>
      </c>
      <c r="C172" s="14" t="str">
        <f aca="false">Datos_balance!$B$13</f>
        <v>Peisa Tropical 80-500</v>
      </c>
      <c r="D172" s="14"/>
      <c r="E172" s="14"/>
      <c r="F172" s="13"/>
      <c r="G172" s="24"/>
      <c r="H172" s="24"/>
      <c r="I172" s="24"/>
    </row>
    <row r="173" customFormat="false" ht="15" hidden="false" customHeight="false" outlineLevel="0" collapsed="false">
      <c r="A173" s="24"/>
      <c r="B173" s="24"/>
      <c r="C173" s="24"/>
      <c r="D173" s="24"/>
      <c r="E173" s="24"/>
      <c r="F173" s="24"/>
      <c r="G173" s="24"/>
      <c r="H173" s="24"/>
      <c r="I173" s="24"/>
    </row>
    <row r="174" customFormat="false" ht="39" hidden="false" customHeight="true" outlineLevel="0" collapsed="false">
      <c r="A174" s="24"/>
      <c r="B174" s="45" t="s">
        <v>454</v>
      </c>
      <c r="C174" s="24"/>
      <c r="D174" s="24"/>
      <c r="E174" s="24"/>
      <c r="F174" s="24"/>
      <c r="G174" s="24"/>
      <c r="H174" s="24"/>
      <c r="I174" s="24"/>
    </row>
    <row r="175" customFormat="false" ht="39" hidden="false" customHeight="true" outlineLevel="0" collapsed="false">
      <c r="A175" s="24"/>
      <c r="B175" s="24"/>
      <c r="C175" s="24"/>
      <c r="D175" s="24"/>
      <c r="E175" s="24"/>
      <c r="F175" s="24"/>
      <c r="G175" s="24"/>
      <c r="H175" s="24"/>
      <c r="I175" s="24"/>
    </row>
    <row r="176" customFormat="false" ht="39" hidden="false" customHeight="true" outlineLevel="0" collapsed="false">
      <c r="A176" s="24"/>
      <c r="B176" s="24"/>
      <c r="C176" s="24"/>
      <c r="D176" s="24"/>
      <c r="E176" s="24"/>
      <c r="F176" s="24"/>
      <c r="G176" s="24"/>
      <c r="H176" s="24"/>
      <c r="I176" s="24"/>
    </row>
    <row r="177" customFormat="false" ht="39" hidden="false" customHeight="true" outlineLevel="0" collapsed="false">
      <c r="A177" s="24"/>
      <c r="B177" s="24"/>
      <c r="C177" s="24"/>
      <c r="D177" s="24"/>
      <c r="E177" s="24"/>
      <c r="F177" s="24"/>
      <c r="G177" s="24"/>
      <c r="H177" s="24"/>
      <c r="I177" s="24"/>
    </row>
    <row r="178" customFormat="false" ht="39" hidden="false" customHeight="true" outlineLevel="0" collapsed="false">
      <c r="A178" s="24"/>
      <c r="B178" s="24"/>
      <c r="C178" s="24"/>
      <c r="D178" s="24"/>
      <c r="E178" s="24"/>
      <c r="F178" s="24"/>
      <c r="G178" s="24"/>
      <c r="H178" s="24"/>
      <c r="I178" s="24"/>
    </row>
    <row r="179" customFormat="false" ht="39" hidden="false" customHeight="true" outlineLevel="0" collapsed="false">
      <c r="A179" s="24"/>
      <c r="B179" s="24"/>
      <c r="C179" s="24"/>
      <c r="D179" s="24"/>
      <c r="E179" s="24"/>
      <c r="F179" s="24"/>
      <c r="G179" s="24"/>
      <c r="H179" s="24"/>
      <c r="I179" s="24"/>
    </row>
    <row r="180" customFormat="false" ht="39" hidden="false" customHeight="true" outlineLevel="0" collapsed="false">
      <c r="A180" s="24"/>
      <c r="B180" s="24"/>
      <c r="C180" s="24"/>
      <c r="D180" s="24"/>
      <c r="E180" s="24"/>
      <c r="F180" s="24"/>
      <c r="G180" s="24"/>
      <c r="H180" s="24"/>
      <c r="I180" s="24"/>
    </row>
    <row r="181" customFormat="false" ht="39" hidden="false" customHeight="true" outlineLevel="0" collapsed="false">
      <c r="A181" s="24"/>
      <c r="B181" s="24"/>
      <c r="C181" s="24"/>
      <c r="D181" s="24"/>
      <c r="E181" s="24"/>
      <c r="F181" s="24"/>
      <c r="G181" s="24"/>
      <c r="H181" s="24"/>
      <c r="I181" s="24"/>
    </row>
    <row r="182" customFormat="false" ht="39" hidden="false" customHeight="true" outlineLevel="0" collapsed="false">
      <c r="A182" s="24"/>
      <c r="B182" s="24"/>
      <c r="C182" s="24"/>
      <c r="D182" s="24"/>
      <c r="E182" s="24"/>
      <c r="F182" s="24"/>
      <c r="G182" s="24"/>
      <c r="H182" s="24"/>
      <c r="I182" s="24"/>
    </row>
    <row r="183" customFormat="false" ht="39" hidden="false" customHeight="true" outlineLevel="0" collapsed="false">
      <c r="A183" s="24"/>
      <c r="B183" s="24"/>
      <c r="C183" s="24"/>
      <c r="D183" s="24"/>
      <c r="E183" s="24"/>
      <c r="F183" s="24"/>
      <c r="G183" s="24"/>
      <c r="H183" s="24"/>
      <c r="I183" s="24"/>
    </row>
    <row r="184" customFormat="false" ht="39" hidden="false" customHeight="true" outlineLevel="0" collapsed="false">
      <c r="A184" s="24"/>
      <c r="B184" s="24"/>
      <c r="C184" s="24"/>
      <c r="D184" s="24"/>
      <c r="E184" s="24"/>
      <c r="F184" s="24"/>
      <c r="G184" s="24"/>
      <c r="H184" s="24"/>
      <c r="I184" s="24"/>
    </row>
    <row r="185" customFormat="false" ht="15" hidden="false" customHeight="false" outlineLevel="0" collapsed="false">
      <c r="A185" s="24"/>
      <c r="B185" s="24"/>
      <c r="C185" s="24"/>
      <c r="D185" s="24"/>
      <c r="E185" s="24"/>
      <c r="F185" s="24"/>
      <c r="G185" s="24"/>
      <c r="H185" s="24"/>
      <c r="I185" s="24"/>
    </row>
    <row r="186" customFormat="false" ht="15" hidden="false" customHeight="false" outlineLevel="0" collapsed="false">
      <c r="A186" s="24"/>
      <c r="B186" s="24"/>
      <c r="C186" s="24"/>
      <c r="D186" s="24"/>
      <c r="E186" s="24"/>
      <c r="F186" s="24"/>
      <c r="G186" s="24"/>
      <c r="H186" s="24"/>
      <c r="I186" s="24"/>
    </row>
    <row r="187" customFormat="false" ht="15" hidden="false" customHeight="false" outlineLevel="0" collapsed="false">
      <c r="A187" s="24"/>
      <c r="B187" s="24"/>
      <c r="C187" s="24"/>
      <c r="D187" s="24"/>
      <c r="E187" s="24"/>
      <c r="F187" s="24"/>
      <c r="G187" s="24"/>
      <c r="H187" s="24"/>
      <c r="I187" s="24"/>
    </row>
    <row r="188" customFormat="false" ht="39" hidden="false" customHeight="true" outlineLevel="0" collapsed="false">
      <c r="A188" s="37" t="s">
        <v>455</v>
      </c>
      <c r="B188" s="37"/>
      <c r="C188" s="37"/>
      <c r="D188" s="37"/>
      <c r="E188" s="37"/>
      <c r="F188" s="37"/>
      <c r="G188" s="24"/>
      <c r="H188" s="24"/>
      <c r="I188" s="24"/>
    </row>
    <row r="189" customFormat="false" ht="39" hidden="false" customHeight="true" outlineLevel="0" collapsed="false">
      <c r="A189" s="2" t="s">
        <v>395</v>
      </c>
      <c r="B189" s="2" t="s">
        <v>396</v>
      </c>
      <c r="C189" s="2" t="s">
        <v>397</v>
      </c>
      <c r="D189" s="2" t="s">
        <v>398</v>
      </c>
      <c r="E189" s="2" t="s">
        <v>399</v>
      </c>
      <c r="F189" s="2" t="s">
        <v>400</v>
      </c>
      <c r="G189" s="24"/>
      <c r="H189" s="24"/>
      <c r="I189" s="24"/>
    </row>
    <row r="190" customFormat="false" ht="39" hidden="false" customHeight="true" outlineLevel="0" collapsed="false">
      <c r="A190" s="19" t="s">
        <v>401</v>
      </c>
      <c r="B190" s="38" t="s">
        <v>402</v>
      </c>
      <c r="C190" s="8"/>
      <c r="D190" s="8"/>
      <c r="E190" s="8"/>
      <c r="F190" s="8"/>
      <c r="G190" s="24"/>
      <c r="H190" s="24"/>
      <c r="I190" s="24"/>
    </row>
    <row r="191" customFormat="false" ht="61.5" hidden="false" customHeight="true" outlineLevel="0" collapsed="false">
      <c r="A191" s="8"/>
      <c r="B191" s="39" t="s">
        <v>61</v>
      </c>
      <c r="C191" s="8" t="str">
        <f aca="false">IF(COUNT(H191,I191)&lt;2,"",TEXT(H191,"0.00")&amp;" x "&amp;TEXT(I191,"0.00"))</f>
        <v>0.75 x 2.52</v>
      </c>
      <c r="D191" s="7" t="n">
        <f aca="false">IF(COUNT(H191,I191)&lt;2,"",ROUND(H191*I191,2))</f>
        <v>1.89</v>
      </c>
      <c r="E191" s="29" t="n">
        <v>60</v>
      </c>
      <c r="F191" s="32" t="n">
        <f aca="false">IF(D191="","",ROUND(D191*E191,1))</f>
        <v>113.4</v>
      </c>
      <c r="G191" s="24"/>
      <c r="H191" s="40" t="n">
        <v>0.75</v>
      </c>
      <c r="I191" s="40" t="n">
        <v>2.52</v>
      </c>
    </row>
    <row r="192" customFormat="false" ht="39" hidden="false" customHeight="true" outlineLevel="0" collapsed="false">
      <c r="A192" s="19" t="s">
        <v>403</v>
      </c>
      <c r="B192" s="38" t="s">
        <v>404</v>
      </c>
      <c r="C192" s="8"/>
      <c r="D192" s="8"/>
      <c r="E192" s="8"/>
      <c r="F192" s="8"/>
      <c r="G192" s="24"/>
      <c r="H192" s="24"/>
      <c r="I192" s="24"/>
    </row>
    <row r="193" customFormat="false" ht="61.5" hidden="false" customHeight="true" outlineLevel="0" collapsed="false">
      <c r="A193" s="8"/>
      <c r="B193" s="39" t="s">
        <v>456</v>
      </c>
      <c r="C193" s="8" t="str">
        <f aca="false">IF(COUNT(H193,I193)&lt;2,"",TEXT(H193,"0.00")&amp;" x "&amp;TEXT(I193,"0.00"))</f>
        <v>4.06 x 3.00</v>
      </c>
      <c r="D193" s="7" t="n">
        <f aca="false">IF(COUNT(H193,I193)&lt;2,"",ROUND(H193*I193,2))</f>
        <v>12.18</v>
      </c>
      <c r="E193" s="29" t="n">
        <v>20</v>
      </c>
      <c r="F193" s="32" t="n">
        <f aca="false">IF(D193="","",ROUND(D193*E193,1))</f>
        <v>243.6</v>
      </c>
      <c r="G193" s="24"/>
      <c r="H193" s="40" t="n">
        <v>4.06</v>
      </c>
      <c r="I193" s="40" t="n">
        <v>3</v>
      </c>
    </row>
    <row r="194" customFormat="false" ht="61.5" hidden="false" customHeight="true" outlineLevel="0" collapsed="false">
      <c r="A194" s="8"/>
      <c r="B194" s="39" t="s">
        <v>439</v>
      </c>
      <c r="C194" s="8" t="str">
        <f aca="false">IF(COUNT(H194,I194)&lt;2,"",TEXT(H194,"0.00")&amp;" x "&amp;TEXT(I194,"0.00"))</f>
        <v>1.73 x 3.00</v>
      </c>
      <c r="D194" s="7" t="n">
        <f aca="false">IF(COUNT(H194,I194)&lt;2,"",ROUND(H194*I194,2))</f>
        <v>5.19</v>
      </c>
      <c r="E194" s="29" t="n">
        <v>20</v>
      </c>
      <c r="F194" s="32" t="n">
        <f aca="false">IF(D194="","",ROUND(D194*E194,1))</f>
        <v>103.8</v>
      </c>
      <c r="G194" s="24"/>
      <c r="H194" s="40" t="n">
        <v>1.73</v>
      </c>
      <c r="I194" s="40" t="n">
        <v>3</v>
      </c>
    </row>
    <row r="195" customFormat="false" ht="61.5" hidden="false" customHeight="true" outlineLevel="0" collapsed="false">
      <c r="A195" s="8"/>
      <c r="B195" s="39" t="s">
        <v>442</v>
      </c>
      <c r="C195" s="8" t="str">
        <f aca="false">IF(COUNT(H195,I195)&lt;2,"",TEXT(H195,"0.00")&amp;" x "&amp;TEXT(I195,"0.00"))</f>
        <v>4.06 x 3.00</v>
      </c>
      <c r="D195" s="7" t="n">
        <f aca="false">IF(COUNT(H195,I195)&lt;2,"",ROUND(H195*I195,2))</f>
        <v>12.18</v>
      </c>
      <c r="E195" s="29" t="n">
        <v>25</v>
      </c>
      <c r="F195" s="32" t="n">
        <f aca="false">IF(D195="","",ROUND(D195*E195,1))</f>
        <v>304.5</v>
      </c>
      <c r="G195" s="24"/>
      <c r="H195" s="40" t="n">
        <v>4.06</v>
      </c>
      <c r="I195" s="40" t="n">
        <v>3</v>
      </c>
    </row>
    <row r="196" customFormat="false" ht="61.5" hidden="false" customHeight="true" outlineLevel="0" collapsed="false">
      <c r="A196" s="8"/>
      <c r="B196" s="39" t="s">
        <v>441</v>
      </c>
      <c r="C196" s="8" t="str">
        <f aca="false">IF(COUNT(H196,I196)&lt;2,"",TEXT(H196,"0.00")&amp;" x "&amp;TEXT(I196,"0.00"))</f>
        <v>1.73 x 3.00</v>
      </c>
      <c r="D196" s="7" t="n">
        <f aca="false">IF(COUNT(H196,I196)&lt;2,"",ROUND(H196*I196,2))</f>
        <v>5.19</v>
      </c>
      <c r="E196" s="29" t="n">
        <v>25</v>
      </c>
      <c r="F196" s="32" t="n">
        <f aca="false">IF(D196="","",ROUND(D196*E196,1))</f>
        <v>129.8</v>
      </c>
      <c r="G196" s="24"/>
      <c r="H196" s="40" t="n">
        <v>1.73</v>
      </c>
      <c r="I196" s="40" t="n">
        <v>3</v>
      </c>
    </row>
    <row r="197" customFormat="false" ht="39" hidden="false" customHeight="true" outlineLevel="0" collapsed="false">
      <c r="A197" s="19" t="s">
        <v>409</v>
      </c>
      <c r="B197" s="38" t="s">
        <v>410</v>
      </c>
      <c r="C197" s="8"/>
      <c r="D197" s="8"/>
      <c r="E197" s="8"/>
      <c r="F197" s="8"/>
      <c r="G197" s="24"/>
      <c r="H197" s="24"/>
      <c r="I197" s="24"/>
    </row>
    <row r="198" customFormat="false" ht="61.5" hidden="false" customHeight="true" outlineLevel="0" collapsed="false">
      <c r="A198" s="8"/>
      <c r="B198" s="39" t="s">
        <v>411</v>
      </c>
      <c r="C198" s="8"/>
      <c r="D198" s="7" t="str">
        <f aca="false">IF(COUNT(H198,I198)&lt;2,"",ROUND(H198*I198,2))</f>
        <v/>
      </c>
      <c r="E198" s="29" t="n">
        <v>30</v>
      </c>
      <c r="F198" s="32" t="str">
        <f aca="false">IF(D198="","",ROUND(D198*E198,1))</f>
        <v/>
      </c>
      <c r="G198" s="24"/>
      <c r="H198" s="40"/>
      <c r="I198" s="40"/>
    </row>
    <row r="199" customFormat="false" ht="61.5" hidden="false" customHeight="true" outlineLevel="0" collapsed="false">
      <c r="A199" s="8"/>
      <c r="B199" s="39" t="s">
        <v>412</v>
      </c>
      <c r="C199" s="8"/>
      <c r="D199" s="7" t="str">
        <f aca="false">IF(COUNT(H199,I199)&lt;2,"",ROUND(H199*I199,2))</f>
        <v/>
      </c>
      <c r="E199" s="29" t="n">
        <v>20</v>
      </c>
      <c r="F199" s="32" t="str">
        <f aca="false">IF(D199="","",ROUND(D199*E199,1))</f>
        <v/>
      </c>
      <c r="G199" s="24"/>
      <c r="H199" s="40"/>
      <c r="I199" s="40"/>
    </row>
    <row r="200" customFormat="false" ht="39" hidden="false" customHeight="true" outlineLevel="0" collapsed="false">
      <c r="A200" s="8"/>
      <c r="B200" s="39" t="s">
        <v>413</v>
      </c>
      <c r="C200" s="8" t="s">
        <v>414</v>
      </c>
      <c r="D200" s="7" t="n">
        <v>7.02</v>
      </c>
      <c r="E200" s="29" t="n">
        <v>15</v>
      </c>
      <c r="F200" s="32" t="n">
        <f aca="false">IF(D200="","",ROUND(D200*E200,1))</f>
        <v>105.3</v>
      </c>
      <c r="G200" s="24"/>
      <c r="H200" s="40"/>
      <c r="I200" s="40"/>
    </row>
    <row r="201" customFormat="false" ht="39" hidden="false" customHeight="true" outlineLevel="0" collapsed="false">
      <c r="A201" s="19" t="s">
        <v>415</v>
      </c>
      <c r="B201" s="38" t="s">
        <v>416</v>
      </c>
      <c r="C201" s="8"/>
      <c r="D201" s="8"/>
      <c r="E201" s="8"/>
      <c r="F201" s="8"/>
      <c r="G201" s="24"/>
      <c r="H201" s="24"/>
      <c r="I201" s="24"/>
    </row>
    <row r="202" customFormat="false" ht="39" hidden="false" customHeight="true" outlineLevel="0" collapsed="false">
      <c r="A202" s="8"/>
      <c r="B202" s="39" t="s">
        <v>417</v>
      </c>
      <c r="C202" s="8" t="s">
        <v>414</v>
      </c>
      <c r="D202" s="7" t="n">
        <v>7.02</v>
      </c>
      <c r="E202" s="29" t="n">
        <v>10</v>
      </c>
      <c r="F202" s="32" t="n">
        <f aca="false">IF(D202="","",ROUND(D202*E202,1))</f>
        <v>70.2</v>
      </c>
      <c r="G202" s="24"/>
      <c r="H202" s="40"/>
      <c r="I202" s="40"/>
    </row>
    <row r="203" customFormat="false" ht="61.5" hidden="false" customHeight="true" outlineLevel="0" collapsed="false">
      <c r="A203" s="8"/>
      <c r="B203" s="39" t="s">
        <v>418</v>
      </c>
      <c r="C203" s="8"/>
      <c r="D203" s="7" t="str">
        <f aca="false">IF(COUNT(H203,I203)&lt;2,"",ROUND(H203*I203,2))</f>
        <v/>
      </c>
      <c r="E203" s="29" t="n">
        <v>15</v>
      </c>
      <c r="F203" s="32" t="str">
        <f aca="false">IF(D203="","",ROUND(D203*E203,1))</f>
        <v/>
      </c>
      <c r="G203" s="24"/>
      <c r="H203" s="40"/>
      <c r="I203" s="40"/>
    </row>
    <row r="204" customFormat="false" ht="39" hidden="false" customHeight="true" outlineLevel="0" collapsed="false">
      <c r="A204" s="19" t="s">
        <v>419</v>
      </c>
      <c r="B204" s="38" t="s">
        <v>420</v>
      </c>
      <c r="C204" s="8"/>
      <c r="D204" s="19" t="s">
        <v>421</v>
      </c>
      <c r="E204" s="8"/>
      <c r="F204" s="8"/>
      <c r="G204" s="24"/>
      <c r="H204" s="24"/>
      <c r="I204" s="24"/>
    </row>
    <row r="205" customFormat="false" ht="61.5" hidden="false" customHeight="true" outlineLevel="0" collapsed="false">
      <c r="A205" s="8"/>
      <c r="B205" s="39" t="s">
        <v>422</v>
      </c>
      <c r="C205" s="8"/>
      <c r="D205" s="7" t="str">
        <f aca="false">IF(COUNT(H205,I205)&lt;2,"",ROUND(H205*I205,2))</f>
        <v/>
      </c>
      <c r="E205" s="29" t="n">
        <v>6</v>
      </c>
      <c r="F205" s="32" t="str">
        <f aca="false">IF(D205="","",ROUND(D205*E205,1))</f>
        <v/>
      </c>
      <c r="G205" s="24"/>
      <c r="H205" s="40"/>
      <c r="I205" s="40"/>
    </row>
    <row r="206" customFormat="false" ht="39" hidden="false" customHeight="true" outlineLevel="0" collapsed="false">
      <c r="A206" s="8"/>
      <c r="B206" s="39" t="s">
        <v>423</v>
      </c>
      <c r="C206" s="8" t="s">
        <v>457</v>
      </c>
      <c r="D206" s="7" t="n">
        <v>21.06</v>
      </c>
      <c r="E206" s="29" t="n">
        <v>9</v>
      </c>
      <c r="F206" s="32" t="n">
        <f aca="false">IF(D206="","",ROUND(D206*E206,1))</f>
        <v>189.5</v>
      </c>
      <c r="G206" s="24"/>
      <c r="H206" s="40"/>
      <c r="I206" s="40"/>
    </row>
    <row r="207" customFormat="false" ht="61.5" hidden="false" customHeight="true" outlineLevel="0" collapsed="false">
      <c r="A207" s="8"/>
      <c r="B207" s="39" t="s">
        <v>425</v>
      </c>
      <c r="C207" s="8"/>
      <c r="D207" s="7" t="str">
        <f aca="false">IF(COUNT(H207,I207)&lt;2,"",ROUND(H207*I207,2))</f>
        <v/>
      </c>
      <c r="E207" s="29" t="n">
        <v>12</v>
      </c>
      <c r="F207" s="32" t="str">
        <f aca="false">IF(D207="","",ROUND(D207*E207,1))</f>
        <v/>
      </c>
      <c r="G207" s="24"/>
      <c r="H207" s="40"/>
      <c r="I207" s="40"/>
    </row>
    <row r="208" customFormat="false" ht="69.75" hidden="false" customHeight="true" outlineLevel="0" collapsed="false">
      <c r="A208" s="19" t="s">
        <v>426</v>
      </c>
      <c r="B208" s="38" t="s">
        <v>427</v>
      </c>
      <c r="C208" s="8"/>
      <c r="D208" s="8"/>
      <c r="E208" s="8"/>
      <c r="F208" s="41" t="n">
        <f aca="false">IF(F191="",0,F191)+IF(F193="",0,F193)+IF(F194="",0,F194)+IF(F195="",0,F195)+IF(F196="",0,F196)+IF(F198="",0,F198)+IF(F199="",0,F199)+IF(F200="",0,F200)+IF(F202="",0,F202)+IF(F203="",0,F203)+IF(F205="",0,F205)+IF(F206="",0,F206)+IF(F207="",0,F207)</f>
        <v>1260.1</v>
      </c>
      <c r="G208" s="24"/>
      <c r="H208" s="24"/>
      <c r="I208" s="24"/>
    </row>
    <row r="209" customFormat="false" ht="46.5" hidden="false" customHeight="true" outlineLevel="0" collapsed="false">
      <c r="A209" s="19" t="s">
        <v>428</v>
      </c>
      <c r="B209" s="38" t="s">
        <v>429</v>
      </c>
      <c r="C209" s="42" t="str">
        <f aca="false">TEXT(F208,"0.00")&amp;"  X  "&amp;Datos_balance!$B$4&amp;" (FI)  X  "&amp;Datos_balance!$B$5&amp;" (FO)  X  "&amp;Datos_balance!$B$6&amp;" (FZ)"</f>
        <v>1260.10  X  1.07 (FI)  X  1 (FO)  X  1 (FZ)</v>
      </c>
      <c r="D209" s="42"/>
      <c r="E209" s="42"/>
      <c r="F209" s="41" t="n">
        <f aca="false">ROUND(F208*Datos_balance!$B$4*Datos_balance!$B$5*Datos_balance!$B$6,1)</f>
        <v>1348.3</v>
      </c>
      <c r="G209" s="24"/>
      <c r="H209" s="24"/>
      <c r="I209" s="24"/>
    </row>
    <row r="210" customFormat="false" ht="39" hidden="false" customHeight="true" outlineLevel="0" collapsed="false">
      <c r="A210" s="8"/>
      <c r="B210" s="10" t="s">
        <v>430</v>
      </c>
      <c r="C210" s="42"/>
      <c r="D210" s="42"/>
      <c r="E210" s="42"/>
      <c r="F210" s="32"/>
      <c r="G210" s="24"/>
      <c r="H210" s="24"/>
      <c r="I210" s="24"/>
    </row>
    <row r="211" customFormat="false" ht="39" hidden="false" customHeight="true" outlineLevel="0" collapsed="false">
      <c r="A211" s="8"/>
      <c r="B211" s="38" t="s">
        <v>431</v>
      </c>
      <c r="C211" s="42"/>
      <c r="D211" s="42"/>
      <c r="E211" s="42"/>
      <c r="F211" s="41" t="n">
        <f aca="false">F209+IF(F210="",0,F210)</f>
        <v>1348.3</v>
      </c>
      <c r="G211" s="24"/>
      <c r="H211" s="24"/>
      <c r="I211" s="24"/>
    </row>
    <row r="212" customFormat="false" ht="15" hidden="false" customHeight="false" outlineLevel="0" collapsed="false">
      <c r="A212" s="24"/>
      <c r="B212" s="24"/>
      <c r="C212" s="24"/>
      <c r="D212" s="24"/>
      <c r="E212" s="24"/>
      <c r="F212" s="24"/>
      <c r="G212" s="24"/>
      <c r="H212" s="24"/>
      <c r="I212" s="24"/>
    </row>
    <row r="213" customFormat="false" ht="39" hidden="false" customHeight="true" outlineLevel="0" collapsed="false">
      <c r="A213" s="13"/>
      <c r="B213" s="46" t="s">
        <v>448</v>
      </c>
      <c r="C213" s="14" t="s">
        <v>458</v>
      </c>
      <c r="D213" s="14"/>
      <c r="E213" s="14"/>
      <c r="F213" s="13"/>
      <c r="G213" s="24"/>
      <c r="H213" s="24"/>
      <c r="I213" s="24"/>
    </row>
    <row r="214" customFormat="false" ht="15" hidden="false" customHeight="false" outlineLevel="0" collapsed="false">
      <c r="A214" s="24"/>
      <c r="B214" s="24"/>
      <c r="C214" s="24"/>
      <c r="D214" s="24"/>
      <c r="E214" s="24"/>
      <c r="F214" s="24"/>
      <c r="G214" s="24"/>
      <c r="H214" s="24"/>
      <c r="I214" s="24"/>
    </row>
    <row r="215" customFormat="false" ht="39" hidden="false" customHeight="true" outlineLevel="0" collapsed="false">
      <c r="A215" s="24"/>
      <c r="B215" s="45" t="s">
        <v>459</v>
      </c>
      <c r="C215" s="24"/>
      <c r="D215" s="24"/>
      <c r="E215" s="24"/>
      <c r="F215" s="24"/>
      <c r="G215" s="24"/>
      <c r="H215" s="24"/>
      <c r="I215" s="24"/>
    </row>
    <row r="216" customFormat="false" ht="39" hidden="false" customHeight="true" outlineLevel="0" collapsed="false">
      <c r="A216" s="24"/>
      <c r="B216" s="24"/>
      <c r="C216" s="24"/>
      <c r="D216" s="24"/>
      <c r="E216" s="24"/>
      <c r="F216" s="24"/>
      <c r="G216" s="24"/>
      <c r="H216" s="24"/>
      <c r="I216" s="24"/>
    </row>
    <row r="217" customFormat="false" ht="39" hidden="false" customHeight="true" outlineLevel="0" collapsed="false">
      <c r="A217" s="24"/>
      <c r="B217" s="24"/>
      <c r="C217" s="24"/>
      <c r="D217" s="24"/>
      <c r="E217" s="24"/>
      <c r="F217" s="24"/>
      <c r="G217" s="24"/>
      <c r="H217" s="24"/>
      <c r="I217" s="24"/>
    </row>
    <row r="218" customFormat="false" ht="39" hidden="false" customHeight="true" outlineLevel="0" collapsed="false">
      <c r="A218" s="24"/>
      <c r="B218" s="24"/>
      <c r="C218" s="24"/>
      <c r="D218" s="24"/>
      <c r="E218" s="24"/>
      <c r="F218" s="24"/>
      <c r="G218" s="24"/>
      <c r="H218" s="24"/>
      <c r="I218" s="24"/>
    </row>
    <row r="219" customFormat="false" ht="39" hidden="false" customHeight="true" outlineLevel="0" collapsed="false">
      <c r="A219" s="24"/>
      <c r="B219" s="24"/>
      <c r="C219" s="24"/>
      <c r="D219" s="24"/>
      <c r="E219" s="24"/>
      <c r="F219" s="24"/>
      <c r="G219" s="24"/>
      <c r="H219" s="24"/>
      <c r="I219" s="24"/>
    </row>
    <row r="220" customFormat="false" ht="39" hidden="false" customHeight="true" outlineLevel="0" collapsed="false">
      <c r="A220" s="24"/>
      <c r="B220" s="24"/>
      <c r="C220" s="24"/>
      <c r="D220" s="24"/>
      <c r="E220" s="24"/>
      <c r="F220" s="24"/>
      <c r="G220" s="24"/>
      <c r="H220" s="24"/>
      <c r="I220" s="24"/>
    </row>
    <row r="221" customFormat="false" ht="39" hidden="false" customHeight="true" outlineLevel="0" collapsed="false">
      <c r="A221" s="24"/>
      <c r="B221" s="24"/>
      <c r="C221" s="24"/>
      <c r="D221" s="24"/>
      <c r="E221" s="24"/>
      <c r="F221" s="24"/>
      <c r="G221" s="24"/>
      <c r="H221" s="24"/>
      <c r="I221" s="24"/>
    </row>
    <row r="222" customFormat="false" ht="39" hidden="false" customHeight="true" outlineLevel="0" collapsed="false">
      <c r="A222" s="24"/>
      <c r="B222" s="24"/>
      <c r="C222" s="24"/>
      <c r="D222" s="24"/>
      <c r="E222" s="24"/>
      <c r="F222" s="24"/>
      <c r="G222" s="24"/>
      <c r="H222" s="24"/>
      <c r="I222" s="24"/>
    </row>
    <row r="223" customFormat="false" ht="39" hidden="false" customHeight="true" outlineLevel="0" collapsed="false">
      <c r="A223" s="24"/>
      <c r="B223" s="24"/>
      <c r="C223" s="24"/>
      <c r="D223" s="24"/>
      <c r="E223" s="24"/>
      <c r="F223" s="24"/>
      <c r="G223" s="24"/>
      <c r="H223" s="24"/>
      <c r="I223" s="24"/>
    </row>
    <row r="224" customFormat="false" ht="39" hidden="false" customHeight="true" outlineLevel="0" collapsed="false">
      <c r="A224" s="24"/>
      <c r="B224" s="24"/>
      <c r="C224" s="24"/>
      <c r="D224" s="24"/>
      <c r="E224" s="24"/>
      <c r="F224" s="24"/>
      <c r="G224" s="24"/>
      <c r="H224" s="24"/>
      <c r="I224" s="24"/>
    </row>
    <row r="225" customFormat="false" ht="15" hidden="false" customHeight="false" outlineLevel="0" collapsed="false">
      <c r="A225" s="24"/>
      <c r="B225" s="24"/>
      <c r="C225" s="24"/>
      <c r="D225" s="24"/>
      <c r="E225" s="24"/>
      <c r="F225" s="24"/>
      <c r="G225" s="24"/>
      <c r="H225" s="24"/>
      <c r="I225" s="24"/>
    </row>
    <row r="226" customFormat="false" ht="15" hidden="false" customHeight="false" outlineLevel="0" collapsed="false">
      <c r="A226" s="24"/>
      <c r="B226" s="24"/>
      <c r="C226" s="24"/>
      <c r="D226" s="24"/>
      <c r="E226" s="24"/>
      <c r="F226" s="24"/>
      <c r="G226" s="24"/>
      <c r="H226" s="24"/>
      <c r="I226" s="24"/>
    </row>
    <row r="227" customFormat="false" ht="15" hidden="false" customHeight="false" outlineLevel="0" collapsed="false">
      <c r="A227" s="24"/>
      <c r="B227" s="24"/>
      <c r="C227" s="24"/>
      <c r="D227" s="24"/>
      <c r="E227" s="24"/>
      <c r="F227" s="24"/>
      <c r="G227" s="24"/>
      <c r="H227" s="24"/>
      <c r="I227" s="24"/>
    </row>
    <row r="228" customFormat="false" ht="39" hidden="false" customHeight="true" outlineLevel="0" collapsed="false">
      <c r="A228" s="37" t="s">
        <v>460</v>
      </c>
      <c r="B228" s="37"/>
      <c r="C228" s="37"/>
      <c r="D228" s="37"/>
      <c r="E228" s="37"/>
      <c r="F228" s="37"/>
      <c r="G228" s="24"/>
      <c r="H228" s="24"/>
      <c r="I228" s="24"/>
    </row>
    <row r="229" customFormat="false" ht="39" hidden="false" customHeight="true" outlineLevel="0" collapsed="false">
      <c r="A229" s="2" t="s">
        <v>395</v>
      </c>
      <c r="B229" s="2" t="s">
        <v>396</v>
      </c>
      <c r="C229" s="2" t="s">
        <v>397</v>
      </c>
      <c r="D229" s="2" t="s">
        <v>398</v>
      </c>
      <c r="E229" s="2" t="s">
        <v>399</v>
      </c>
      <c r="F229" s="2" t="s">
        <v>400</v>
      </c>
      <c r="G229" s="24"/>
      <c r="H229" s="24"/>
      <c r="I229" s="24"/>
    </row>
    <row r="230" customFormat="false" ht="39" hidden="false" customHeight="true" outlineLevel="0" collapsed="false">
      <c r="A230" s="19" t="s">
        <v>401</v>
      </c>
      <c r="B230" s="38" t="s">
        <v>402</v>
      </c>
      <c r="C230" s="8"/>
      <c r="D230" s="8"/>
      <c r="E230" s="8"/>
      <c r="F230" s="8"/>
      <c r="G230" s="24"/>
      <c r="H230" s="24"/>
      <c r="I230" s="24"/>
    </row>
    <row r="231" customFormat="false" ht="61.5" hidden="false" customHeight="true" outlineLevel="0" collapsed="false">
      <c r="A231" s="8"/>
      <c r="B231" s="39" t="s">
        <v>67</v>
      </c>
      <c r="C231" s="8" t="str">
        <f aca="false">IF(COUNT(H231,I231)&lt;2,"",TEXT(H231,"0.00")&amp;" x "&amp;TEXT(I231,"0.00"))</f>
        <v>0.75 x 3.00</v>
      </c>
      <c r="D231" s="7" t="n">
        <f aca="false">IF(COUNT(H231,I231)&lt;2,"",ROUND(H231*I231,2))</f>
        <v>2.25</v>
      </c>
      <c r="E231" s="29" t="n">
        <v>60</v>
      </c>
      <c r="F231" s="32" t="n">
        <f aca="false">IF(D231="","",ROUND(D231*E231,1))</f>
        <v>135</v>
      </c>
      <c r="G231" s="24"/>
      <c r="H231" s="40" t="n">
        <v>0.75</v>
      </c>
      <c r="I231" s="40" t="n">
        <v>3</v>
      </c>
    </row>
    <row r="232" customFormat="false" ht="61.5" hidden="false" customHeight="true" outlineLevel="0" collapsed="false">
      <c r="A232" s="8"/>
      <c r="B232" s="39" t="s">
        <v>59</v>
      </c>
      <c r="C232" s="8" t="str">
        <f aca="false">IF(COUNT(H232,I232)&lt;2,"",TEXT(H232,"0.00")&amp;" x "&amp;TEXT(I232,"0.00"))</f>
        <v>1.76 x 3.00</v>
      </c>
      <c r="D232" s="7" t="n">
        <f aca="false">IF(COUNT(H232,I232)&lt;2,"",ROUND(H232*I232,2))</f>
        <v>5.28</v>
      </c>
      <c r="E232" s="29" t="n">
        <v>60</v>
      </c>
      <c r="F232" s="32" t="n">
        <f aca="false">IF(D232="","",ROUND(D232*E232,1))</f>
        <v>316.8</v>
      </c>
      <c r="G232" s="24"/>
      <c r="H232" s="40" t="n">
        <v>1.76</v>
      </c>
      <c r="I232" s="40" t="n">
        <v>3</v>
      </c>
    </row>
    <row r="233" customFormat="false" ht="39" hidden="false" customHeight="true" outlineLevel="0" collapsed="false">
      <c r="A233" s="19" t="s">
        <v>403</v>
      </c>
      <c r="B233" s="38" t="s">
        <v>404</v>
      </c>
      <c r="C233" s="8"/>
      <c r="D233" s="8"/>
      <c r="E233" s="8"/>
      <c r="F233" s="8"/>
      <c r="G233" s="24"/>
      <c r="H233" s="24"/>
      <c r="I233" s="24"/>
    </row>
    <row r="234" customFormat="false" ht="61.5" hidden="false" customHeight="true" outlineLevel="0" collapsed="false">
      <c r="A234" s="8"/>
      <c r="B234" s="39" t="s">
        <v>456</v>
      </c>
      <c r="C234" s="8" t="str">
        <f aca="false">IF(COUNT(H234,I234)&lt;2,"",TEXT(H234,"0.00")&amp;" x "&amp;TEXT(I234,"0.00"))</f>
        <v>3.50 x 3.00</v>
      </c>
      <c r="D234" s="7" t="n">
        <f aca="false">IF(COUNT(H234,I234)&lt;2,"",ROUND(H234*I234,2))</f>
        <v>10.5</v>
      </c>
      <c r="E234" s="29" t="n">
        <v>20</v>
      </c>
      <c r="F234" s="32" t="n">
        <f aca="false">IF(D234="","",ROUND(D234*E234,1))</f>
        <v>210</v>
      </c>
      <c r="G234" s="24"/>
      <c r="H234" s="40" t="n">
        <v>3.5</v>
      </c>
      <c r="I234" s="40" t="n">
        <v>3</v>
      </c>
    </row>
    <row r="235" customFormat="false" ht="61.5" hidden="false" customHeight="true" outlineLevel="0" collapsed="false">
      <c r="A235" s="8"/>
      <c r="B235" s="39" t="s">
        <v>406</v>
      </c>
      <c r="C235" s="8" t="str">
        <f aca="false">IF(COUNT(H235,I235)&lt;2,"",TEXT(H235,"0.00")&amp;" x "&amp;TEXT(I235,"0.00"))</f>
        <v>3.50 x 3.00</v>
      </c>
      <c r="D235" s="7" t="n">
        <f aca="false">IF(COUNT(H235,I235)&lt;2,"",ROUND(H235*I235,2))</f>
        <v>10.5</v>
      </c>
      <c r="E235" s="29" t="n">
        <v>20</v>
      </c>
      <c r="F235" s="32" t="n">
        <f aca="false">IF(D235="","",ROUND(D235*E235,1))</f>
        <v>210</v>
      </c>
      <c r="G235" s="24"/>
      <c r="H235" s="40" t="n">
        <v>3.5</v>
      </c>
      <c r="I235" s="40" t="n">
        <v>3</v>
      </c>
    </row>
    <row r="236" customFormat="false" ht="61.5" hidden="false" customHeight="true" outlineLevel="0" collapsed="false">
      <c r="A236" s="8"/>
      <c r="B236" s="39" t="s">
        <v>439</v>
      </c>
      <c r="C236" s="8" t="str">
        <f aca="false">IF(COUNT(H236,I236)&lt;2,"",TEXT(H236,"0.00")&amp;" x "&amp;TEXT(I236,"0.00"))</f>
        <v>3.50 x 3.00</v>
      </c>
      <c r="D236" s="7" t="n">
        <f aca="false">IF(COUNT(H236,I236)&lt;2,"",ROUND(H236*I236,2))</f>
        <v>10.5</v>
      </c>
      <c r="E236" s="29" t="n">
        <v>20</v>
      </c>
      <c r="F236" s="32" t="n">
        <f aca="false">IF(D236="","",ROUND(D236*E236,1))</f>
        <v>210</v>
      </c>
      <c r="G236" s="24"/>
      <c r="H236" s="40" t="n">
        <v>3.5</v>
      </c>
      <c r="I236" s="40" t="n">
        <v>3</v>
      </c>
    </row>
    <row r="237" customFormat="false" ht="61.5" hidden="false" customHeight="true" outlineLevel="0" collapsed="false">
      <c r="A237" s="8"/>
      <c r="B237" s="39" t="s">
        <v>441</v>
      </c>
      <c r="C237" s="8" t="str">
        <f aca="false">IF(COUNT(H237,I237)&lt;2,"",TEXT(H237,"0.00")&amp;" x "&amp;TEXT(I237,"0.00"))</f>
        <v>3.50 x 3.00</v>
      </c>
      <c r="D237" s="7" t="n">
        <f aca="false">IF(COUNT(H237,I237)&lt;2,"",ROUND(H237*I237,2))</f>
        <v>10.5</v>
      </c>
      <c r="E237" s="29" t="n">
        <v>25</v>
      </c>
      <c r="F237" s="32" t="n">
        <f aca="false">IF(D237="","",ROUND(D237*E237,1))</f>
        <v>262.5</v>
      </c>
      <c r="G237" s="24"/>
      <c r="H237" s="40" t="n">
        <v>3.5</v>
      </c>
      <c r="I237" s="40" t="n">
        <v>3</v>
      </c>
    </row>
    <row r="238" customFormat="false" ht="61.5" hidden="false" customHeight="true" outlineLevel="0" collapsed="false">
      <c r="A238" s="8"/>
      <c r="B238" s="39" t="s">
        <v>461</v>
      </c>
      <c r="C238" s="8" t="str">
        <f aca="false">IF(COUNT(H238,I238)&lt;2,"",TEXT(H238,"0.00")&amp;" x "&amp;TEXT(I238,"0.00"))</f>
        <v/>
      </c>
      <c r="D238" s="7" t="str">
        <f aca="false">IF(COUNT(H238,I238)&lt;2,"",ROUND(H238*I238,2))</f>
        <v/>
      </c>
      <c r="E238" s="29" t="n">
        <v>25</v>
      </c>
      <c r="F238" s="32" t="str">
        <f aca="false">IF(D238="","",ROUND(D238*E238,1))</f>
        <v/>
      </c>
      <c r="G238" s="24"/>
      <c r="H238" s="40"/>
      <c r="I238" s="40"/>
    </row>
    <row r="239" customFormat="false" ht="39" hidden="false" customHeight="true" outlineLevel="0" collapsed="false">
      <c r="A239" s="19" t="s">
        <v>409</v>
      </c>
      <c r="B239" s="38" t="s">
        <v>410</v>
      </c>
      <c r="C239" s="8"/>
      <c r="D239" s="8"/>
      <c r="E239" s="8"/>
      <c r="F239" s="8"/>
      <c r="G239" s="24"/>
      <c r="H239" s="24"/>
      <c r="I239" s="24"/>
    </row>
    <row r="240" customFormat="false" ht="61.5" hidden="false" customHeight="true" outlineLevel="0" collapsed="false">
      <c r="A240" s="8"/>
      <c r="B240" s="39" t="s">
        <v>411</v>
      </c>
      <c r="C240" s="8"/>
      <c r="D240" s="7" t="str">
        <f aca="false">IF(COUNT(H240,I240)&lt;2,"",ROUND(H240*I240,2))</f>
        <v/>
      </c>
      <c r="E240" s="29" t="n">
        <v>30</v>
      </c>
      <c r="F240" s="32" t="str">
        <f aca="false">IF(D240="","",ROUND(D240*E240,1))</f>
        <v/>
      </c>
      <c r="G240" s="24"/>
      <c r="H240" s="40"/>
      <c r="I240" s="40"/>
    </row>
    <row r="241" customFormat="false" ht="61.5" hidden="false" customHeight="true" outlineLevel="0" collapsed="false">
      <c r="A241" s="8"/>
      <c r="B241" s="39" t="s">
        <v>412</v>
      </c>
      <c r="C241" s="8"/>
      <c r="D241" s="7" t="str">
        <f aca="false">IF(COUNT(H241,I241)&lt;2,"",ROUND(H241*I241,2))</f>
        <v/>
      </c>
      <c r="E241" s="29" t="n">
        <v>20</v>
      </c>
      <c r="F241" s="32" t="str">
        <f aca="false">IF(D241="","",ROUND(D241*E241,1))</f>
        <v/>
      </c>
      <c r="G241" s="24"/>
      <c r="H241" s="40"/>
      <c r="I241" s="40"/>
    </row>
    <row r="242" customFormat="false" ht="39" hidden="false" customHeight="true" outlineLevel="0" collapsed="false">
      <c r="A242" s="8"/>
      <c r="B242" s="39" t="s">
        <v>413</v>
      </c>
      <c r="C242" s="8" t="s">
        <v>414</v>
      </c>
      <c r="D242" s="7" t="n">
        <v>12.25</v>
      </c>
      <c r="E242" s="29" t="n">
        <v>15</v>
      </c>
      <c r="F242" s="32" t="n">
        <f aca="false">IF(D242="","",ROUND(D242*E242,1))</f>
        <v>183.8</v>
      </c>
      <c r="G242" s="24"/>
      <c r="H242" s="40"/>
      <c r="I242" s="40"/>
    </row>
    <row r="243" customFormat="false" ht="39" hidden="false" customHeight="true" outlineLevel="0" collapsed="false">
      <c r="A243" s="19" t="s">
        <v>415</v>
      </c>
      <c r="B243" s="38" t="s">
        <v>416</v>
      </c>
      <c r="C243" s="8"/>
      <c r="D243" s="8"/>
      <c r="E243" s="8"/>
      <c r="F243" s="8"/>
      <c r="G243" s="24"/>
      <c r="H243" s="24"/>
      <c r="I243" s="24"/>
    </row>
    <row r="244" customFormat="false" ht="39" hidden="false" customHeight="true" outlineLevel="0" collapsed="false">
      <c r="A244" s="8"/>
      <c r="B244" s="39" t="s">
        <v>417</v>
      </c>
      <c r="C244" s="8" t="s">
        <v>414</v>
      </c>
      <c r="D244" s="7" t="n">
        <v>12.25</v>
      </c>
      <c r="E244" s="29" t="n">
        <v>10</v>
      </c>
      <c r="F244" s="32" t="n">
        <f aca="false">IF(D244="","",ROUND(D244*E244,1))</f>
        <v>122.5</v>
      </c>
      <c r="G244" s="24"/>
      <c r="H244" s="40"/>
      <c r="I244" s="40"/>
    </row>
    <row r="245" customFormat="false" ht="61.5" hidden="false" customHeight="true" outlineLevel="0" collapsed="false">
      <c r="A245" s="8"/>
      <c r="B245" s="39" t="s">
        <v>418</v>
      </c>
      <c r="C245" s="8"/>
      <c r="D245" s="7" t="str">
        <f aca="false">IF(COUNT(H245,I245)&lt;2,"",ROUND(H245*I245,2))</f>
        <v/>
      </c>
      <c r="E245" s="29" t="n">
        <v>15</v>
      </c>
      <c r="F245" s="32" t="str">
        <f aca="false">IF(D245="","",ROUND(D245*E245,1))</f>
        <v/>
      </c>
      <c r="G245" s="24"/>
      <c r="H245" s="40"/>
      <c r="I245" s="40"/>
    </row>
    <row r="246" customFormat="false" ht="39" hidden="false" customHeight="true" outlineLevel="0" collapsed="false">
      <c r="A246" s="19" t="s">
        <v>419</v>
      </c>
      <c r="B246" s="38" t="s">
        <v>420</v>
      </c>
      <c r="C246" s="8"/>
      <c r="D246" s="19" t="s">
        <v>421</v>
      </c>
      <c r="E246" s="8"/>
      <c r="F246" s="8"/>
      <c r="G246" s="24"/>
      <c r="H246" s="24"/>
      <c r="I246" s="24"/>
    </row>
    <row r="247" customFormat="false" ht="61.5" hidden="false" customHeight="true" outlineLevel="0" collapsed="false">
      <c r="A247" s="8"/>
      <c r="B247" s="39" t="s">
        <v>422</v>
      </c>
      <c r="C247" s="8"/>
      <c r="D247" s="7" t="str">
        <f aca="false">IF(COUNT(H247,I247)&lt;2,"",ROUND(H247*I247,2))</f>
        <v/>
      </c>
      <c r="E247" s="29" t="n">
        <v>6</v>
      </c>
      <c r="F247" s="32" t="str">
        <f aca="false">IF(D247="","",ROUND(D247*E247,1))</f>
        <v/>
      </c>
      <c r="G247" s="24"/>
      <c r="H247" s="40"/>
      <c r="I247" s="40"/>
    </row>
    <row r="248" customFormat="false" ht="61.5" hidden="false" customHeight="true" outlineLevel="0" collapsed="false">
      <c r="A248" s="8"/>
      <c r="B248" s="39" t="s">
        <v>423</v>
      </c>
      <c r="C248" s="8"/>
      <c r="D248" s="7" t="str">
        <f aca="false">IF(COUNT(H248,I248)&lt;2,"",ROUND(H248*I248,2))</f>
        <v/>
      </c>
      <c r="E248" s="29" t="n">
        <v>9</v>
      </c>
      <c r="F248" s="32" t="str">
        <f aca="false">IF(D248="","",ROUND(D248*E248,1))</f>
        <v/>
      </c>
      <c r="G248" s="24"/>
      <c r="H248" s="40"/>
      <c r="I248" s="40"/>
    </row>
    <row r="249" customFormat="false" ht="39" hidden="false" customHeight="true" outlineLevel="0" collapsed="false">
      <c r="A249" s="8"/>
      <c r="B249" s="39" t="s">
        <v>425</v>
      </c>
      <c r="C249" s="8" t="s">
        <v>462</v>
      </c>
      <c r="D249" s="7" t="n">
        <v>36.75</v>
      </c>
      <c r="E249" s="29" t="n">
        <v>12</v>
      </c>
      <c r="F249" s="32" t="n">
        <f aca="false">IF(D249="","",ROUND(D249*E249,1))</f>
        <v>441</v>
      </c>
      <c r="G249" s="24"/>
      <c r="H249" s="40"/>
      <c r="I249" s="40"/>
    </row>
    <row r="250" customFormat="false" ht="69.75" hidden="false" customHeight="true" outlineLevel="0" collapsed="false">
      <c r="A250" s="19" t="s">
        <v>426</v>
      </c>
      <c r="B250" s="38" t="s">
        <v>427</v>
      </c>
      <c r="C250" s="8"/>
      <c r="D250" s="8"/>
      <c r="E250" s="8"/>
      <c r="F250" s="41" t="n">
        <f aca="false">IF(F231="",0,F231)+IF(F232="",0,F232)+IF(F234="",0,F234)+IF(F235="",0,F235)+IF(F236="",0,F236)+IF(F237="",0,F237)+IF(F238="",0,F238)+IF(F240="",0,F240)+IF(F241="",0,F241)+IF(F242="",0,F242)+IF(F244="",0,F244)+IF(F245="",0,F245)+IF(F247="",0,F247)+IF(F248="",0,F248)+IF(F249="",0,F249)</f>
        <v>2091.6</v>
      </c>
      <c r="G250" s="24"/>
      <c r="H250" s="24"/>
      <c r="I250" s="24"/>
    </row>
    <row r="251" customFormat="false" ht="46.5" hidden="false" customHeight="true" outlineLevel="0" collapsed="false">
      <c r="A251" s="19" t="s">
        <v>428</v>
      </c>
      <c r="B251" s="38" t="s">
        <v>429</v>
      </c>
      <c r="C251" s="42" t="str">
        <f aca="false">TEXT(F250,"0.00")&amp;"  X  "&amp;Datos_balance!$B$4&amp;" (FI)  X  "&amp;Datos_balance!$B$5&amp;" (FO)  X  "&amp;Datos_balance!$B$6&amp;" (FZ)"</f>
        <v>2091.60  X  1.07 (FI)  X  1 (FO)  X  1 (FZ)</v>
      </c>
      <c r="D251" s="42"/>
      <c r="E251" s="42"/>
      <c r="F251" s="41" t="n">
        <f aca="false">ROUND(F250*Datos_balance!$B$4*Datos_balance!$B$5*Datos_balance!$B$6,1)</f>
        <v>2238</v>
      </c>
      <c r="G251" s="24"/>
      <c r="H251" s="24"/>
      <c r="I251" s="24"/>
    </row>
    <row r="252" customFormat="false" ht="39" hidden="false" customHeight="true" outlineLevel="0" collapsed="false">
      <c r="A252" s="8"/>
      <c r="B252" s="10" t="s">
        <v>430</v>
      </c>
      <c r="C252" s="42"/>
      <c r="D252" s="42"/>
      <c r="E252" s="42"/>
      <c r="F252" s="32"/>
      <c r="G252" s="24"/>
      <c r="H252" s="24"/>
      <c r="I252" s="24"/>
    </row>
    <row r="253" customFormat="false" ht="39" hidden="false" customHeight="true" outlineLevel="0" collapsed="false">
      <c r="A253" s="8"/>
      <c r="B253" s="38" t="s">
        <v>431</v>
      </c>
      <c r="C253" s="42"/>
      <c r="D253" s="42"/>
      <c r="E253" s="42"/>
      <c r="F253" s="41" t="n">
        <f aca="false">F251+IF(F252="",0,F252)</f>
        <v>2238</v>
      </c>
      <c r="G253" s="24"/>
      <c r="H253" s="24"/>
      <c r="I253" s="24"/>
    </row>
    <row r="254" customFormat="false" ht="15" hidden="false" customHeight="false" outlineLevel="0" collapsed="false">
      <c r="A254" s="24"/>
      <c r="B254" s="24"/>
      <c r="C254" s="24"/>
      <c r="D254" s="24"/>
      <c r="E254" s="24"/>
      <c r="F254" s="24"/>
      <c r="G254" s="24"/>
      <c r="H254" s="24"/>
      <c r="I254" s="24"/>
    </row>
    <row r="255" customFormat="false" ht="61.5" hidden="false" customHeight="true" outlineLevel="0" collapsed="false">
      <c r="A255" s="8"/>
      <c r="B255" s="10" t="s">
        <v>432</v>
      </c>
      <c r="C255" s="42" t="str">
        <f aca="false">TEXT((Datos_balance!$B$9+Datos_balance!$B$10)/2,"0")&amp;" - "&amp;TEXT(Datos_balance!$B$11,"0")&amp;" = "&amp;TEXT((Datos_balance!$B$9+Datos_balance!$B$10)/2-Datos_balance!$B$11,"0")&amp;" C"</f>
        <v>86 - 20 = 66 C</v>
      </c>
      <c r="D255" s="42"/>
      <c r="E255" s="42"/>
      <c r="F255" s="8"/>
      <c r="G255" s="24"/>
      <c r="H255" s="24"/>
      <c r="I255" s="24"/>
    </row>
    <row r="256" customFormat="false" ht="39" hidden="false" customHeight="true" outlineLevel="0" collapsed="false">
      <c r="A256" s="8"/>
      <c r="B256" s="10" t="s">
        <v>433</v>
      </c>
      <c r="C256" s="43" t="n">
        <f aca="false">ROUND(Datos_balance!$B$14*Datos_balance!$B$15,2)</f>
        <v>274.4</v>
      </c>
      <c r="D256" s="43"/>
      <c r="E256" s="43"/>
      <c r="F256" s="8"/>
      <c r="G256" s="24"/>
      <c r="H256" s="24"/>
      <c r="I256" s="24"/>
    </row>
    <row r="257" customFormat="false" ht="39" hidden="false" customHeight="true" outlineLevel="0" collapsed="false">
      <c r="A257" s="8"/>
      <c r="B257" s="10" t="s">
        <v>434</v>
      </c>
      <c r="C257" s="44" t="n">
        <f aca="false">ROUNDUP(F253/(Datos_balance!$B$14*Datos_balance!$B$15),0)</f>
        <v>9</v>
      </c>
      <c r="D257" s="44"/>
      <c r="E257" s="44"/>
      <c r="F257" s="8"/>
      <c r="G257" s="24"/>
      <c r="H257" s="24"/>
      <c r="I257" s="24"/>
    </row>
    <row r="258" customFormat="false" ht="39" hidden="false" customHeight="true" outlineLevel="0" collapsed="false">
      <c r="A258" s="8"/>
      <c r="B258" s="10" t="s">
        <v>435</v>
      </c>
      <c r="C258" s="44" t="n">
        <f aca="false">ROUNDUP(F253/(Datos_balance!$B$14*Datos_balance!$B$15),0)*Datos_balance!$B$16</f>
        <v>72</v>
      </c>
      <c r="D258" s="44"/>
      <c r="E258" s="44"/>
      <c r="F258" s="8"/>
      <c r="G258" s="24"/>
      <c r="H258" s="24"/>
      <c r="I258" s="24"/>
    </row>
    <row r="259" customFormat="false" ht="39" hidden="false" customHeight="true" outlineLevel="0" collapsed="false">
      <c r="A259" s="13"/>
      <c r="B259" s="15" t="s">
        <v>436</v>
      </c>
      <c r="C259" s="14" t="str">
        <f aca="false">Datos_balance!$B$13</f>
        <v>Peisa Tropical 80-500</v>
      </c>
      <c r="D259" s="14"/>
      <c r="E259" s="14"/>
      <c r="F259" s="13"/>
      <c r="G259" s="24"/>
      <c r="H259" s="24"/>
      <c r="I259" s="24"/>
    </row>
    <row r="260" customFormat="false" ht="15" hidden="false" customHeight="false" outlineLevel="0" collapsed="false">
      <c r="A260" s="24"/>
      <c r="B260" s="24"/>
      <c r="C260" s="24"/>
      <c r="D260" s="24"/>
      <c r="E260" s="24"/>
      <c r="F260" s="24"/>
      <c r="G260" s="24"/>
      <c r="H260" s="24"/>
      <c r="I260" s="24"/>
    </row>
    <row r="261" customFormat="false" ht="39" hidden="false" customHeight="true" outlineLevel="0" collapsed="false">
      <c r="A261" s="24"/>
      <c r="B261" s="45" t="s">
        <v>463</v>
      </c>
      <c r="C261" s="24"/>
      <c r="D261" s="24"/>
      <c r="E261" s="24"/>
      <c r="F261" s="24"/>
      <c r="G261" s="24"/>
      <c r="H261" s="24"/>
      <c r="I261" s="24"/>
    </row>
    <row r="262" customFormat="false" ht="39" hidden="false" customHeight="true" outlineLevel="0" collapsed="false">
      <c r="A262" s="24"/>
      <c r="B262" s="24"/>
      <c r="C262" s="24"/>
      <c r="D262" s="24"/>
      <c r="E262" s="24"/>
      <c r="F262" s="24"/>
      <c r="G262" s="24"/>
      <c r="H262" s="24"/>
      <c r="I262" s="24"/>
    </row>
    <row r="263" customFormat="false" ht="39" hidden="false" customHeight="true" outlineLevel="0" collapsed="false">
      <c r="A263" s="24"/>
      <c r="B263" s="24"/>
      <c r="C263" s="24"/>
      <c r="D263" s="24"/>
      <c r="E263" s="24"/>
      <c r="F263" s="24"/>
      <c r="G263" s="24"/>
      <c r="H263" s="24"/>
      <c r="I263" s="24"/>
    </row>
    <row r="264" customFormat="false" ht="39" hidden="false" customHeight="true" outlineLevel="0" collapsed="false">
      <c r="A264" s="24"/>
      <c r="B264" s="24"/>
      <c r="C264" s="24"/>
      <c r="D264" s="24"/>
      <c r="E264" s="24"/>
      <c r="F264" s="24"/>
      <c r="G264" s="24"/>
      <c r="H264" s="24"/>
      <c r="I264" s="24"/>
    </row>
    <row r="265" customFormat="false" ht="39" hidden="false" customHeight="true" outlineLevel="0" collapsed="false">
      <c r="A265" s="24"/>
      <c r="B265" s="24"/>
      <c r="C265" s="24"/>
      <c r="D265" s="24"/>
      <c r="E265" s="24"/>
      <c r="F265" s="24"/>
      <c r="G265" s="24"/>
      <c r="H265" s="24"/>
      <c r="I265" s="24"/>
    </row>
    <row r="266" customFormat="false" ht="39" hidden="false" customHeight="true" outlineLevel="0" collapsed="false">
      <c r="A266" s="24"/>
      <c r="B266" s="24"/>
      <c r="C266" s="24"/>
      <c r="D266" s="24"/>
      <c r="E266" s="24"/>
      <c r="F266" s="24"/>
      <c r="G266" s="24"/>
      <c r="H266" s="24"/>
      <c r="I266" s="24"/>
    </row>
    <row r="267" customFormat="false" ht="39" hidden="false" customHeight="true" outlineLevel="0" collapsed="false">
      <c r="A267" s="24"/>
      <c r="B267" s="24"/>
      <c r="C267" s="24"/>
      <c r="D267" s="24"/>
      <c r="E267" s="24"/>
      <c r="F267" s="24"/>
      <c r="G267" s="24"/>
      <c r="H267" s="24"/>
      <c r="I267" s="24"/>
    </row>
    <row r="268" customFormat="false" ht="39" hidden="false" customHeight="true" outlineLevel="0" collapsed="false">
      <c r="A268" s="24"/>
      <c r="B268" s="24"/>
      <c r="C268" s="24"/>
      <c r="D268" s="24"/>
      <c r="E268" s="24"/>
      <c r="F268" s="24"/>
      <c r="G268" s="24"/>
      <c r="H268" s="24"/>
      <c r="I268" s="24"/>
    </row>
    <row r="269" customFormat="false" ht="39" hidden="false" customHeight="true" outlineLevel="0" collapsed="false">
      <c r="A269" s="24"/>
      <c r="B269" s="24"/>
      <c r="C269" s="24"/>
      <c r="D269" s="24"/>
      <c r="E269" s="24"/>
      <c r="F269" s="24"/>
      <c r="G269" s="24"/>
      <c r="H269" s="24"/>
      <c r="I269" s="24"/>
    </row>
    <row r="270" customFormat="false" ht="39" hidden="false" customHeight="true" outlineLevel="0" collapsed="false">
      <c r="A270" s="24"/>
      <c r="B270" s="24"/>
      <c r="C270" s="24"/>
      <c r="D270" s="24"/>
      <c r="E270" s="24"/>
      <c r="F270" s="24"/>
      <c r="G270" s="24"/>
      <c r="H270" s="24"/>
      <c r="I270" s="24"/>
    </row>
    <row r="271" customFormat="false" ht="39" hidden="false" customHeight="true" outlineLevel="0" collapsed="false">
      <c r="A271" s="24"/>
      <c r="B271" s="24"/>
      <c r="C271" s="24"/>
      <c r="D271" s="24"/>
      <c r="E271" s="24"/>
      <c r="F271" s="24"/>
      <c r="G271" s="24"/>
      <c r="H271" s="24"/>
      <c r="I271" s="24"/>
    </row>
    <row r="272" customFormat="false" ht="15" hidden="false" customHeight="false" outlineLevel="0" collapsed="false">
      <c r="A272" s="24"/>
      <c r="B272" s="24"/>
      <c r="C272" s="24"/>
      <c r="D272" s="24"/>
      <c r="E272" s="24"/>
      <c r="F272" s="24"/>
      <c r="G272" s="24"/>
      <c r="H272" s="24"/>
      <c r="I272" s="24"/>
    </row>
    <row r="273" customFormat="false" ht="15" hidden="false" customHeight="false" outlineLevel="0" collapsed="false">
      <c r="A273" s="24"/>
      <c r="B273" s="24"/>
      <c r="C273" s="24"/>
      <c r="D273" s="24"/>
      <c r="E273" s="24"/>
      <c r="F273" s="24"/>
      <c r="G273" s="24"/>
      <c r="H273" s="24"/>
      <c r="I273" s="24"/>
    </row>
    <row r="274" customFormat="false" ht="15" hidden="false" customHeight="false" outlineLevel="0" collapsed="false">
      <c r="A274" s="24"/>
      <c r="B274" s="24"/>
      <c r="C274" s="24"/>
      <c r="D274" s="24"/>
      <c r="E274" s="24"/>
      <c r="F274" s="24"/>
      <c r="G274" s="24"/>
      <c r="H274" s="24"/>
      <c r="I274" s="24"/>
    </row>
    <row r="275" customFormat="false" ht="39" hidden="false" customHeight="true" outlineLevel="0" collapsed="false">
      <c r="A275" s="37" t="s">
        <v>464</v>
      </c>
      <c r="B275" s="37"/>
      <c r="C275" s="37"/>
      <c r="D275" s="37"/>
      <c r="E275" s="37"/>
      <c r="F275" s="37"/>
      <c r="G275" s="24"/>
      <c r="H275" s="24"/>
      <c r="I275" s="24"/>
    </row>
    <row r="276" customFormat="false" ht="39" hidden="false" customHeight="true" outlineLevel="0" collapsed="false">
      <c r="A276" s="2" t="s">
        <v>395</v>
      </c>
      <c r="B276" s="2" t="s">
        <v>396</v>
      </c>
      <c r="C276" s="2" t="s">
        <v>397</v>
      </c>
      <c r="D276" s="2" t="s">
        <v>398</v>
      </c>
      <c r="E276" s="2" t="s">
        <v>399</v>
      </c>
      <c r="F276" s="2" t="s">
        <v>400</v>
      </c>
      <c r="G276" s="24"/>
      <c r="H276" s="24"/>
      <c r="I276" s="24"/>
    </row>
    <row r="277" customFormat="false" ht="39" hidden="false" customHeight="true" outlineLevel="0" collapsed="false">
      <c r="A277" s="19" t="s">
        <v>401</v>
      </c>
      <c r="B277" s="38" t="s">
        <v>402</v>
      </c>
      <c r="C277" s="8"/>
      <c r="D277" s="8"/>
      <c r="E277" s="8"/>
      <c r="F277" s="8"/>
      <c r="G277" s="24"/>
      <c r="H277" s="24"/>
      <c r="I277" s="24"/>
    </row>
    <row r="278" customFormat="false" ht="61.5" hidden="false" customHeight="true" outlineLevel="0" collapsed="false">
      <c r="A278" s="8"/>
      <c r="B278" s="39" t="s">
        <v>58</v>
      </c>
      <c r="C278" s="8" t="str">
        <f aca="false">IF(COUNT(H278,I278)&lt;2,"",TEXT(H278,"0.00")&amp;" x "&amp;TEXT(I278,"0.00"))</f>
        <v>0.75 x 2.15</v>
      </c>
      <c r="D278" s="7" t="n">
        <f aca="false">IF(COUNT(H278,I278)&lt;2,"",ROUND(H278*I278,2))</f>
        <v>1.61</v>
      </c>
      <c r="E278" s="29" t="n">
        <v>60</v>
      </c>
      <c r="F278" s="32" t="n">
        <f aca="false">IF(D278="","",ROUND(D278*E278,1))</f>
        <v>96.6</v>
      </c>
      <c r="G278" s="24"/>
      <c r="H278" s="40" t="n">
        <v>0.75</v>
      </c>
      <c r="I278" s="40" t="n">
        <v>2.15</v>
      </c>
    </row>
    <row r="279" customFormat="false" ht="39" hidden="false" customHeight="true" outlineLevel="0" collapsed="false">
      <c r="A279" s="19" t="s">
        <v>403</v>
      </c>
      <c r="B279" s="38" t="s">
        <v>404</v>
      </c>
      <c r="C279" s="8"/>
      <c r="D279" s="8"/>
      <c r="E279" s="8"/>
      <c r="F279" s="8"/>
      <c r="G279" s="24"/>
      <c r="H279" s="24"/>
      <c r="I279" s="24"/>
    </row>
    <row r="280" customFormat="false" ht="61.5" hidden="false" customHeight="true" outlineLevel="0" collapsed="false">
      <c r="A280" s="8"/>
      <c r="B280" s="39" t="s">
        <v>456</v>
      </c>
      <c r="C280" s="8" t="str">
        <f aca="false">IF(COUNT(H280,I280)&lt;2,"",TEXT(H280,"0.00")&amp;" x "&amp;TEXT(I280,"0.00"))</f>
        <v>3.38 x 3.00</v>
      </c>
      <c r="D280" s="7" t="n">
        <f aca="false">IF(COUNT(H280,I280)&lt;2,"",ROUND(H280*I280,2))</f>
        <v>10.14</v>
      </c>
      <c r="E280" s="29" t="n">
        <v>20</v>
      </c>
      <c r="F280" s="32" t="n">
        <f aca="false">IF(D280="","",ROUND(D280*E280,1))</f>
        <v>202.8</v>
      </c>
      <c r="G280" s="24"/>
      <c r="H280" s="40" t="n">
        <v>3.38</v>
      </c>
      <c r="I280" s="40" t="n">
        <v>3</v>
      </c>
    </row>
    <row r="281" customFormat="false" ht="61.5" hidden="false" customHeight="true" outlineLevel="0" collapsed="false">
      <c r="A281" s="8"/>
      <c r="B281" s="39" t="s">
        <v>440</v>
      </c>
      <c r="C281" s="8" t="str">
        <f aca="false">IF(COUNT(H281,I281)&lt;2,"",TEXT(H281,"0.00")&amp;" x "&amp;TEXT(I281,"0.00"))</f>
        <v/>
      </c>
      <c r="D281" s="7" t="str">
        <f aca="false">IF(COUNT(H281,I281)&lt;2,"",ROUND(H281*I281,2))</f>
        <v/>
      </c>
      <c r="E281" s="29" t="n">
        <v>20</v>
      </c>
      <c r="F281" s="32" t="str">
        <f aca="false">IF(D281="","",ROUND(D281*E281,1))</f>
        <v/>
      </c>
      <c r="G281" s="24"/>
      <c r="H281" s="40"/>
      <c r="I281" s="40"/>
    </row>
    <row r="282" customFormat="false" ht="61.5" hidden="false" customHeight="true" outlineLevel="0" collapsed="false">
      <c r="A282" s="8"/>
      <c r="B282" s="39" t="s">
        <v>441</v>
      </c>
      <c r="C282" s="8" t="str">
        <f aca="false">IF(COUNT(H282,I282)&lt;2,"",TEXT(H282,"0.00")&amp;" x "&amp;TEXT(I282,"0.00"))</f>
        <v>1.72 x 3.00</v>
      </c>
      <c r="D282" s="7" t="n">
        <f aca="false">IF(COUNT(H282,I282)&lt;2,"",ROUND(H282*I282,2))</f>
        <v>5.16</v>
      </c>
      <c r="E282" s="29" t="n">
        <v>25</v>
      </c>
      <c r="F282" s="32" t="n">
        <f aca="false">IF(D282="","",ROUND(D282*E282,1))</f>
        <v>129</v>
      </c>
      <c r="G282" s="24"/>
      <c r="H282" s="40" t="n">
        <v>1.72</v>
      </c>
      <c r="I282" s="40" t="n">
        <v>3</v>
      </c>
    </row>
    <row r="283" customFormat="false" ht="61.5" hidden="false" customHeight="true" outlineLevel="0" collapsed="false">
      <c r="A283" s="8"/>
      <c r="B283" s="39" t="s">
        <v>442</v>
      </c>
      <c r="C283" s="8" t="str">
        <f aca="false">IF(COUNT(H283,I283)&lt;2,"",TEXT(H283,"0.00")&amp;" x "&amp;TEXT(I283,"0.00"))</f>
        <v>3.38 x 3.00</v>
      </c>
      <c r="D283" s="7" t="n">
        <f aca="false">IF(COUNT(H283,I283)&lt;2,"",ROUND(H283*I283,2))</f>
        <v>10.14</v>
      </c>
      <c r="E283" s="29" t="n">
        <v>25</v>
      </c>
      <c r="F283" s="32" t="n">
        <f aca="false">IF(D283="","",ROUND(D283*E283,1))</f>
        <v>253.5</v>
      </c>
      <c r="G283" s="24"/>
      <c r="H283" s="40" t="n">
        <v>3.38</v>
      </c>
      <c r="I283" s="40" t="n">
        <v>3</v>
      </c>
    </row>
    <row r="284" customFormat="false" ht="61.5" hidden="false" customHeight="true" outlineLevel="0" collapsed="false">
      <c r="A284" s="8"/>
      <c r="B284" s="39" t="s">
        <v>407</v>
      </c>
      <c r="C284" s="8" t="str">
        <f aca="false">IF(COUNT(H284,I284)&lt;2,"",TEXT(H284,"0.00")&amp;" x "&amp;TEXT(I284,"0.00"))</f>
        <v>1.72 x 3.00</v>
      </c>
      <c r="D284" s="7" t="n">
        <f aca="false">IF(COUNT(H284,I284)&lt;2,"",ROUND(H284*I284,2))</f>
        <v>5.16</v>
      </c>
      <c r="E284" s="29" t="n">
        <v>25</v>
      </c>
      <c r="F284" s="32" t="n">
        <f aca="false">IF(D284="","",ROUND(D284*E284,1))</f>
        <v>129</v>
      </c>
      <c r="G284" s="24"/>
      <c r="H284" s="40" t="n">
        <v>1.72</v>
      </c>
      <c r="I284" s="40" t="n">
        <v>3</v>
      </c>
    </row>
    <row r="285" customFormat="false" ht="39" hidden="false" customHeight="true" outlineLevel="0" collapsed="false">
      <c r="A285" s="19" t="s">
        <v>409</v>
      </c>
      <c r="B285" s="38" t="s">
        <v>410</v>
      </c>
      <c r="C285" s="8"/>
      <c r="D285" s="8"/>
      <c r="E285" s="8"/>
      <c r="F285" s="8"/>
      <c r="G285" s="24"/>
      <c r="H285" s="24"/>
      <c r="I285" s="24"/>
    </row>
    <row r="286" customFormat="false" ht="61.5" hidden="false" customHeight="true" outlineLevel="0" collapsed="false">
      <c r="A286" s="8"/>
      <c r="B286" s="39" t="s">
        <v>411</v>
      </c>
      <c r="C286" s="8"/>
      <c r="D286" s="7" t="str">
        <f aca="false">IF(COUNT(H286,I286)&lt;2,"",ROUND(H286*I286,2))</f>
        <v/>
      </c>
      <c r="E286" s="29" t="n">
        <v>30</v>
      </c>
      <c r="F286" s="32" t="str">
        <f aca="false">IF(D286="","",ROUND(D286*E286,1))</f>
        <v/>
      </c>
      <c r="G286" s="24"/>
      <c r="H286" s="40"/>
      <c r="I286" s="40"/>
    </row>
    <row r="287" customFormat="false" ht="61.5" hidden="false" customHeight="true" outlineLevel="0" collapsed="false">
      <c r="A287" s="8"/>
      <c r="B287" s="39" t="s">
        <v>412</v>
      </c>
      <c r="C287" s="8"/>
      <c r="D287" s="7" t="str">
        <f aca="false">IF(COUNT(H287,I287)&lt;2,"",ROUND(H287*I287,2))</f>
        <v/>
      </c>
      <c r="E287" s="29" t="n">
        <v>20</v>
      </c>
      <c r="F287" s="32" t="str">
        <f aca="false">IF(D287="","",ROUND(D287*E287,1))</f>
        <v/>
      </c>
      <c r="G287" s="24"/>
      <c r="H287" s="40"/>
      <c r="I287" s="40"/>
    </row>
    <row r="288" customFormat="false" ht="39" hidden="false" customHeight="true" outlineLevel="0" collapsed="false">
      <c r="A288" s="8"/>
      <c r="B288" s="39" t="s">
        <v>413</v>
      </c>
      <c r="C288" s="8" t="s">
        <v>414</v>
      </c>
      <c r="D288" s="7" t="n">
        <v>5.81</v>
      </c>
      <c r="E288" s="29" t="n">
        <v>15</v>
      </c>
      <c r="F288" s="32" t="n">
        <f aca="false">IF(D288="","",ROUND(D288*E288,1))</f>
        <v>87.2</v>
      </c>
      <c r="G288" s="24"/>
      <c r="H288" s="40"/>
      <c r="I288" s="40"/>
    </row>
    <row r="289" customFormat="false" ht="39" hidden="false" customHeight="true" outlineLevel="0" collapsed="false">
      <c r="A289" s="19" t="s">
        <v>415</v>
      </c>
      <c r="B289" s="38" t="s">
        <v>416</v>
      </c>
      <c r="C289" s="8"/>
      <c r="D289" s="8"/>
      <c r="E289" s="8"/>
      <c r="F289" s="8"/>
      <c r="G289" s="24"/>
      <c r="H289" s="24"/>
      <c r="I289" s="24"/>
    </row>
    <row r="290" customFormat="false" ht="39" hidden="false" customHeight="true" outlineLevel="0" collapsed="false">
      <c r="A290" s="8"/>
      <c r="B290" s="39" t="s">
        <v>417</v>
      </c>
      <c r="C290" s="8" t="s">
        <v>414</v>
      </c>
      <c r="D290" s="7" t="n">
        <v>5.81</v>
      </c>
      <c r="E290" s="29" t="n">
        <v>10</v>
      </c>
      <c r="F290" s="32" t="n">
        <f aca="false">IF(D290="","",ROUND(D290*E290,1))</f>
        <v>58.1</v>
      </c>
      <c r="G290" s="24"/>
      <c r="H290" s="40"/>
      <c r="I290" s="40"/>
    </row>
    <row r="291" customFormat="false" ht="61.5" hidden="false" customHeight="true" outlineLevel="0" collapsed="false">
      <c r="A291" s="8"/>
      <c r="B291" s="39" t="s">
        <v>418</v>
      </c>
      <c r="C291" s="8"/>
      <c r="D291" s="7" t="str">
        <f aca="false">IF(COUNT(H291,I291)&lt;2,"",ROUND(H291*I291,2))</f>
        <v/>
      </c>
      <c r="E291" s="29" t="n">
        <v>15</v>
      </c>
      <c r="F291" s="32" t="str">
        <f aca="false">IF(D291="","",ROUND(D291*E291,1))</f>
        <v/>
      </c>
      <c r="G291" s="24"/>
      <c r="H291" s="40"/>
      <c r="I291" s="40"/>
    </row>
    <row r="292" customFormat="false" ht="39" hidden="false" customHeight="true" outlineLevel="0" collapsed="false">
      <c r="A292" s="19" t="s">
        <v>419</v>
      </c>
      <c r="B292" s="38" t="s">
        <v>420</v>
      </c>
      <c r="C292" s="8"/>
      <c r="D292" s="19" t="s">
        <v>421</v>
      </c>
      <c r="E292" s="8"/>
      <c r="F292" s="8"/>
      <c r="G292" s="24"/>
      <c r="H292" s="24"/>
      <c r="I292" s="24"/>
    </row>
    <row r="293" customFormat="false" ht="39" hidden="false" customHeight="true" outlineLevel="0" collapsed="false">
      <c r="A293" s="8"/>
      <c r="B293" s="39" t="s">
        <v>422</v>
      </c>
      <c r="C293" s="8" t="s">
        <v>465</v>
      </c>
      <c r="D293" s="7" t="n">
        <v>17.43</v>
      </c>
      <c r="E293" s="29" t="n">
        <v>6</v>
      </c>
      <c r="F293" s="32" t="n">
        <f aca="false">IF(D293="","",ROUND(D293*E293,1))</f>
        <v>104.6</v>
      </c>
      <c r="G293" s="24"/>
      <c r="H293" s="40"/>
      <c r="I293" s="40"/>
    </row>
    <row r="294" customFormat="false" ht="61.5" hidden="false" customHeight="true" outlineLevel="0" collapsed="false">
      <c r="A294" s="8"/>
      <c r="B294" s="39" t="s">
        <v>423</v>
      </c>
      <c r="C294" s="8"/>
      <c r="D294" s="7" t="str">
        <f aca="false">IF(COUNT(H294,I294)&lt;2,"",ROUND(H294*I294,2))</f>
        <v/>
      </c>
      <c r="E294" s="29" t="n">
        <v>9</v>
      </c>
      <c r="F294" s="32" t="str">
        <f aca="false">IF(D294="","",ROUND(D294*E294,1))</f>
        <v/>
      </c>
      <c r="G294" s="24"/>
      <c r="H294" s="40"/>
      <c r="I294" s="40"/>
    </row>
    <row r="295" customFormat="false" ht="61.5" hidden="false" customHeight="true" outlineLevel="0" collapsed="false">
      <c r="A295" s="8"/>
      <c r="B295" s="39" t="s">
        <v>425</v>
      </c>
      <c r="C295" s="8"/>
      <c r="D295" s="7" t="str">
        <f aca="false">IF(COUNT(H295,I295)&lt;2,"",ROUND(H295*I295,2))</f>
        <v/>
      </c>
      <c r="E295" s="29" t="n">
        <v>12</v>
      </c>
      <c r="F295" s="32" t="str">
        <f aca="false">IF(D295="","",ROUND(D295*E295,1))</f>
        <v/>
      </c>
      <c r="G295" s="24"/>
      <c r="H295" s="40"/>
      <c r="I295" s="40"/>
    </row>
    <row r="296" customFormat="false" ht="69.75" hidden="false" customHeight="true" outlineLevel="0" collapsed="false">
      <c r="A296" s="19" t="s">
        <v>426</v>
      </c>
      <c r="B296" s="38" t="s">
        <v>427</v>
      </c>
      <c r="C296" s="8"/>
      <c r="D296" s="8"/>
      <c r="E296" s="8"/>
      <c r="F296" s="41" t="n">
        <f aca="false">IF(F278="",0,F278)+IF(F280="",0,F280)+IF(F281="",0,F281)+IF(F282="",0,F282)+IF(F283="",0,F283)+IF(F284="",0,F284)+IF(F286="",0,F286)+IF(F287="",0,F287)+IF(F288="",0,F288)+IF(F290="",0,F290)+IF(F291="",0,F291)+IF(F293="",0,F293)+IF(F294="",0,F294)+IF(F295="",0,F295)</f>
        <v>1060.8</v>
      </c>
      <c r="G296" s="24"/>
      <c r="H296" s="24"/>
      <c r="I296" s="24"/>
    </row>
    <row r="297" customFormat="false" ht="46.5" hidden="false" customHeight="true" outlineLevel="0" collapsed="false">
      <c r="A297" s="19" t="s">
        <v>428</v>
      </c>
      <c r="B297" s="38" t="s">
        <v>429</v>
      </c>
      <c r="C297" s="42" t="str">
        <f aca="false">TEXT(F296,"0.00")&amp;"  X  "&amp;Datos_balance!$B$4&amp;" (FI)  X  "&amp;Datos_balance!$B$5&amp;" (FO)  X  "&amp;Datos_balance!$B$6&amp;" (FZ)"</f>
        <v>1060.80  X  1.07 (FI)  X  1 (FO)  X  1 (FZ)</v>
      </c>
      <c r="D297" s="42"/>
      <c r="E297" s="42"/>
      <c r="F297" s="41" t="n">
        <f aca="false">ROUND(F296*Datos_balance!$B$4*Datos_balance!$B$5*Datos_balance!$B$6,1)</f>
        <v>1135.1</v>
      </c>
      <c r="G297" s="24"/>
      <c r="H297" s="24"/>
      <c r="I297" s="24"/>
    </row>
    <row r="298" customFormat="false" ht="39" hidden="false" customHeight="true" outlineLevel="0" collapsed="false">
      <c r="A298" s="8"/>
      <c r="B298" s="10" t="s">
        <v>430</v>
      </c>
      <c r="C298" s="42"/>
      <c r="D298" s="42"/>
      <c r="E298" s="42"/>
      <c r="F298" s="32"/>
      <c r="G298" s="24"/>
      <c r="H298" s="24"/>
      <c r="I298" s="24"/>
    </row>
    <row r="299" customFormat="false" ht="39" hidden="false" customHeight="true" outlineLevel="0" collapsed="false">
      <c r="A299" s="8"/>
      <c r="B299" s="38" t="s">
        <v>431</v>
      </c>
      <c r="C299" s="42"/>
      <c r="D299" s="42"/>
      <c r="E299" s="42"/>
      <c r="F299" s="41" t="n">
        <f aca="false">F297+IF(F298="",0,F298)</f>
        <v>1135.1</v>
      </c>
      <c r="G299" s="24"/>
      <c r="H299" s="24"/>
      <c r="I299" s="24"/>
    </row>
    <row r="300" customFormat="false" ht="15" hidden="false" customHeight="false" outlineLevel="0" collapsed="false">
      <c r="A300" s="24"/>
      <c r="B300" s="24"/>
      <c r="C300" s="24"/>
      <c r="D300" s="24"/>
      <c r="E300" s="24"/>
      <c r="F300" s="24"/>
      <c r="G300" s="24"/>
      <c r="H300" s="24"/>
      <c r="I300" s="24"/>
    </row>
    <row r="301" customFormat="false" ht="61.5" hidden="false" customHeight="true" outlineLevel="0" collapsed="false">
      <c r="A301" s="8"/>
      <c r="B301" s="10" t="s">
        <v>432</v>
      </c>
      <c r="C301" s="42" t="str">
        <f aca="false">TEXT((Datos_balance!$B$9+Datos_balance!$B$10)/2,"0")&amp;" - "&amp;TEXT(Datos_balance!$B$11,"0")&amp;" = "&amp;TEXT((Datos_balance!$B$9+Datos_balance!$B$10)/2-Datos_balance!$B$11,"0")&amp;" C"</f>
        <v>86 - 20 = 66 C</v>
      </c>
      <c r="D301" s="42"/>
      <c r="E301" s="42"/>
      <c r="F301" s="8"/>
      <c r="G301" s="24"/>
      <c r="H301" s="24"/>
      <c r="I301" s="24"/>
    </row>
    <row r="302" customFormat="false" ht="39" hidden="false" customHeight="true" outlineLevel="0" collapsed="false">
      <c r="A302" s="8"/>
      <c r="B302" s="10" t="s">
        <v>466</v>
      </c>
      <c r="C302" s="44" t="n">
        <f aca="false">ROUND(Datos_balance!$B$18*Datos_balance!$B$15,0)</f>
        <v>708</v>
      </c>
      <c r="D302" s="44"/>
      <c r="E302" s="44"/>
      <c r="F302" s="8"/>
      <c r="G302" s="24"/>
      <c r="H302" s="24"/>
      <c r="I302" s="24"/>
    </row>
    <row r="303" customFormat="false" ht="39" hidden="false" customHeight="true" outlineLevel="0" collapsed="false">
      <c r="A303" s="8"/>
      <c r="B303" s="10" t="s">
        <v>467</v>
      </c>
      <c r="C303" s="44" t="n">
        <f aca="false">ROUND(Datos_balance!$B$19*Datos_balance!$B$15,0)</f>
        <v>1315</v>
      </c>
      <c r="D303" s="44"/>
      <c r="E303" s="44"/>
      <c r="F303" s="8"/>
      <c r="G303" s="24"/>
      <c r="H303" s="24"/>
      <c r="I303" s="24"/>
    </row>
    <row r="304" customFormat="false" ht="46.5" hidden="false" customHeight="true" outlineLevel="0" collapsed="false">
      <c r="A304" s="8"/>
      <c r="B304" s="10" t="s">
        <v>468</v>
      </c>
      <c r="C304" s="44" t="n">
        <f aca="false">IF(F299&lt;=Datos_balance!$B$18*Datos_balance!$B$15,1,ROUNDUP(F299/(Datos_balance!$B$19*Datos_balance!$B$15),0))</f>
        <v>1</v>
      </c>
      <c r="D304" s="44"/>
      <c r="E304" s="44"/>
      <c r="F304" s="8"/>
      <c r="G304" s="24"/>
      <c r="H304" s="24"/>
      <c r="I304" s="24"/>
    </row>
    <row r="305" customFormat="false" ht="46.5" hidden="false" customHeight="true" outlineLevel="0" collapsed="false">
      <c r="A305" s="13"/>
      <c r="B305" s="15" t="s">
        <v>469</v>
      </c>
      <c r="C305" s="14" t="str">
        <f aca="false">IF(F299&lt;=Datos_balance!$B$18*Datos_balance!$B$15,"Peisa Scala / Domino 80  (500 x 800 mm)","Peisa Scala / Domino 150  (500 x 1500 mm)")</f>
        <v>Peisa Scala / Domino 150  (500 x 1500 mm)</v>
      </c>
      <c r="D305" s="14"/>
      <c r="E305" s="14"/>
      <c r="F305" s="13"/>
      <c r="G305" s="24"/>
      <c r="H305" s="24"/>
      <c r="I305" s="24"/>
    </row>
    <row r="306" customFormat="false" ht="15" hidden="false" customHeight="false" outlineLevel="0" collapsed="false">
      <c r="A306" s="24"/>
      <c r="B306" s="24"/>
      <c r="C306" s="24"/>
      <c r="D306" s="24"/>
      <c r="E306" s="24"/>
      <c r="F306" s="24"/>
      <c r="G306" s="24"/>
      <c r="H306" s="24"/>
      <c r="I306" s="24"/>
    </row>
    <row r="307" customFormat="false" ht="39" hidden="false" customHeight="true" outlineLevel="0" collapsed="false">
      <c r="A307" s="24"/>
      <c r="B307" s="45" t="s">
        <v>470</v>
      </c>
      <c r="C307" s="24"/>
      <c r="D307" s="24"/>
      <c r="E307" s="24"/>
      <c r="F307" s="24"/>
      <c r="G307" s="24"/>
      <c r="H307" s="24"/>
      <c r="I307" s="24"/>
    </row>
    <row r="308" customFormat="false" ht="39" hidden="false" customHeight="true" outlineLevel="0" collapsed="false">
      <c r="A308" s="24"/>
      <c r="B308" s="24"/>
      <c r="C308" s="24"/>
      <c r="D308" s="24"/>
      <c r="E308" s="24"/>
      <c r="F308" s="24"/>
      <c r="G308" s="24"/>
      <c r="H308" s="24"/>
      <c r="I308" s="24"/>
    </row>
    <row r="309" customFormat="false" ht="39" hidden="false" customHeight="true" outlineLevel="0" collapsed="false">
      <c r="A309" s="24"/>
      <c r="B309" s="24"/>
      <c r="C309" s="24"/>
      <c r="D309" s="24"/>
      <c r="E309" s="24"/>
      <c r="F309" s="24"/>
      <c r="G309" s="24"/>
      <c r="H309" s="24"/>
      <c r="I309" s="24"/>
    </row>
    <row r="310" customFormat="false" ht="39" hidden="false" customHeight="true" outlineLevel="0" collapsed="false">
      <c r="A310" s="24"/>
      <c r="B310" s="24"/>
      <c r="C310" s="24"/>
      <c r="D310" s="24"/>
      <c r="E310" s="24"/>
      <c r="F310" s="24"/>
      <c r="G310" s="24"/>
      <c r="H310" s="24"/>
      <c r="I310" s="24"/>
    </row>
    <row r="311" customFormat="false" ht="39" hidden="false" customHeight="true" outlineLevel="0" collapsed="false">
      <c r="A311" s="24"/>
      <c r="B311" s="24"/>
      <c r="C311" s="24"/>
      <c r="D311" s="24"/>
      <c r="E311" s="24"/>
      <c r="F311" s="24"/>
      <c r="G311" s="24"/>
      <c r="H311" s="24"/>
      <c r="I311" s="24"/>
    </row>
    <row r="312" customFormat="false" ht="39" hidden="false" customHeight="true" outlineLevel="0" collapsed="false">
      <c r="A312" s="24"/>
      <c r="B312" s="24"/>
      <c r="C312" s="24"/>
      <c r="D312" s="24"/>
      <c r="E312" s="24"/>
      <c r="F312" s="24"/>
      <c r="G312" s="24"/>
      <c r="H312" s="24"/>
      <c r="I312" s="24"/>
    </row>
    <row r="313" customFormat="false" ht="39" hidden="false" customHeight="true" outlineLevel="0" collapsed="false">
      <c r="A313" s="24"/>
      <c r="B313" s="24"/>
      <c r="C313" s="24"/>
      <c r="D313" s="24"/>
      <c r="E313" s="24"/>
      <c r="F313" s="24"/>
      <c r="G313" s="24"/>
      <c r="H313" s="24"/>
      <c r="I313" s="24"/>
    </row>
    <row r="314" customFormat="false" ht="39" hidden="false" customHeight="true" outlineLevel="0" collapsed="false">
      <c r="A314" s="24"/>
      <c r="B314" s="24"/>
      <c r="C314" s="24"/>
      <c r="D314" s="24"/>
      <c r="E314" s="24"/>
      <c r="F314" s="24"/>
      <c r="G314" s="24"/>
      <c r="H314" s="24"/>
      <c r="I314" s="24"/>
    </row>
    <row r="315" customFormat="false" ht="39" hidden="false" customHeight="true" outlineLevel="0" collapsed="false">
      <c r="A315" s="24"/>
      <c r="B315" s="24"/>
      <c r="C315" s="24"/>
      <c r="D315" s="24"/>
      <c r="E315" s="24"/>
      <c r="F315" s="24"/>
      <c r="G315" s="24"/>
      <c r="H315" s="24"/>
      <c r="I315" s="24"/>
    </row>
    <row r="316" customFormat="false" ht="39" hidden="false" customHeight="true" outlineLevel="0" collapsed="false">
      <c r="A316" s="24"/>
      <c r="B316" s="24"/>
      <c r="C316" s="24"/>
      <c r="D316" s="24"/>
      <c r="E316" s="24"/>
      <c r="F316" s="24"/>
      <c r="G316" s="24"/>
      <c r="H316" s="24"/>
      <c r="I316" s="24"/>
    </row>
    <row r="317" customFormat="false" ht="39" hidden="false" customHeight="true" outlineLevel="0" collapsed="false">
      <c r="A317" s="24"/>
      <c r="B317" s="24"/>
      <c r="C317" s="24"/>
      <c r="D317" s="24"/>
      <c r="E317" s="24"/>
      <c r="F317" s="24"/>
      <c r="G317" s="24"/>
      <c r="H317" s="24"/>
      <c r="I317" s="24"/>
    </row>
    <row r="318" customFormat="false" ht="15" hidden="false" customHeight="false" outlineLevel="0" collapsed="false">
      <c r="A318" s="24"/>
      <c r="B318" s="24"/>
      <c r="C318" s="24"/>
      <c r="D318" s="24"/>
      <c r="E318" s="24"/>
      <c r="F318" s="24"/>
      <c r="G318" s="24"/>
      <c r="H318" s="24"/>
      <c r="I318" s="24"/>
    </row>
    <row r="319" customFormat="false" ht="15" hidden="false" customHeight="false" outlineLevel="0" collapsed="false">
      <c r="A319" s="24"/>
      <c r="B319" s="24"/>
      <c r="C319" s="24"/>
      <c r="D319" s="24"/>
      <c r="E319" s="24"/>
      <c r="F319" s="24"/>
      <c r="G319" s="24"/>
      <c r="H319" s="24"/>
      <c r="I319" s="24"/>
    </row>
    <row r="320" customFormat="false" ht="15" hidden="false" customHeight="false" outlineLevel="0" collapsed="false">
      <c r="A320" s="24"/>
      <c r="B320" s="24"/>
      <c r="C320" s="24"/>
      <c r="D320" s="24"/>
      <c r="E320" s="24"/>
      <c r="F320" s="24"/>
      <c r="G320" s="24"/>
      <c r="H320" s="24"/>
      <c r="I320" s="24"/>
    </row>
    <row r="321" customFormat="false" ht="39" hidden="false" customHeight="true" outlineLevel="0" collapsed="false">
      <c r="A321" s="37" t="s">
        <v>471</v>
      </c>
      <c r="B321" s="37"/>
      <c r="C321" s="37"/>
      <c r="D321" s="37"/>
      <c r="E321" s="37"/>
      <c r="F321" s="37"/>
      <c r="G321" s="24"/>
      <c r="H321" s="24"/>
      <c r="I321" s="24"/>
    </row>
    <row r="322" customFormat="false" ht="39" hidden="false" customHeight="true" outlineLevel="0" collapsed="false">
      <c r="A322" s="2" t="s">
        <v>395</v>
      </c>
      <c r="B322" s="2" t="s">
        <v>396</v>
      </c>
      <c r="C322" s="2" t="s">
        <v>397</v>
      </c>
      <c r="D322" s="2" t="s">
        <v>398</v>
      </c>
      <c r="E322" s="2" t="s">
        <v>399</v>
      </c>
      <c r="F322" s="2" t="s">
        <v>400</v>
      </c>
      <c r="G322" s="24"/>
      <c r="H322" s="24"/>
      <c r="I322" s="24"/>
    </row>
    <row r="323" customFormat="false" ht="39" hidden="false" customHeight="true" outlineLevel="0" collapsed="false">
      <c r="A323" s="19" t="s">
        <v>401</v>
      </c>
      <c r="B323" s="38" t="s">
        <v>402</v>
      </c>
      <c r="C323" s="8"/>
      <c r="D323" s="8"/>
      <c r="E323" s="8"/>
      <c r="F323" s="8"/>
      <c r="G323" s="24"/>
      <c r="H323" s="24"/>
      <c r="I323" s="24"/>
    </row>
    <row r="324" customFormat="false" ht="61.5" hidden="false" customHeight="true" outlineLevel="0" collapsed="false">
      <c r="A324" s="8"/>
      <c r="B324" s="39" t="s">
        <v>452</v>
      </c>
      <c r="C324" s="8" t="str">
        <f aca="false">IF(COUNT(H324,I324)&lt;2,"",TEXT(H324,"0.00")&amp;" x "&amp;TEXT(I324,"0.00"))</f>
        <v/>
      </c>
      <c r="D324" s="7" t="str">
        <f aca="false">IF(COUNT(H324,I324)&lt;2,"",ROUND(H324*I324,2))</f>
        <v/>
      </c>
      <c r="E324" s="29" t="n">
        <v>60</v>
      </c>
      <c r="F324" s="32" t="str">
        <f aca="false">IF(D324="","",ROUND(D324*E324,1))</f>
        <v/>
      </c>
      <c r="G324" s="24"/>
      <c r="H324" s="40"/>
      <c r="I324" s="40"/>
    </row>
    <row r="325" customFormat="false" ht="39" hidden="false" customHeight="true" outlineLevel="0" collapsed="false">
      <c r="A325" s="19" t="s">
        <v>403</v>
      </c>
      <c r="B325" s="38" t="s">
        <v>404</v>
      </c>
      <c r="C325" s="8"/>
      <c r="D325" s="8"/>
      <c r="E325" s="8"/>
      <c r="F325" s="8"/>
      <c r="G325" s="24"/>
      <c r="H325" s="24"/>
      <c r="I325" s="24"/>
    </row>
    <row r="326" customFormat="false" ht="61.5" hidden="false" customHeight="true" outlineLevel="0" collapsed="false">
      <c r="A326" s="8"/>
      <c r="B326" s="39" t="s">
        <v>456</v>
      </c>
      <c r="C326" s="8" t="str">
        <f aca="false">IF(COUNT(H326,I326)&lt;2,"",TEXT(H326,"0.00")&amp;" x "&amp;TEXT(I326,"0.00"))</f>
        <v>1.30 x 3.00</v>
      </c>
      <c r="D326" s="7" t="n">
        <f aca="false">IF(COUNT(H326,I326)&lt;2,"",ROUND(H326*I326,2))</f>
        <v>3.9</v>
      </c>
      <c r="E326" s="29" t="n">
        <v>20</v>
      </c>
      <c r="F326" s="32" t="n">
        <f aca="false">IF(D326="","",ROUND(D326*E326,1))</f>
        <v>78</v>
      </c>
      <c r="G326" s="24"/>
      <c r="H326" s="40" t="n">
        <v>1.3</v>
      </c>
      <c r="I326" s="40" t="n">
        <v>3</v>
      </c>
    </row>
    <row r="327" customFormat="false" ht="61.5" hidden="false" customHeight="true" outlineLevel="0" collapsed="false">
      <c r="A327" s="8"/>
      <c r="B327" s="39" t="s">
        <v>440</v>
      </c>
      <c r="C327" s="8" t="str">
        <f aca="false">IF(COUNT(H327,I327)&lt;2,"",TEXT(H327,"0.00")&amp;" x "&amp;TEXT(I327,"0.00"))</f>
        <v/>
      </c>
      <c r="D327" s="7" t="str">
        <f aca="false">IF(COUNT(H327,I327)&lt;2,"",ROUND(H327*I327,2))</f>
        <v/>
      </c>
      <c r="E327" s="29" t="n">
        <v>20</v>
      </c>
      <c r="F327" s="32" t="str">
        <f aca="false">IF(D327="","",ROUND(D327*E327,1))</f>
        <v/>
      </c>
      <c r="G327" s="24"/>
      <c r="H327" s="40"/>
      <c r="I327" s="40"/>
    </row>
    <row r="328" customFormat="false" ht="61.5" hidden="false" customHeight="true" outlineLevel="0" collapsed="false">
      <c r="A328" s="8"/>
      <c r="B328" s="39" t="s">
        <v>441</v>
      </c>
      <c r="C328" s="8" t="str">
        <f aca="false">IF(COUNT(H328,I328)&lt;2,"",TEXT(H328,"0.00")&amp;" x "&amp;TEXT(I328,"0.00"))</f>
        <v>2.40 x 3.00</v>
      </c>
      <c r="D328" s="7" t="n">
        <f aca="false">IF(COUNT(H328,I328)&lt;2,"",ROUND(H328*I328,2))</f>
        <v>7.2</v>
      </c>
      <c r="E328" s="29" t="n">
        <v>25</v>
      </c>
      <c r="F328" s="32" t="n">
        <f aca="false">IF(D328="","",ROUND(D328*E328,1))</f>
        <v>180</v>
      </c>
      <c r="G328" s="24"/>
      <c r="H328" s="40" t="n">
        <v>2.4</v>
      </c>
      <c r="I328" s="40" t="n">
        <v>3</v>
      </c>
    </row>
    <row r="329" customFormat="false" ht="61.5" hidden="false" customHeight="true" outlineLevel="0" collapsed="false">
      <c r="A329" s="8"/>
      <c r="B329" s="39" t="s">
        <v>407</v>
      </c>
      <c r="C329" s="8" t="str">
        <f aca="false">IF(COUNT(H329,I329)&lt;2,"",TEXT(H329,"0.00")&amp;" x "&amp;TEXT(I329,"0.00"))</f>
        <v>2.40 x 3.00</v>
      </c>
      <c r="D329" s="7" t="n">
        <f aca="false">IF(COUNT(H329,I329)&lt;2,"",ROUND(H329*I329,2))</f>
        <v>7.2</v>
      </c>
      <c r="E329" s="29" t="n">
        <v>25</v>
      </c>
      <c r="F329" s="32" t="n">
        <f aca="false">IF(D329="","",ROUND(D329*E329,1))</f>
        <v>180</v>
      </c>
      <c r="G329" s="24"/>
      <c r="H329" s="40" t="n">
        <v>2.4</v>
      </c>
      <c r="I329" s="40" t="n">
        <v>3</v>
      </c>
    </row>
    <row r="330" customFormat="false" ht="61.5" hidden="false" customHeight="true" outlineLevel="0" collapsed="false">
      <c r="A330" s="8"/>
      <c r="B330" s="39" t="s">
        <v>442</v>
      </c>
      <c r="C330" s="8" t="str">
        <f aca="false">IF(COUNT(H330,I330)&lt;2,"",TEXT(H330,"0.00")&amp;" x "&amp;TEXT(I330,"0.00"))</f>
        <v>1.30 x 3.00</v>
      </c>
      <c r="D330" s="7" t="n">
        <f aca="false">IF(COUNT(H330,I330)&lt;2,"",ROUND(H330*I330,2))</f>
        <v>3.9</v>
      </c>
      <c r="E330" s="29" t="n">
        <v>25</v>
      </c>
      <c r="F330" s="32" t="n">
        <f aca="false">IF(D330="","",ROUND(D330*E330,1))</f>
        <v>97.5</v>
      </c>
      <c r="G330" s="24"/>
      <c r="H330" s="40" t="n">
        <v>1.3</v>
      </c>
      <c r="I330" s="40" t="n">
        <v>3</v>
      </c>
    </row>
    <row r="331" customFormat="false" ht="39" hidden="false" customHeight="true" outlineLevel="0" collapsed="false">
      <c r="A331" s="19" t="s">
        <v>409</v>
      </c>
      <c r="B331" s="38" t="s">
        <v>410</v>
      </c>
      <c r="C331" s="8"/>
      <c r="D331" s="8"/>
      <c r="E331" s="8"/>
      <c r="F331" s="8"/>
      <c r="G331" s="24"/>
      <c r="H331" s="24"/>
      <c r="I331" s="24"/>
    </row>
    <row r="332" customFormat="false" ht="61.5" hidden="false" customHeight="true" outlineLevel="0" collapsed="false">
      <c r="A332" s="8"/>
      <c r="B332" s="39" t="s">
        <v>411</v>
      </c>
      <c r="C332" s="8"/>
      <c r="D332" s="7" t="str">
        <f aca="false">IF(COUNT(H332,I332)&lt;2,"",ROUND(H332*I332,2))</f>
        <v/>
      </c>
      <c r="E332" s="29" t="n">
        <v>30</v>
      </c>
      <c r="F332" s="32" t="str">
        <f aca="false">IF(D332="","",ROUND(D332*E332,1))</f>
        <v/>
      </c>
      <c r="G332" s="24"/>
      <c r="H332" s="40"/>
      <c r="I332" s="40"/>
    </row>
    <row r="333" customFormat="false" ht="61.5" hidden="false" customHeight="true" outlineLevel="0" collapsed="false">
      <c r="A333" s="8"/>
      <c r="B333" s="39" t="s">
        <v>412</v>
      </c>
      <c r="C333" s="8"/>
      <c r="D333" s="7" t="str">
        <f aca="false">IF(COUNT(H333,I333)&lt;2,"",ROUND(H333*I333,2))</f>
        <v/>
      </c>
      <c r="E333" s="29" t="n">
        <v>20</v>
      </c>
      <c r="F333" s="32" t="str">
        <f aca="false">IF(D333="","",ROUND(D333*E333,1))</f>
        <v/>
      </c>
      <c r="G333" s="24"/>
      <c r="H333" s="40"/>
      <c r="I333" s="40"/>
    </row>
    <row r="334" customFormat="false" ht="39" hidden="false" customHeight="true" outlineLevel="0" collapsed="false">
      <c r="A334" s="8"/>
      <c r="B334" s="39" t="s">
        <v>413</v>
      </c>
      <c r="C334" s="8" t="s">
        <v>414</v>
      </c>
      <c r="D334" s="7" t="n">
        <v>3.12</v>
      </c>
      <c r="E334" s="29" t="n">
        <v>15</v>
      </c>
      <c r="F334" s="32" t="n">
        <f aca="false">IF(D334="","",ROUND(D334*E334,1))</f>
        <v>46.8</v>
      </c>
      <c r="G334" s="24"/>
      <c r="H334" s="40"/>
      <c r="I334" s="40"/>
    </row>
    <row r="335" customFormat="false" ht="39" hidden="false" customHeight="true" outlineLevel="0" collapsed="false">
      <c r="A335" s="19" t="s">
        <v>415</v>
      </c>
      <c r="B335" s="38" t="s">
        <v>416</v>
      </c>
      <c r="C335" s="8"/>
      <c r="D335" s="8"/>
      <c r="E335" s="8"/>
      <c r="F335" s="8"/>
      <c r="G335" s="24"/>
      <c r="H335" s="24"/>
      <c r="I335" s="24"/>
    </row>
    <row r="336" customFormat="false" ht="39" hidden="false" customHeight="true" outlineLevel="0" collapsed="false">
      <c r="A336" s="8"/>
      <c r="B336" s="39" t="s">
        <v>417</v>
      </c>
      <c r="C336" s="8" t="s">
        <v>414</v>
      </c>
      <c r="D336" s="7" t="n">
        <v>3.12</v>
      </c>
      <c r="E336" s="29" t="n">
        <v>10</v>
      </c>
      <c r="F336" s="32" t="n">
        <f aca="false">IF(D336="","",ROUND(D336*E336,1))</f>
        <v>31.2</v>
      </c>
      <c r="G336" s="24"/>
      <c r="H336" s="40"/>
      <c r="I336" s="40"/>
    </row>
    <row r="337" customFormat="false" ht="61.5" hidden="false" customHeight="true" outlineLevel="0" collapsed="false">
      <c r="A337" s="8"/>
      <c r="B337" s="39" t="s">
        <v>418</v>
      </c>
      <c r="C337" s="8"/>
      <c r="D337" s="7" t="str">
        <f aca="false">IF(COUNT(H337,I337)&lt;2,"",ROUND(H337*I337,2))</f>
        <v/>
      </c>
      <c r="E337" s="29" t="n">
        <v>15</v>
      </c>
      <c r="F337" s="32" t="str">
        <f aca="false">IF(D337="","",ROUND(D337*E337,1))</f>
        <v/>
      </c>
      <c r="G337" s="24"/>
      <c r="H337" s="40"/>
      <c r="I337" s="40"/>
    </row>
    <row r="338" customFormat="false" ht="39" hidden="false" customHeight="true" outlineLevel="0" collapsed="false">
      <c r="A338" s="19" t="s">
        <v>419</v>
      </c>
      <c r="B338" s="38" t="s">
        <v>420</v>
      </c>
      <c r="C338" s="8"/>
      <c r="D338" s="19" t="s">
        <v>421</v>
      </c>
      <c r="E338" s="8"/>
      <c r="F338" s="8"/>
      <c r="G338" s="24"/>
      <c r="H338" s="24"/>
      <c r="I338" s="24"/>
    </row>
    <row r="339" customFormat="false" ht="39" hidden="false" customHeight="true" outlineLevel="0" collapsed="false">
      <c r="A339" s="8"/>
      <c r="B339" s="39" t="s">
        <v>422</v>
      </c>
      <c r="C339" s="8" t="s">
        <v>472</v>
      </c>
      <c r="D339" s="7" t="n">
        <v>9.36</v>
      </c>
      <c r="E339" s="29" t="n">
        <v>6</v>
      </c>
      <c r="F339" s="32" t="n">
        <f aca="false">IF(D339="","",ROUND(D339*E339,1))</f>
        <v>56.2</v>
      </c>
      <c r="G339" s="24"/>
      <c r="H339" s="40"/>
      <c r="I339" s="40"/>
    </row>
    <row r="340" customFormat="false" ht="61.5" hidden="false" customHeight="true" outlineLevel="0" collapsed="false">
      <c r="A340" s="8"/>
      <c r="B340" s="39" t="s">
        <v>423</v>
      </c>
      <c r="C340" s="8"/>
      <c r="D340" s="7" t="str">
        <f aca="false">IF(COUNT(H340,I340)&lt;2,"",ROUND(H340*I340,2))</f>
        <v/>
      </c>
      <c r="E340" s="29" t="n">
        <v>9</v>
      </c>
      <c r="F340" s="32" t="str">
        <f aca="false">IF(D340="","",ROUND(D340*E340,1))</f>
        <v/>
      </c>
      <c r="G340" s="24"/>
      <c r="H340" s="40"/>
      <c r="I340" s="40"/>
    </row>
    <row r="341" customFormat="false" ht="61.5" hidden="false" customHeight="true" outlineLevel="0" collapsed="false">
      <c r="A341" s="8"/>
      <c r="B341" s="39" t="s">
        <v>425</v>
      </c>
      <c r="C341" s="8"/>
      <c r="D341" s="7" t="str">
        <f aca="false">IF(COUNT(H341,I341)&lt;2,"",ROUND(H341*I341,2))</f>
        <v/>
      </c>
      <c r="E341" s="29" t="n">
        <v>12</v>
      </c>
      <c r="F341" s="32" t="str">
        <f aca="false">IF(D341="","",ROUND(D341*E341,1))</f>
        <v/>
      </c>
      <c r="G341" s="24"/>
      <c r="H341" s="40"/>
      <c r="I341" s="40"/>
    </row>
    <row r="342" customFormat="false" ht="69.75" hidden="false" customHeight="true" outlineLevel="0" collapsed="false">
      <c r="A342" s="19" t="s">
        <v>426</v>
      </c>
      <c r="B342" s="38" t="s">
        <v>427</v>
      </c>
      <c r="C342" s="8"/>
      <c r="D342" s="8"/>
      <c r="E342" s="8"/>
      <c r="F342" s="41" t="n">
        <f aca="false">IF(F324="",0,F324)+IF(F326="",0,F326)+IF(F327="",0,F327)+IF(F328="",0,F328)+IF(F329="",0,F329)+IF(F330="",0,F330)+IF(F332="",0,F332)+IF(F333="",0,F333)+IF(F334="",0,F334)+IF(F336="",0,F336)+IF(F337="",0,F337)+IF(F339="",0,F339)+IF(F340="",0,F340)+IF(F341="",0,F341)</f>
        <v>669.7</v>
      </c>
      <c r="G342" s="24"/>
      <c r="H342" s="24"/>
      <c r="I342" s="24"/>
    </row>
    <row r="343" customFormat="false" ht="46.5" hidden="false" customHeight="true" outlineLevel="0" collapsed="false">
      <c r="A343" s="19" t="s">
        <v>428</v>
      </c>
      <c r="B343" s="38" t="s">
        <v>429</v>
      </c>
      <c r="C343" s="42" t="str">
        <f aca="false">TEXT(F342,"0.00")&amp;"  X  "&amp;Datos_balance!$B$4&amp;" (FI)  X  "&amp;Datos_balance!$B$5&amp;" (FO)  X  "&amp;Datos_balance!$B$6&amp;" (FZ)"</f>
        <v>669.70  X  1.07 (FI)  X  1 (FO)  X  1 (FZ)</v>
      </c>
      <c r="D343" s="42"/>
      <c r="E343" s="42"/>
      <c r="F343" s="41" t="n">
        <f aca="false">ROUND(F342*Datos_balance!$B$4*Datos_balance!$B$5*Datos_balance!$B$6,1)</f>
        <v>716.6</v>
      </c>
      <c r="G343" s="24"/>
      <c r="H343" s="24"/>
      <c r="I343" s="24"/>
    </row>
    <row r="344" customFormat="false" ht="39" hidden="false" customHeight="true" outlineLevel="0" collapsed="false">
      <c r="A344" s="8"/>
      <c r="B344" s="10" t="s">
        <v>430</v>
      </c>
      <c r="C344" s="42"/>
      <c r="D344" s="42"/>
      <c r="E344" s="42"/>
      <c r="F344" s="32"/>
      <c r="G344" s="24"/>
      <c r="H344" s="24"/>
      <c r="I344" s="24"/>
    </row>
    <row r="345" customFormat="false" ht="39" hidden="false" customHeight="true" outlineLevel="0" collapsed="false">
      <c r="A345" s="8"/>
      <c r="B345" s="38" t="s">
        <v>431</v>
      </c>
      <c r="C345" s="42"/>
      <c r="D345" s="42"/>
      <c r="E345" s="42"/>
      <c r="F345" s="41" t="n">
        <f aca="false">F343+IF(F344="",0,F344)</f>
        <v>716.6</v>
      </c>
      <c r="G345" s="24"/>
      <c r="H345" s="24"/>
      <c r="I345" s="24"/>
    </row>
    <row r="346" customFormat="false" ht="15" hidden="false" customHeight="false" outlineLevel="0" collapsed="false">
      <c r="A346" s="24"/>
      <c r="B346" s="24"/>
      <c r="C346" s="24"/>
      <c r="D346" s="24"/>
      <c r="E346" s="24"/>
      <c r="F346" s="24"/>
      <c r="G346" s="24"/>
      <c r="H346" s="24"/>
      <c r="I346" s="24"/>
    </row>
    <row r="347" customFormat="false" ht="61.5" hidden="false" customHeight="true" outlineLevel="0" collapsed="false">
      <c r="A347" s="8"/>
      <c r="B347" s="10" t="s">
        <v>432</v>
      </c>
      <c r="C347" s="42" t="str">
        <f aca="false">TEXT((Datos_balance!$B$9+Datos_balance!$B$10)/2,"0")&amp;" - "&amp;TEXT(Datos_balance!$B$11,"0")&amp;" = "&amp;TEXT((Datos_balance!$B$9+Datos_balance!$B$10)/2-Datos_balance!$B$11,"0")&amp;" C"</f>
        <v>86 - 20 = 66 C</v>
      </c>
      <c r="D347" s="42"/>
      <c r="E347" s="42"/>
      <c r="F347" s="8"/>
      <c r="G347" s="24"/>
      <c r="H347" s="24"/>
      <c r="I347" s="24"/>
    </row>
    <row r="348" customFormat="false" ht="39" hidden="false" customHeight="true" outlineLevel="0" collapsed="false">
      <c r="A348" s="8"/>
      <c r="B348" s="10" t="s">
        <v>466</v>
      </c>
      <c r="C348" s="44" t="n">
        <f aca="false">ROUND(Datos_balance!$B$18*Datos_balance!$B$15,0)</f>
        <v>708</v>
      </c>
      <c r="D348" s="44"/>
      <c r="E348" s="44"/>
      <c r="F348" s="8"/>
      <c r="G348" s="24"/>
      <c r="H348" s="24"/>
      <c r="I348" s="24"/>
    </row>
    <row r="349" customFormat="false" ht="39" hidden="false" customHeight="true" outlineLevel="0" collapsed="false">
      <c r="A349" s="8"/>
      <c r="B349" s="10" t="s">
        <v>467</v>
      </c>
      <c r="C349" s="44" t="n">
        <f aca="false">ROUND(Datos_balance!$B$19*Datos_balance!$B$15,0)</f>
        <v>1315</v>
      </c>
      <c r="D349" s="44"/>
      <c r="E349" s="44"/>
      <c r="F349" s="8"/>
      <c r="G349" s="24"/>
      <c r="H349" s="24"/>
      <c r="I349" s="24"/>
    </row>
    <row r="350" customFormat="false" ht="46.5" hidden="false" customHeight="true" outlineLevel="0" collapsed="false">
      <c r="A350" s="8"/>
      <c r="B350" s="10" t="s">
        <v>468</v>
      </c>
      <c r="C350" s="44" t="n">
        <f aca="false">IF(F345&lt;=Datos_balance!$B$18*Datos_balance!$B$15,1,ROUNDUP(F345/(Datos_balance!$B$19*Datos_balance!$B$15),0))</f>
        <v>1</v>
      </c>
      <c r="D350" s="44"/>
      <c r="E350" s="44"/>
      <c r="F350" s="8"/>
      <c r="G350" s="24"/>
      <c r="H350" s="24"/>
      <c r="I350" s="24"/>
    </row>
    <row r="351" customFormat="false" ht="46.5" hidden="false" customHeight="true" outlineLevel="0" collapsed="false">
      <c r="A351" s="13"/>
      <c r="B351" s="15" t="s">
        <v>469</v>
      </c>
      <c r="C351" s="14" t="str">
        <f aca="false">IF(F345&lt;=Datos_balance!$B$18*Datos_balance!$B$15,"Peisa Scala / Domino 80  (500 x 800 mm)","Peisa Scala / Domino 150  (500 x 1500 mm)")</f>
        <v>Peisa Scala / Domino 150  (500 x 1500 mm)</v>
      </c>
      <c r="D351" s="14"/>
      <c r="E351" s="14"/>
      <c r="F351" s="13"/>
      <c r="G351" s="24"/>
      <c r="H351" s="24"/>
      <c r="I351" s="24"/>
    </row>
    <row r="352" customFormat="false" ht="15" hidden="false" customHeight="false" outlineLevel="0" collapsed="false">
      <c r="A352" s="24"/>
      <c r="B352" s="24"/>
      <c r="C352" s="24"/>
      <c r="D352" s="24"/>
      <c r="E352" s="24"/>
      <c r="F352" s="24"/>
      <c r="G352" s="24"/>
      <c r="H352" s="24"/>
      <c r="I352" s="24"/>
    </row>
    <row r="353" customFormat="false" ht="39" hidden="false" customHeight="true" outlineLevel="0" collapsed="false">
      <c r="A353" s="24"/>
      <c r="B353" s="45" t="s">
        <v>473</v>
      </c>
      <c r="C353" s="24"/>
      <c r="D353" s="24"/>
      <c r="E353" s="24"/>
      <c r="F353" s="24"/>
      <c r="G353" s="24"/>
      <c r="H353" s="24"/>
      <c r="I353" s="24"/>
    </row>
    <row r="354" customFormat="false" ht="39" hidden="false" customHeight="true" outlineLevel="0" collapsed="false">
      <c r="A354" s="24"/>
      <c r="B354" s="24"/>
      <c r="C354" s="24"/>
      <c r="D354" s="24"/>
      <c r="E354" s="24"/>
      <c r="F354" s="24"/>
      <c r="G354" s="24"/>
      <c r="H354" s="24"/>
      <c r="I354" s="24"/>
    </row>
    <row r="355" customFormat="false" ht="39" hidden="false" customHeight="true" outlineLevel="0" collapsed="false">
      <c r="A355" s="24"/>
      <c r="B355" s="24"/>
      <c r="C355" s="24"/>
      <c r="D355" s="24"/>
      <c r="E355" s="24"/>
      <c r="F355" s="24"/>
      <c r="G355" s="24"/>
      <c r="H355" s="24"/>
      <c r="I355" s="24"/>
    </row>
    <row r="356" customFormat="false" ht="39" hidden="false" customHeight="true" outlineLevel="0" collapsed="false">
      <c r="A356" s="24"/>
      <c r="B356" s="24"/>
      <c r="C356" s="24"/>
      <c r="D356" s="24"/>
      <c r="E356" s="24"/>
      <c r="F356" s="24"/>
      <c r="G356" s="24"/>
      <c r="H356" s="24"/>
      <c r="I356" s="24"/>
    </row>
    <row r="357" customFormat="false" ht="39" hidden="false" customHeight="true" outlineLevel="0" collapsed="false">
      <c r="A357" s="24"/>
      <c r="B357" s="24"/>
      <c r="C357" s="24"/>
      <c r="D357" s="24"/>
      <c r="E357" s="24"/>
      <c r="F357" s="24"/>
      <c r="G357" s="24"/>
      <c r="H357" s="24"/>
      <c r="I357" s="24"/>
    </row>
    <row r="358" customFormat="false" ht="39" hidden="false" customHeight="true" outlineLevel="0" collapsed="false">
      <c r="A358" s="24"/>
      <c r="B358" s="24"/>
      <c r="C358" s="24"/>
      <c r="D358" s="24"/>
      <c r="E358" s="24"/>
      <c r="F358" s="24"/>
      <c r="G358" s="24"/>
      <c r="H358" s="24"/>
      <c r="I358" s="24"/>
    </row>
    <row r="359" customFormat="false" ht="39" hidden="false" customHeight="true" outlineLevel="0" collapsed="false">
      <c r="A359" s="24"/>
      <c r="B359" s="24"/>
      <c r="C359" s="24"/>
      <c r="D359" s="24"/>
      <c r="E359" s="24"/>
      <c r="F359" s="24"/>
      <c r="G359" s="24"/>
      <c r="H359" s="24"/>
      <c r="I359" s="24"/>
    </row>
    <row r="360" customFormat="false" ht="39" hidden="false" customHeight="true" outlineLevel="0" collapsed="false">
      <c r="A360" s="24"/>
      <c r="B360" s="24"/>
      <c r="C360" s="24"/>
      <c r="D360" s="24"/>
      <c r="E360" s="24"/>
      <c r="F360" s="24"/>
      <c r="G360" s="24"/>
      <c r="H360" s="24"/>
      <c r="I360" s="24"/>
    </row>
    <row r="361" customFormat="false" ht="39" hidden="false" customHeight="true" outlineLevel="0" collapsed="false">
      <c r="A361" s="24"/>
      <c r="B361" s="24"/>
      <c r="C361" s="24"/>
      <c r="D361" s="24"/>
      <c r="E361" s="24"/>
      <c r="F361" s="24"/>
      <c r="G361" s="24"/>
      <c r="H361" s="24"/>
      <c r="I361" s="24"/>
    </row>
    <row r="362" customFormat="false" ht="39" hidden="false" customHeight="true" outlineLevel="0" collapsed="false">
      <c r="A362" s="24"/>
      <c r="B362" s="24"/>
      <c r="C362" s="24"/>
      <c r="D362" s="24"/>
      <c r="E362" s="24"/>
      <c r="F362" s="24"/>
      <c r="G362" s="24"/>
      <c r="H362" s="24"/>
      <c r="I362" s="24"/>
    </row>
    <row r="363" customFormat="false" ht="39" hidden="false" customHeight="true" outlineLevel="0" collapsed="false">
      <c r="A363" s="24"/>
      <c r="B363" s="24"/>
      <c r="C363" s="24"/>
      <c r="D363" s="24"/>
      <c r="E363" s="24"/>
      <c r="F363" s="24"/>
      <c r="G363" s="24"/>
      <c r="H363" s="24"/>
      <c r="I363" s="24"/>
    </row>
    <row r="364" customFormat="false" ht="15" hidden="false" customHeight="false" outlineLevel="0" collapsed="false">
      <c r="A364" s="24"/>
      <c r="B364" s="24"/>
      <c r="C364" s="24"/>
      <c r="D364" s="24"/>
      <c r="E364" s="24"/>
      <c r="F364" s="24"/>
      <c r="G364" s="24"/>
      <c r="H364" s="24"/>
      <c r="I364" s="24"/>
    </row>
    <row r="365" customFormat="false" ht="15" hidden="false" customHeight="false" outlineLevel="0" collapsed="false">
      <c r="A365" s="24"/>
      <c r="B365" s="24"/>
      <c r="C365" s="24"/>
      <c r="D365" s="24"/>
      <c r="E365" s="24"/>
      <c r="F365" s="24"/>
      <c r="G365" s="24"/>
      <c r="H365" s="24"/>
      <c r="I365" s="24"/>
    </row>
    <row r="366" customFormat="false" ht="15" hidden="false" customHeight="false" outlineLevel="0" collapsed="false">
      <c r="A366" s="24"/>
      <c r="B366" s="24"/>
      <c r="C366" s="24"/>
      <c r="D366" s="24"/>
      <c r="E366" s="24"/>
      <c r="F366" s="24"/>
      <c r="G366" s="24"/>
      <c r="H366" s="24"/>
      <c r="I366" s="24"/>
    </row>
    <row r="367" customFormat="false" ht="39" hidden="false" customHeight="true" outlineLevel="0" collapsed="false">
      <c r="A367" s="37" t="s">
        <v>474</v>
      </c>
      <c r="B367" s="37"/>
      <c r="C367" s="37"/>
      <c r="D367" s="37"/>
      <c r="E367" s="37"/>
      <c r="F367" s="37"/>
      <c r="G367" s="24"/>
      <c r="H367" s="24"/>
      <c r="I367" s="24"/>
    </row>
    <row r="368" customFormat="false" ht="39" hidden="false" customHeight="true" outlineLevel="0" collapsed="false">
      <c r="A368" s="2" t="s">
        <v>395</v>
      </c>
      <c r="B368" s="2" t="s">
        <v>396</v>
      </c>
      <c r="C368" s="2" t="s">
        <v>397</v>
      </c>
      <c r="D368" s="2" t="s">
        <v>398</v>
      </c>
      <c r="E368" s="2" t="s">
        <v>399</v>
      </c>
      <c r="F368" s="2" t="s">
        <v>400</v>
      </c>
      <c r="G368" s="24"/>
      <c r="H368" s="24"/>
      <c r="I368" s="24"/>
    </row>
    <row r="369" customFormat="false" ht="39" hidden="false" customHeight="true" outlineLevel="0" collapsed="false">
      <c r="A369" s="19" t="s">
        <v>401</v>
      </c>
      <c r="B369" s="38" t="s">
        <v>402</v>
      </c>
      <c r="C369" s="8"/>
      <c r="D369" s="8"/>
      <c r="E369" s="8"/>
      <c r="F369" s="8"/>
      <c r="G369" s="24"/>
      <c r="H369" s="24"/>
      <c r="I369" s="24"/>
    </row>
    <row r="370" customFormat="false" ht="61.5" hidden="false" customHeight="true" outlineLevel="0" collapsed="false">
      <c r="A370" s="8"/>
      <c r="B370" s="39" t="s">
        <v>78</v>
      </c>
      <c r="C370" s="8" t="str">
        <f aca="false">IF(COUNT(H370,I370)&lt;2,"",TEXT(H370,"0.00")&amp;" x "&amp;TEXT(I370,"0.00"))</f>
        <v>2.00 x 2.52</v>
      </c>
      <c r="D370" s="7" t="n">
        <f aca="false">IF(COUNT(H370,I370)&lt;2,"",ROUND(H370*I370,2))</f>
        <v>5.04</v>
      </c>
      <c r="E370" s="29" t="n">
        <v>60</v>
      </c>
      <c r="F370" s="32" t="n">
        <f aca="false">IF(D370="","",ROUND(D370*E370,1))</f>
        <v>302.4</v>
      </c>
      <c r="G370" s="24"/>
      <c r="H370" s="40" t="n">
        <v>2</v>
      </c>
      <c r="I370" s="40" t="n">
        <v>2.52</v>
      </c>
    </row>
    <row r="371" customFormat="false" ht="61.5" hidden="false" customHeight="true" outlineLevel="0" collapsed="false">
      <c r="A371" s="8"/>
      <c r="B371" s="39" t="s">
        <v>72</v>
      </c>
      <c r="C371" s="8" t="str">
        <f aca="false">IF(COUNT(H371,I371)&lt;2,"",TEXT(H371,"0.00")&amp;" x "&amp;TEXT(I371,"0.00"))</f>
        <v>1.40 x 2.52</v>
      </c>
      <c r="D371" s="7" t="n">
        <f aca="false">IF(COUNT(H371,I371)&lt;2,"",ROUND(H371*I371,2))</f>
        <v>3.53</v>
      </c>
      <c r="E371" s="29" t="n">
        <v>60</v>
      </c>
      <c r="F371" s="32" t="n">
        <f aca="false">IF(D371="","",ROUND(D371*E371,1))</f>
        <v>211.8</v>
      </c>
      <c r="G371" s="24"/>
      <c r="H371" s="40" t="n">
        <v>1.4</v>
      </c>
      <c r="I371" s="40" t="n">
        <v>2.52</v>
      </c>
    </row>
    <row r="372" customFormat="false" ht="39" hidden="false" customHeight="true" outlineLevel="0" collapsed="false">
      <c r="A372" s="19" t="s">
        <v>403</v>
      </c>
      <c r="B372" s="38" t="s">
        <v>404</v>
      </c>
      <c r="C372" s="8"/>
      <c r="D372" s="8"/>
      <c r="E372" s="8"/>
      <c r="F372" s="8"/>
      <c r="G372" s="24"/>
      <c r="H372" s="24"/>
      <c r="I372" s="24"/>
    </row>
    <row r="373" customFormat="false" ht="61.5" hidden="false" customHeight="true" outlineLevel="0" collapsed="false">
      <c r="A373" s="8"/>
      <c r="B373" s="39" t="s">
        <v>405</v>
      </c>
      <c r="C373" s="8" t="str">
        <f aca="false">IF(COUNT(H373,I373)&lt;2,"",TEXT(H373,"0.00")&amp;" x "&amp;TEXT(I373,"0.00"))</f>
        <v>4.25 x 3.00</v>
      </c>
      <c r="D373" s="7" t="n">
        <f aca="false">IF(COUNT(H373,I373)&lt;2,"",ROUND(H373*I373,2))</f>
        <v>12.75</v>
      </c>
      <c r="E373" s="29" t="n">
        <v>20</v>
      </c>
      <c r="F373" s="32" t="n">
        <f aca="false">IF(D373="","",ROUND(D373*E373,1))</f>
        <v>255</v>
      </c>
      <c r="G373" s="24"/>
      <c r="H373" s="40" t="n">
        <v>4.25</v>
      </c>
      <c r="I373" s="40" t="n">
        <v>3</v>
      </c>
    </row>
    <row r="374" customFormat="false" ht="61.5" hidden="false" customHeight="true" outlineLevel="0" collapsed="false">
      <c r="A374" s="8"/>
      <c r="B374" s="39" t="s">
        <v>439</v>
      </c>
      <c r="C374" s="8" t="str">
        <f aca="false">IF(COUNT(H374,I374)&lt;2,"",TEXT(H374,"0.00")&amp;" x "&amp;TEXT(I374,"0.00"))</f>
        <v>4.25 x 3.00</v>
      </c>
      <c r="D374" s="7" t="n">
        <f aca="false">IF(COUNT(H374,I374)&lt;2,"",ROUND(H374*I374,2))</f>
        <v>12.75</v>
      </c>
      <c r="E374" s="29" t="n">
        <v>20</v>
      </c>
      <c r="F374" s="32" t="n">
        <f aca="false">IF(D374="","",ROUND(D374*E374,1))</f>
        <v>255</v>
      </c>
      <c r="G374" s="24"/>
      <c r="H374" s="40" t="n">
        <v>4.25</v>
      </c>
      <c r="I374" s="40" t="n">
        <v>3</v>
      </c>
    </row>
    <row r="375" customFormat="false" ht="61.5" hidden="false" customHeight="true" outlineLevel="0" collapsed="false">
      <c r="A375" s="8"/>
      <c r="B375" s="39" t="s">
        <v>406</v>
      </c>
      <c r="C375" s="8" t="str">
        <f aca="false">IF(COUNT(H375,I375)&lt;2,"",TEXT(H375,"0.00")&amp;" x "&amp;TEXT(I375,"0.00"))</f>
        <v>4.00 x 3.00</v>
      </c>
      <c r="D375" s="7" t="n">
        <f aca="false">IF(COUNT(H375,I375)&lt;2,"",ROUND(H375*I375,2))</f>
        <v>12</v>
      </c>
      <c r="E375" s="29" t="n">
        <v>20</v>
      </c>
      <c r="F375" s="32" t="n">
        <f aca="false">IF(D375="","",ROUND(D375*E375,1))</f>
        <v>240</v>
      </c>
      <c r="G375" s="24"/>
      <c r="H375" s="40" t="n">
        <v>4</v>
      </c>
      <c r="I375" s="40" t="n">
        <v>3</v>
      </c>
    </row>
    <row r="376" customFormat="false" ht="61.5" hidden="false" customHeight="true" outlineLevel="0" collapsed="false">
      <c r="A376" s="8"/>
      <c r="B376" s="39" t="s">
        <v>408</v>
      </c>
      <c r="C376" s="8" t="str">
        <f aca="false">IF(COUNT(H376,I376)&lt;2,"",TEXT(H376,"0.00")&amp;" x "&amp;TEXT(I376,"0.00"))</f>
        <v>4.00 x 3.00</v>
      </c>
      <c r="D376" s="7" t="n">
        <f aca="false">IF(COUNT(H376,I376)&lt;2,"",ROUND(H376*I376,2))</f>
        <v>12</v>
      </c>
      <c r="E376" s="29" t="n">
        <v>25</v>
      </c>
      <c r="F376" s="32" t="n">
        <f aca="false">IF(D376="","",ROUND(D376*E376,1))</f>
        <v>300</v>
      </c>
      <c r="G376" s="24"/>
      <c r="H376" s="40" t="n">
        <v>4</v>
      </c>
      <c r="I376" s="40" t="n">
        <v>3</v>
      </c>
    </row>
    <row r="377" customFormat="false" ht="61.5" hidden="false" customHeight="true" outlineLevel="0" collapsed="false">
      <c r="A377" s="8"/>
      <c r="B377" s="39" t="s">
        <v>461</v>
      </c>
      <c r="C377" s="8" t="str">
        <f aca="false">IF(COUNT(H377,I377)&lt;2,"",TEXT(H377,"0.00")&amp;" x "&amp;TEXT(I377,"0.00"))</f>
        <v/>
      </c>
      <c r="D377" s="7" t="str">
        <f aca="false">IF(COUNT(H377,I377)&lt;2,"",ROUND(H377*I377,2))</f>
        <v/>
      </c>
      <c r="E377" s="29" t="n">
        <v>25</v>
      </c>
      <c r="F377" s="32" t="str">
        <f aca="false">IF(D377="","",ROUND(D377*E377,1))</f>
        <v/>
      </c>
      <c r="G377" s="24"/>
      <c r="H377" s="40"/>
      <c r="I377" s="40"/>
    </row>
    <row r="378" customFormat="false" ht="39" hidden="false" customHeight="true" outlineLevel="0" collapsed="false">
      <c r="A378" s="19" t="s">
        <v>409</v>
      </c>
      <c r="B378" s="38" t="s">
        <v>410</v>
      </c>
      <c r="C378" s="8"/>
      <c r="D378" s="8"/>
      <c r="E378" s="8"/>
      <c r="F378" s="8"/>
      <c r="G378" s="24"/>
      <c r="H378" s="24"/>
      <c r="I378" s="24"/>
    </row>
    <row r="379" customFormat="false" ht="61.5" hidden="false" customHeight="true" outlineLevel="0" collapsed="false">
      <c r="A379" s="8"/>
      <c r="B379" s="39" t="s">
        <v>411</v>
      </c>
      <c r="C379" s="8"/>
      <c r="D379" s="7" t="str">
        <f aca="false">IF(COUNT(H379,I379)&lt;2,"",ROUND(H379*I379,2))</f>
        <v/>
      </c>
      <c r="E379" s="29" t="n">
        <v>30</v>
      </c>
      <c r="F379" s="32" t="str">
        <f aca="false">IF(D379="","",ROUND(D379*E379,1))</f>
        <v/>
      </c>
      <c r="G379" s="24"/>
      <c r="H379" s="40"/>
      <c r="I379" s="40"/>
    </row>
    <row r="380" customFormat="false" ht="39" hidden="false" customHeight="true" outlineLevel="0" collapsed="false">
      <c r="A380" s="8"/>
      <c r="B380" s="39" t="s">
        <v>412</v>
      </c>
      <c r="C380" s="8" t="s">
        <v>414</v>
      </c>
      <c r="D380" s="7" t="n">
        <v>17</v>
      </c>
      <c r="E380" s="29" t="n">
        <v>20</v>
      </c>
      <c r="F380" s="32" t="n">
        <f aca="false">IF(D380="","",ROUND(D380*E380,1))</f>
        <v>340</v>
      </c>
      <c r="G380" s="24"/>
      <c r="H380" s="40"/>
      <c r="I380" s="40"/>
    </row>
    <row r="381" customFormat="false" ht="61.5" hidden="false" customHeight="true" outlineLevel="0" collapsed="false">
      <c r="A381" s="8"/>
      <c r="B381" s="39" t="s">
        <v>413</v>
      </c>
      <c r="C381" s="8"/>
      <c r="D381" s="7" t="str">
        <f aca="false">IF(COUNT(H381,I381)&lt;2,"",ROUND(H381*I381,2))</f>
        <v/>
      </c>
      <c r="E381" s="29" t="n">
        <v>15</v>
      </c>
      <c r="F381" s="32" t="str">
        <f aca="false">IF(D381="","",ROUND(D381*E381,1))</f>
        <v/>
      </c>
      <c r="G381" s="24"/>
      <c r="H381" s="40"/>
      <c r="I381" s="40"/>
    </row>
    <row r="382" customFormat="false" ht="39" hidden="false" customHeight="true" outlineLevel="0" collapsed="false">
      <c r="A382" s="19" t="s">
        <v>415</v>
      </c>
      <c r="B382" s="38" t="s">
        <v>416</v>
      </c>
      <c r="C382" s="8"/>
      <c r="D382" s="8"/>
      <c r="E382" s="8"/>
      <c r="F382" s="8"/>
      <c r="G382" s="24"/>
      <c r="H382" s="24"/>
      <c r="I382" s="24"/>
    </row>
    <row r="383" customFormat="false" ht="61.5" hidden="false" customHeight="true" outlineLevel="0" collapsed="false">
      <c r="A383" s="8"/>
      <c r="B383" s="39" t="s">
        <v>417</v>
      </c>
      <c r="C383" s="8"/>
      <c r="D383" s="7" t="str">
        <f aca="false">IF(COUNT(H383,I383)&lt;2,"",ROUND(H383*I383,2))</f>
        <v/>
      </c>
      <c r="E383" s="29" t="n">
        <v>10</v>
      </c>
      <c r="F383" s="32" t="str">
        <f aca="false">IF(D383="","",ROUND(D383*E383,1))</f>
        <v/>
      </c>
      <c r="G383" s="24"/>
      <c r="H383" s="40"/>
      <c r="I383" s="40"/>
    </row>
    <row r="384" customFormat="false" ht="39" hidden="false" customHeight="true" outlineLevel="0" collapsed="false">
      <c r="A384" s="8"/>
      <c r="B384" s="39" t="s">
        <v>418</v>
      </c>
      <c r="C384" s="8" t="s">
        <v>414</v>
      </c>
      <c r="D384" s="7" t="n">
        <v>17</v>
      </c>
      <c r="E384" s="29" t="n">
        <v>15</v>
      </c>
      <c r="F384" s="32" t="n">
        <f aca="false">IF(D384="","",ROUND(D384*E384,1))</f>
        <v>255</v>
      </c>
      <c r="G384" s="24"/>
      <c r="H384" s="40"/>
      <c r="I384" s="40"/>
    </row>
    <row r="385" customFormat="false" ht="39" hidden="false" customHeight="true" outlineLevel="0" collapsed="false">
      <c r="A385" s="19" t="s">
        <v>419</v>
      </c>
      <c r="B385" s="38" t="s">
        <v>420</v>
      </c>
      <c r="C385" s="8"/>
      <c r="D385" s="19" t="s">
        <v>421</v>
      </c>
      <c r="E385" s="8"/>
      <c r="F385" s="8"/>
      <c r="G385" s="24"/>
      <c r="H385" s="24"/>
      <c r="I385" s="24"/>
    </row>
    <row r="386" customFormat="false" ht="61.5" hidden="false" customHeight="true" outlineLevel="0" collapsed="false">
      <c r="A386" s="8"/>
      <c r="B386" s="39" t="s">
        <v>422</v>
      </c>
      <c r="C386" s="8"/>
      <c r="D386" s="7" t="str">
        <f aca="false">IF(COUNT(H386,I386)&lt;2,"",ROUND(H386*I386,2))</f>
        <v/>
      </c>
      <c r="E386" s="29" t="n">
        <v>6</v>
      </c>
      <c r="F386" s="32" t="str">
        <f aca="false">IF(D386="","",ROUND(D386*E386,1))</f>
        <v/>
      </c>
      <c r="G386" s="24"/>
      <c r="H386" s="40"/>
      <c r="I386" s="40"/>
    </row>
    <row r="387" customFormat="false" ht="61.5" hidden="false" customHeight="true" outlineLevel="0" collapsed="false">
      <c r="A387" s="8"/>
      <c r="B387" s="39" t="s">
        <v>423</v>
      </c>
      <c r="C387" s="8"/>
      <c r="D387" s="7" t="str">
        <f aca="false">IF(COUNT(H387,I387)&lt;2,"",ROUND(H387*I387,2))</f>
        <v/>
      </c>
      <c r="E387" s="29" t="n">
        <v>9</v>
      </c>
      <c r="F387" s="32" t="str">
        <f aca="false">IF(D387="","",ROUND(D387*E387,1))</f>
        <v/>
      </c>
      <c r="G387" s="24"/>
      <c r="H387" s="40"/>
      <c r="I387" s="40"/>
    </row>
    <row r="388" customFormat="false" ht="39" hidden="false" customHeight="true" outlineLevel="0" collapsed="false">
      <c r="A388" s="8"/>
      <c r="B388" s="39" t="s">
        <v>425</v>
      </c>
      <c r="C388" s="8" t="s">
        <v>475</v>
      </c>
      <c r="D388" s="7" t="n">
        <v>51</v>
      </c>
      <c r="E388" s="29" t="n">
        <v>12</v>
      </c>
      <c r="F388" s="32" t="n">
        <f aca="false">IF(D388="","",ROUND(D388*E388,1))</f>
        <v>612</v>
      </c>
      <c r="G388" s="24"/>
      <c r="H388" s="40"/>
      <c r="I388" s="40"/>
    </row>
    <row r="389" customFormat="false" ht="69.75" hidden="false" customHeight="true" outlineLevel="0" collapsed="false">
      <c r="A389" s="19" t="s">
        <v>426</v>
      </c>
      <c r="B389" s="38" t="s">
        <v>427</v>
      </c>
      <c r="C389" s="8"/>
      <c r="D389" s="8"/>
      <c r="E389" s="8"/>
      <c r="F389" s="41" t="n">
        <f aca="false">IF(F370="",0,F370)+IF(F371="",0,F371)+IF(F373="",0,F373)+IF(F374="",0,F374)+IF(F375="",0,F375)+IF(F376="",0,F376)+IF(F377="",0,F377)+IF(F379="",0,F379)+IF(F380="",0,F380)+IF(F381="",0,F381)+IF(F383="",0,F383)+IF(F384="",0,F384)+IF(F386="",0,F386)+IF(F387="",0,F387)+IF(F388="",0,F388)</f>
        <v>2771.2</v>
      </c>
      <c r="G389" s="24"/>
      <c r="H389" s="24"/>
      <c r="I389" s="24"/>
    </row>
    <row r="390" customFormat="false" ht="46.5" hidden="false" customHeight="true" outlineLevel="0" collapsed="false">
      <c r="A390" s="19" t="s">
        <v>428</v>
      </c>
      <c r="B390" s="38" t="s">
        <v>429</v>
      </c>
      <c r="C390" s="42" t="str">
        <f aca="false">TEXT(F389,"0.00")&amp;"  X  "&amp;Datos_balance!$B$4&amp;" (FI)  X  "&amp;Datos_balance!$B$5&amp;" (FO)  X  "&amp;Datos_balance!$B$6&amp;" (FZ)"</f>
        <v>2771.20  X  1.07 (FI)  X  1 (FO)  X  1 (FZ)</v>
      </c>
      <c r="D390" s="42"/>
      <c r="E390" s="42"/>
      <c r="F390" s="41" t="n">
        <f aca="false">ROUND(F389*Datos_balance!$B$4*Datos_balance!$B$5*Datos_balance!$B$6,1)</f>
        <v>2965.2</v>
      </c>
      <c r="G390" s="24"/>
      <c r="H390" s="24"/>
      <c r="I390" s="24"/>
    </row>
    <row r="391" customFormat="false" ht="39" hidden="false" customHeight="true" outlineLevel="0" collapsed="false">
      <c r="A391" s="8"/>
      <c r="B391" s="10" t="s">
        <v>430</v>
      </c>
      <c r="C391" s="42"/>
      <c r="D391" s="42"/>
      <c r="E391" s="42"/>
      <c r="F391" s="32"/>
      <c r="G391" s="24"/>
      <c r="H391" s="24"/>
      <c r="I391" s="24"/>
    </row>
    <row r="392" customFormat="false" ht="39" hidden="false" customHeight="true" outlineLevel="0" collapsed="false">
      <c r="A392" s="8"/>
      <c r="B392" s="38" t="s">
        <v>431</v>
      </c>
      <c r="C392" s="42"/>
      <c r="D392" s="42"/>
      <c r="E392" s="42"/>
      <c r="F392" s="41" t="n">
        <f aca="false">F390+IF(F391="",0,F391)</f>
        <v>2965.2</v>
      </c>
      <c r="G392" s="24"/>
      <c r="H392" s="24"/>
      <c r="I392" s="24"/>
    </row>
    <row r="393" customFormat="false" ht="15" hidden="false" customHeight="false" outlineLevel="0" collapsed="false">
      <c r="A393" s="24"/>
      <c r="B393" s="24"/>
      <c r="C393" s="24"/>
      <c r="D393" s="24"/>
      <c r="E393" s="24"/>
      <c r="F393" s="24"/>
      <c r="G393" s="24"/>
      <c r="H393" s="24"/>
      <c r="I393" s="24"/>
    </row>
    <row r="394" customFormat="false" ht="61.5" hidden="false" customHeight="true" outlineLevel="0" collapsed="false">
      <c r="A394" s="8"/>
      <c r="B394" s="10" t="s">
        <v>432</v>
      </c>
      <c r="C394" s="42" t="str">
        <f aca="false">TEXT((Datos_balance!$B$9+Datos_balance!$B$10)/2,"0")&amp;" - "&amp;TEXT(Datos_balance!$B$11,"0")&amp;" = "&amp;TEXT((Datos_balance!$B$9+Datos_balance!$B$10)/2-Datos_balance!$B$11,"0")&amp;" C"</f>
        <v>86 - 20 = 66 C</v>
      </c>
      <c r="D394" s="42"/>
      <c r="E394" s="42"/>
      <c r="F394" s="8"/>
      <c r="G394" s="24"/>
      <c r="H394" s="24"/>
      <c r="I394" s="24"/>
    </row>
    <row r="395" customFormat="false" ht="39" hidden="false" customHeight="true" outlineLevel="0" collapsed="false">
      <c r="A395" s="8"/>
      <c r="B395" s="10" t="s">
        <v>433</v>
      </c>
      <c r="C395" s="43" t="n">
        <f aca="false">ROUND(Datos_balance!$B$14*Datos_balance!$B$15,2)</f>
        <v>274.4</v>
      </c>
      <c r="D395" s="43"/>
      <c r="E395" s="43"/>
      <c r="F395" s="8"/>
      <c r="G395" s="24"/>
      <c r="H395" s="24"/>
      <c r="I395" s="24"/>
    </row>
    <row r="396" customFormat="false" ht="39" hidden="false" customHeight="true" outlineLevel="0" collapsed="false">
      <c r="A396" s="8"/>
      <c r="B396" s="10" t="s">
        <v>434</v>
      </c>
      <c r="C396" s="44" t="n">
        <f aca="false">ROUNDUP(F392/(Datos_balance!$B$14*Datos_balance!$B$15),0)</f>
        <v>11</v>
      </c>
      <c r="D396" s="44"/>
      <c r="E396" s="44"/>
      <c r="F396" s="8"/>
      <c r="G396" s="24"/>
      <c r="H396" s="24"/>
      <c r="I396" s="24"/>
    </row>
    <row r="397" customFormat="false" ht="39" hidden="false" customHeight="true" outlineLevel="0" collapsed="false">
      <c r="A397" s="8"/>
      <c r="B397" s="10" t="s">
        <v>435</v>
      </c>
      <c r="C397" s="44" t="n">
        <f aca="false">ROUNDUP(F392/(Datos_balance!$B$14*Datos_balance!$B$15),0)*Datos_balance!$B$16</f>
        <v>88</v>
      </c>
      <c r="D397" s="44"/>
      <c r="E397" s="44"/>
      <c r="F397" s="8"/>
      <c r="G397" s="24"/>
      <c r="H397" s="24"/>
      <c r="I397" s="24"/>
    </row>
    <row r="398" customFormat="false" ht="39" hidden="false" customHeight="true" outlineLevel="0" collapsed="false">
      <c r="A398" s="13"/>
      <c r="B398" s="15" t="s">
        <v>436</v>
      </c>
      <c r="C398" s="14" t="str">
        <f aca="false">Datos_balance!$B$13</f>
        <v>Peisa Tropical 80-500</v>
      </c>
      <c r="D398" s="14"/>
      <c r="E398" s="14"/>
      <c r="F398" s="13"/>
      <c r="G398" s="24"/>
      <c r="H398" s="24"/>
      <c r="I398" s="24"/>
    </row>
    <row r="399" customFormat="false" ht="15" hidden="false" customHeight="false" outlineLevel="0" collapsed="false">
      <c r="A399" s="24"/>
      <c r="B399" s="24"/>
      <c r="C399" s="24"/>
      <c r="D399" s="24"/>
      <c r="E399" s="24"/>
      <c r="F399" s="24"/>
      <c r="G399" s="24"/>
      <c r="H399" s="24"/>
      <c r="I399" s="24"/>
    </row>
    <row r="400" customFormat="false" ht="39" hidden="false" customHeight="true" outlineLevel="0" collapsed="false">
      <c r="A400" s="24"/>
      <c r="B400" s="45" t="s">
        <v>476</v>
      </c>
      <c r="C400" s="24"/>
      <c r="D400" s="24"/>
      <c r="E400" s="24"/>
      <c r="F400" s="24"/>
      <c r="G400" s="24"/>
      <c r="H400" s="24"/>
      <c r="I400" s="24"/>
    </row>
    <row r="401" customFormat="false" ht="39" hidden="false" customHeight="true" outlineLevel="0" collapsed="false">
      <c r="A401" s="24"/>
      <c r="B401" s="24"/>
      <c r="C401" s="24"/>
      <c r="D401" s="24"/>
      <c r="E401" s="24"/>
      <c r="F401" s="24"/>
      <c r="G401" s="24"/>
      <c r="H401" s="24"/>
      <c r="I401" s="24"/>
    </row>
    <row r="402" customFormat="false" ht="39" hidden="false" customHeight="true" outlineLevel="0" collapsed="false">
      <c r="A402" s="24"/>
      <c r="B402" s="24"/>
      <c r="C402" s="24"/>
      <c r="D402" s="24"/>
      <c r="E402" s="24"/>
      <c r="F402" s="24"/>
      <c r="G402" s="24"/>
      <c r="H402" s="24"/>
      <c r="I402" s="24"/>
    </row>
    <row r="403" customFormat="false" ht="39" hidden="false" customHeight="true" outlineLevel="0" collapsed="false">
      <c r="A403" s="24"/>
      <c r="B403" s="24"/>
      <c r="C403" s="24"/>
      <c r="D403" s="24"/>
      <c r="E403" s="24"/>
      <c r="F403" s="24"/>
      <c r="G403" s="24"/>
      <c r="H403" s="24"/>
      <c r="I403" s="24"/>
    </row>
    <row r="404" customFormat="false" ht="39" hidden="false" customHeight="true" outlineLevel="0" collapsed="false">
      <c r="A404" s="24"/>
      <c r="B404" s="24"/>
      <c r="C404" s="24"/>
      <c r="D404" s="24"/>
      <c r="E404" s="24"/>
      <c r="F404" s="24"/>
      <c r="G404" s="24"/>
      <c r="H404" s="24"/>
      <c r="I404" s="24"/>
    </row>
    <row r="405" customFormat="false" ht="39" hidden="false" customHeight="true" outlineLevel="0" collapsed="false">
      <c r="A405" s="24"/>
      <c r="B405" s="24"/>
      <c r="C405" s="24"/>
      <c r="D405" s="24"/>
      <c r="E405" s="24"/>
      <c r="F405" s="24"/>
      <c r="G405" s="24"/>
      <c r="H405" s="24"/>
      <c r="I405" s="24"/>
    </row>
    <row r="406" customFormat="false" ht="39" hidden="false" customHeight="true" outlineLevel="0" collapsed="false">
      <c r="A406" s="24"/>
      <c r="B406" s="24"/>
      <c r="C406" s="24"/>
      <c r="D406" s="24"/>
      <c r="E406" s="24"/>
      <c r="F406" s="24"/>
      <c r="G406" s="24"/>
      <c r="H406" s="24"/>
      <c r="I406" s="24"/>
    </row>
    <row r="407" customFormat="false" ht="39" hidden="false" customHeight="true" outlineLevel="0" collapsed="false">
      <c r="A407" s="24"/>
      <c r="B407" s="24"/>
      <c r="C407" s="24"/>
      <c r="D407" s="24"/>
      <c r="E407" s="24"/>
      <c r="F407" s="24"/>
      <c r="G407" s="24"/>
      <c r="H407" s="24"/>
      <c r="I407" s="24"/>
    </row>
    <row r="408" customFormat="false" ht="39" hidden="false" customHeight="true" outlineLevel="0" collapsed="false">
      <c r="A408" s="24"/>
      <c r="B408" s="24"/>
      <c r="C408" s="24"/>
      <c r="D408" s="24"/>
      <c r="E408" s="24"/>
      <c r="F408" s="24"/>
      <c r="G408" s="24"/>
      <c r="H408" s="24"/>
      <c r="I408" s="24"/>
    </row>
    <row r="409" customFormat="false" ht="39" hidden="false" customHeight="true" outlineLevel="0" collapsed="false">
      <c r="A409" s="24"/>
      <c r="B409" s="24"/>
      <c r="C409" s="24"/>
      <c r="D409" s="24"/>
      <c r="E409" s="24"/>
      <c r="F409" s="24"/>
      <c r="G409" s="24"/>
      <c r="H409" s="24"/>
      <c r="I409" s="24"/>
    </row>
    <row r="410" customFormat="false" ht="15" hidden="false" customHeight="false" outlineLevel="0" collapsed="false">
      <c r="A410" s="24"/>
      <c r="B410" s="24"/>
      <c r="C410" s="24"/>
      <c r="D410" s="24"/>
      <c r="E410" s="24"/>
      <c r="F410" s="24"/>
      <c r="G410" s="24"/>
      <c r="H410" s="24"/>
      <c r="I410" s="24"/>
    </row>
    <row r="411" customFormat="false" ht="15" hidden="false" customHeight="false" outlineLevel="0" collapsed="false">
      <c r="A411" s="24"/>
      <c r="B411" s="24"/>
      <c r="C411" s="24"/>
      <c r="D411" s="24"/>
      <c r="E411" s="24"/>
      <c r="F411" s="24"/>
      <c r="G411" s="24"/>
      <c r="H411" s="24"/>
      <c r="I411" s="24"/>
    </row>
    <row r="412" customFormat="false" ht="15" hidden="false" customHeight="false" outlineLevel="0" collapsed="false">
      <c r="A412" s="24"/>
      <c r="B412" s="24"/>
      <c r="C412" s="24"/>
      <c r="D412" s="24"/>
      <c r="E412" s="24"/>
      <c r="F412" s="24"/>
      <c r="G412" s="24"/>
      <c r="H412" s="24"/>
      <c r="I412" s="24"/>
    </row>
    <row r="413" customFormat="false" ht="39" hidden="false" customHeight="true" outlineLevel="0" collapsed="false">
      <c r="A413" s="37" t="s">
        <v>477</v>
      </c>
      <c r="B413" s="37"/>
      <c r="C413" s="37"/>
      <c r="D413" s="37"/>
      <c r="E413" s="37"/>
      <c r="F413" s="37"/>
      <c r="G413" s="24"/>
      <c r="H413" s="24"/>
      <c r="I413" s="24"/>
    </row>
    <row r="414" customFormat="false" ht="39" hidden="false" customHeight="true" outlineLevel="0" collapsed="false">
      <c r="A414" s="2" t="s">
        <v>395</v>
      </c>
      <c r="B414" s="2" t="s">
        <v>396</v>
      </c>
      <c r="C414" s="2" t="s">
        <v>397</v>
      </c>
      <c r="D414" s="2" t="s">
        <v>398</v>
      </c>
      <c r="E414" s="2" t="s">
        <v>399</v>
      </c>
      <c r="F414" s="2" t="s">
        <v>400</v>
      </c>
      <c r="G414" s="24"/>
      <c r="H414" s="24"/>
      <c r="I414" s="24"/>
    </row>
    <row r="415" customFormat="false" ht="39" hidden="false" customHeight="true" outlineLevel="0" collapsed="false">
      <c r="A415" s="19" t="s">
        <v>401</v>
      </c>
      <c r="B415" s="38" t="s">
        <v>402</v>
      </c>
      <c r="C415" s="8"/>
      <c r="D415" s="8"/>
      <c r="E415" s="8"/>
      <c r="F415" s="8"/>
      <c r="G415" s="24"/>
      <c r="H415" s="24"/>
      <c r="I415" s="24"/>
    </row>
    <row r="416" customFormat="false" ht="61.5" hidden="false" customHeight="true" outlineLevel="0" collapsed="false">
      <c r="A416" s="8"/>
      <c r="B416" s="39" t="s">
        <v>78</v>
      </c>
      <c r="C416" s="8" t="str">
        <f aca="false">IF(COUNT(H416,I416)&lt;2,"",TEXT(H416,"0.00")&amp;" x "&amp;TEXT(I416,"0.00"))</f>
        <v>2.00 x 2.52</v>
      </c>
      <c r="D416" s="7" t="n">
        <f aca="false">IF(COUNT(H416,I416)&lt;2,"",ROUND(H416*I416,2))</f>
        <v>5.04</v>
      </c>
      <c r="E416" s="29" t="n">
        <v>60</v>
      </c>
      <c r="F416" s="32" t="n">
        <f aca="false">IF(D416="","",ROUND(D416*E416,1))</f>
        <v>302.4</v>
      </c>
      <c r="G416" s="24"/>
      <c r="H416" s="40" t="n">
        <v>2</v>
      </c>
      <c r="I416" s="40" t="n">
        <v>2.52</v>
      </c>
    </row>
    <row r="417" customFormat="false" ht="39" hidden="false" customHeight="true" outlineLevel="0" collapsed="false">
      <c r="A417" s="19" t="s">
        <v>403</v>
      </c>
      <c r="B417" s="38" t="s">
        <v>404</v>
      </c>
      <c r="C417" s="8"/>
      <c r="D417" s="8"/>
      <c r="E417" s="8"/>
      <c r="F417" s="8"/>
      <c r="G417" s="24"/>
      <c r="H417" s="24"/>
      <c r="I417" s="24"/>
    </row>
    <row r="418" customFormat="false" ht="61.5" hidden="false" customHeight="true" outlineLevel="0" collapsed="false">
      <c r="A418" s="8"/>
      <c r="B418" s="39" t="s">
        <v>405</v>
      </c>
      <c r="C418" s="8" t="str">
        <f aca="false">IF(COUNT(H418,I418)&lt;2,"",TEXT(H418,"0.00")&amp;" x "&amp;TEXT(I418,"0.00"))</f>
        <v>4.13 x 3.00</v>
      </c>
      <c r="D418" s="7" t="n">
        <f aca="false">IF(COUNT(H418,I418)&lt;2,"",ROUND(H418*I418,2))</f>
        <v>12.39</v>
      </c>
      <c r="E418" s="29" t="n">
        <v>20</v>
      </c>
      <c r="F418" s="32" t="n">
        <f aca="false">IF(D418="","",ROUND(D418*E418,1))</f>
        <v>247.8</v>
      </c>
      <c r="G418" s="24"/>
      <c r="H418" s="40" t="n">
        <v>4.13</v>
      </c>
      <c r="I418" s="40" t="n">
        <v>3</v>
      </c>
    </row>
    <row r="419" customFormat="false" ht="61.5" hidden="false" customHeight="true" outlineLevel="0" collapsed="false">
      <c r="A419" s="8"/>
      <c r="B419" s="39" t="s">
        <v>440</v>
      </c>
      <c r="C419" s="8" t="str">
        <f aca="false">IF(COUNT(H419,I419)&lt;2,"",TEXT(H419,"0.00")&amp;" x "&amp;TEXT(I419,"0.00"))</f>
        <v/>
      </c>
      <c r="D419" s="7" t="str">
        <f aca="false">IF(COUNT(H419,I419)&lt;2,"",ROUND(H419*I419,2))</f>
        <v/>
      </c>
      <c r="E419" s="29" t="n">
        <v>20</v>
      </c>
      <c r="F419" s="32" t="str">
        <f aca="false">IF(D419="","",ROUND(D419*E419,1))</f>
        <v/>
      </c>
      <c r="G419" s="24"/>
      <c r="H419" s="40"/>
      <c r="I419" s="40"/>
    </row>
    <row r="420" customFormat="false" ht="61.5" hidden="false" customHeight="true" outlineLevel="0" collapsed="false">
      <c r="A420" s="8"/>
      <c r="B420" s="39" t="s">
        <v>408</v>
      </c>
      <c r="C420" s="8" t="str">
        <f aca="false">IF(COUNT(H420,I420)&lt;2,"",TEXT(H420,"0.00")&amp;" x "&amp;TEXT(I420,"0.00"))</f>
        <v>4.08 x 3.00</v>
      </c>
      <c r="D420" s="7" t="n">
        <f aca="false">IF(COUNT(H420,I420)&lt;2,"",ROUND(H420*I420,2))</f>
        <v>12.24</v>
      </c>
      <c r="E420" s="29" t="n">
        <v>25</v>
      </c>
      <c r="F420" s="32" t="n">
        <f aca="false">IF(D420="","",ROUND(D420*E420,1))</f>
        <v>306</v>
      </c>
      <c r="G420" s="24"/>
      <c r="H420" s="40" t="n">
        <v>4.08</v>
      </c>
      <c r="I420" s="40" t="n">
        <v>3</v>
      </c>
    </row>
    <row r="421" customFormat="false" ht="61.5" hidden="false" customHeight="true" outlineLevel="0" collapsed="false">
      <c r="A421" s="8"/>
      <c r="B421" s="39" t="s">
        <v>407</v>
      </c>
      <c r="C421" s="8" t="str">
        <f aca="false">IF(COUNT(H421,I421)&lt;2,"",TEXT(H421,"0.00")&amp;" x "&amp;TEXT(I421,"0.00"))</f>
        <v>4.13 x 3.00</v>
      </c>
      <c r="D421" s="7" t="n">
        <f aca="false">IF(COUNT(H421,I421)&lt;2,"",ROUND(H421*I421,2))</f>
        <v>12.39</v>
      </c>
      <c r="E421" s="29" t="n">
        <v>25</v>
      </c>
      <c r="F421" s="32" t="n">
        <f aca="false">IF(D421="","",ROUND(D421*E421,1))</f>
        <v>309.8</v>
      </c>
      <c r="G421" s="24"/>
      <c r="H421" s="40" t="n">
        <v>4.13</v>
      </c>
      <c r="I421" s="40" t="n">
        <v>3</v>
      </c>
    </row>
    <row r="422" customFormat="false" ht="39" hidden="false" customHeight="true" outlineLevel="0" collapsed="false">
      <c r="A422" s="19" t="s">
        <v>409</v>
      </c>
      <c r="B422" s="38" t="s">
        <v>410</v>
      </c>
      <c r="C422" s="8"/>
      <c r="D422" s="8"/>
      <c r="E422" s="8"/>
      <c r="F422" s="8"/>
      <c r="G422" s="24"/>
      <c r="H422" s="24"/>
      <c r="I422" s="24"/>
    </row>
    <row r="423" customFormat="false" ht="61.5" hidden="false" customHeight="true" outlineLevel="0" collapsed="false">
      <c r="A423" s="8"/>
      <c r="B423" s="39" t="s">
        <v>411</v>
      </c>
      <c r="C423" s="8"/>
      <c r="D423" s="7" t="str">
        <f aca="false">IF(COUNT(H423,I423)&lt;2,"",ROUND(H423*I423,2))</f>
        <v/>
      </c>
      <c r="E423" s="29" t="n">
        <v>30</v>
      </c>
      <c r="F423" s="32" t="str">
        <f aca="false">IF(D423="","",ROUND(D423*E423,1))</f>
        <v/>
      </c>
      <c r="G423" s="24"/>
      <c r="H423" s="40"/>
      <c r="I423" s="40"/>
    </row>
    <row r="424" customFormat="false" ht="39" hidden="false" customHeight="true" outlineLevel="0" collapsed="false">
      <c r="A424" s="8"/>
      <c r="B424" s="39" t="s">
        <v>412</v>
      </c>
      <c r="C424" s="8" t="s">
        <v>414</v>
      </c>
      <c r="D424" s="7" t="n">
        <v>16.85</v>
      </c>
      <c r="E424" s="29" t="n">
        <v>20</v>
      </c>
      <c r="F424" s="32" t="n">
        <f aca="false">IF(D424="","",ROUND(D424*E424,1))</f>
        <v>337</v>
      </c>
      <c r="G424" s="24"/>
      <c r="H424" s="40"/>
      <c r="I424" s="40"/>
    </row>
    <row r="425" customFormat="false" ht="61.5" hidden="false" customHeight="true" outlineLevel="0" collapsed="false">
      <c r="A425" s="8"/>
      <c r="B425" s="39" t="s">
        <v>413</v>
      </c>
      <c r="C425" s="8"/>
      <c r="D425" s="7" t="str">
        <f aca="false">IF(COUNT(H425,I425)&lt;2,"",ROUND(H425*I425,2))</f>
        <v/>
      </c>
      <c r="E425" s="29" t="n">
        <v>15</v>
      </c>
      <c r="F425" s="32" t="str">
        <f aca="false">IF(D425="","",ROUND(D425*E425,1))</f>
        <v/>
      </c>
      <c r="G425" s="24"/>
      <c r="H425" s="40"/>
      <c r="I425" s="40"/>
    </row>
    <row r="426" customFormat="false" ht="39" hidden="false" customHeight="true" outlineLevel="0" collapsed="false">
      <c r="A426" s="19" t="s">
        <v>415</v>
      </c>
      <c r="B426" s="38" t="s">
        <v>416</v>
      </c>
      <c r="C426" s="8"/>
      <c r="D426" s="8"/>
      <c r="E426" s="8"/>
      <c r="F426" s="8"/>
      <c r="G426" s="24"/>
      <c r="H426" s="24"/>
      <c r="I426" s="24"/>
    </row>
    <row r="427" customFormat="false" ht="61.5" hidden="false" customHeight="true" outlineLevel="0" collapsed="false">
      <c r="A427" s="8"/>
      <c r="B427" s="39" t="s">
        <v>417</v>
      </c>
      <c r="C427" s="8"/>
      <c r="D427" s="7" t="str">
        <f aca="false">IF(COUNT(H427,I427)&lt;2,"",ROUND(H427*I427,2))</f>
        <v/>
      </c>
      <c r="E427" s="29" t="n">
        <v>10</v>
      </c>
      <c r="F427" s="32" t="str">
        <f aca="false">IF(D427="","",ROUND(D427*E427,1))</f>
        <v/>
      </c>
      <c r="G427" s="24"/>
      <c r="H427" s="40"/>
      <c r="I427" s="40"/>
    </row>
    <row r="428" customFormat="false" ht="39" hidden="false" customHeight="true" outlineLevel="0" collapsed="false">
      <c r="A428" s="8"/>
      <c r="B428" s="39" t="s">
        <v>418</v>
      </c>
      <c r="C428" s="8" t="s">
        <v>414</v>
      </c>
      <c r="D428" s="7" t="n">
        <v>16.85</v>
      </c>
      <c r="E428" s="29" t="n">
        <v>15</v>
      </c>
      <c r="F428" s="32" t="n">
        <f aca="false">IF(D428="","",ROUND(D428*E428,1))</f>
        <v>252.8</v>
      </c>
      <c r="G428" s="24"/>
      <c r="H428" s="40"/>
      <c r="I428" s="40"/>
    </row>
    <row r="429" customFormat="false" ht="39" hidden="false" customHeight="true" outlineLevel="0" collapsed="false">
      <c r="A429" s="19" t="s">
        <v>419</v>
      </c>
      <c r="B429" s="38" t="s">
        <v>420</v>
      </c>
      <c r="C429" s="8"/>
      <c r="D429" s="19" t="s">
        <v>421</v>
      </c>
      <c r="E429" s="8"/>
      <c r="F429" s="8"/>
      <c r="G429" s="24"/>
      <c r="H429" s="24"/>
      <c r="I429" s="24"/>
    </row>
    <row r="430" customFormat="false" ht="39" hidden="false" customHeight="true" outlineLevel="0" collapsed="false">
      <c r="A430" s="8"/>
      <c r="B430" s="39" t="s">
        <v>422</v>
      </c>
      <c r="C430" s="8" t="s">
        <v>478</v>
      </c>
      <c r="D430" s="7" t="n">
        <v>50.55</v>
      </c>
      <c r="E430" s="29" t="n">
        <v>6</v>
      </c>
      <c r="F430" s="32" t="n">
        <f aca="false">IF(D430="","",ROUND(D430*E430,1))</f>
        <v>303.3</v>
      </c>
      <c r="G430" s="24"/>
      <c r="H430" s="40"/>
      <c r="I430" s="40"/>
    </row>
    <row r="431" customFormat="false" ht="61.5" hidden="false" customHeight="true" outlineLevel="0" collapsed="false">
      <c r="A431" s="8"/>
      <c r="B431" s="39" t="s">
        <v>423</v>
      </c>
      <c r="C431" s="8"/>
      <c r="D431" s="7" t="str">
        <f aca="false">IF(COUNT(H431,I431)&lt;2,"",ROUND(H431*I431,2))</f>
        <v/>
      </c>
      <c r="E431" s="29" t="n">
        <v>9</v>
      </c>
      <c r="F431" s="32" t="str">
        <f aca="false">IF(D431="","",ROUND(D431*E431,1))</f>
        <v/>
      </c>
      <c r="G431" s="24"/>
      <c r="H431" s="40"/>
      <c r="I431" s="40"/>
    </row>
    <row r="432" customFormat="false" ht="61.5" hidden="false" customHeight="true" outlineLevel="0" collapsed="false">
      <c r="A432" s="8"/>
      <c r="B432" s="39" t="s">
        <v>425</v>
      </c>
      <c r="C432" s="8"/>
      <c r="D432" s="7" t="str">
        <f aca="false">IF(COUNT(H432,I432)&lt;2,"",ROUND(H432*I432,2))</f>
        <v/>
      </c>
      <c r="E432" s="29" t="n">
        <v>12</v>
      </c>
      <c r="F432" s="32" t="str">
        <f aca="false">IF(D432="","",ROUND(D432*E432,1))</f>
        <v/>
      </c>
      <c r="G432" s="24"/>
      <c r="H432" s="40"/>
      <c r="I432" s="40"/>
    </row>
    <row r="433" customFormat="false" ht="69.75" hidden="false" customHeight="true" outlineLevel="0" collapsed="false">
      <c r="A433" s="19" t="s">
        <v>426</v>
      </c>
      <c r="B433" s="38" t="s">
        <v>427</v>
      </c>
      <c r="C433" s="8"/>
      <c r="D433" s="8"/>
      <c r="E433" s="8"/>
      <c r="F433" s="41" t="n">
        <f aca="false">IF(F416="",0,F416)+IF(F418="",0,F418)+IF(F419="",0,F419)+IF(F420="",0,F420)+IF(F421="",0,F421)+IF(F423="",0,F423)+IF(F424="",0,F424)+IF(F425="",0,F425)+IF(F427="",0,F427)+IF(F428="",0,F428)+IF(F430="",0,F430)+IF(F431="",0,F431)+IF(F432="",0,F432)</f>
        <v>2059.1</v>
      </c>
      <c r="G433" s="24"/>
      <c r="H433" s="24"/>
      <c r="I433" s="24"/>
    </row>
    <row r="434" customFormat="false" ht="46.5" hidden="false" customHeight="true" outlineLevel="0" collapsed="false">
      <c r="A434" s="19" t="s">
        <v>428</v>
      </c>
      <c r="B434" s="38" t="s">
        <v>429</v>
      </c>
      <c r="C434" s="42" t="str">
        <f aca="false">TEXT(F433,"0.00")&amp;"  X  "&amp;Datos_balance!$B$4&amp;" (FI)  X  "&amp;Datos_balance!$B$5&amp;" (FO)  X  "&amp;Datos_balance!$B$6&amp;" (FZ)"</f>
        <v>2059.10  X  1.07 (FI)  X  1 (FO)  X  1 (FZ)</v>
      </c>
      <c r="D434" s="42"/>
      <c r="E434" s="42"/>
      <c r="F434" s="41" t="n">
        <f aca="false">ROUND(F433*Datos_balance!$B$4*Datos_balance!$B$5*Datos_balance!$B$6,1)</f>
        <v>2203.2</v>
      </c>
      <c r="G434" s="24"/>
      <c r="H434" s="24"/>
      <c r="I434" s="24"/>
    </row>
    <row r="435" customFormat="false" ht="39" hidden="false" customHeight="true" outlineLevel="0" collapsed="false">
      <c r="A435" s="8"/>
      <c r="B435" s="10" t="s">
        <v>430</v>
      </c>
      <c r="C435" s="42" t="s">
        <v>479</v>
      </c>
      <c r="D435" s="42"/>
      <c r="E435" s="42"/>
      <c r="F435" s="32" t="n">
        <f aca="false">F209</f>
        <v>1348.3</v>
      </c>
      <c r="G435" s="24"/>
      <c r="H435" s="24"/>
      <c r="I435" s="24"/>
    </row>
    <row r="436" customFormat="false" ht="39" hidden="false" customHeight="true" outlineLevel="0" collapsed="false">
      <c r="A436" s="8"/>
      <c r="B436" s="38" t="s">
        <v>431</v>
      </c>
      <c r="C436" s="42"/>
      <c r="D436" s="42"/>
      <c r="E436" s="42"/>
      <c r="F436" s="41" t="n">
        <f aca="false">F434+IF(F435="",0,F435)</f>
        <v>3551.5</v>
      </c>
      <c r="G436" s="24"/>
      <c r="H436" s="24"/>
      <c r="I436" s="24"/>
    </row>
    <row r="437" customFormat="false" ht="15" hidden="false" customHeight="false" outlineLevel="0" collapsed="false">
      <c r="A437" s="24"/>
      <c r="B437" s="24"/>
      <c r="C437" s="24"/>
      <c r="D437" s="24"/>
      <c r="E437" s="24"/>
      <c r="F437" s="24"/>
      <c r="G437" s="24"/>
      <c r="H437" s="24"/>
      <c r="I437" s="24"/>
    </row>
    <row r="438" customFormat="false" ht="61.5" hidden="false" customHeight="true" outlineLevel="0" collapsed="false">
      <c r="A438" s="8"/>
      <c r="B438" s="10" t="s">
        <v>432</v>
      </c>
      <c r="C438" s="42" t="str">
        <f aca="false">TEXT((Datos_balance!$B$9+Datos_balance!$B$10)/2,"0")&amp;" - "&amp;TEXT(Datos_balance!$B$11,"0")&amp;" = "&amp;TEXT((Datos_balance!$B$9+Datos_balance!$B$10)/2-Datos_balance!$B$11,"0")&amp;" C"</f>
        <v>86 - 20 = 66 C</v>
      </c>
      <c r="D438" s="42"/>
      <c r="E438" s="42"/>
      <c r="F438" s="8"/>
      <c r="G438" s="24"/>
      <c r="H438" s="24"/>
      <c r="I438" s="24"/>
    </row>
    <row r="439" customFormat="false" ht="39" hidden="false" customHeight="true" outlineLevel="0" collapsed="false">
      <c r="A439" s="8"/>
      <c r="B439" s="10" t="s">
        <v>433</v>
      </c>
      <c r="C439" s="43" t="n">
        <f aca="false">ROUND(Datos_balance!$B$14*Datos_balance!$B$15,2)</f>
        <v>274.4</v>
      </c>
      <c r="D439" s="43"/>
      <c r="E439" s="43"/>
      <c r="F439" s="8"/>
      <c r="G439" s="24"/>
      <c r="H439" s="24"/>
      <c r="I439" s="24"/>
    </row>
    <row r="440" customFormat="false" ht="39" hidden="false" customHeight="true" outlineLevel="0" collapsed="false">
      <c r="A440" s="8"/>
      <c r="B440" s="10" t="s">
        <v>434</v>
      </c>
      <c r="C440" s="44" t="n">
        <f aca="false">ROUNDUP(F436/(Datos_balance!$B$14*Datos_balance!$B$15),0)</f>
        <v>13</v>
      </c>
      <c r="D440" s="44"/>
      <c r="E440" s="44"/>
      <c r="F440" s="8"/>
      <c r="G440" s="24"/>
      <c r="H440" s="24"/>
      <c r="I440" s="24"/>
    </row>
    <row r="441" customFormat="false" ht="39" hidden="false" customHeight="true" outlineLevel="0" collapsed="false">
      <c r="A441" s="8"/>
      <c r="B441" s="10" t="s">
        <v>435</v>
      </c>
      <c r="C441" s="44" t="n">
        <f aca="false">ROUNDUP(F436/(Datos_balance!$B$14*Datos_balance!$B$15),0)*Datos_balance!$B$16</f>
        <v>104</v>
      </c>
      <c r="D441" s="44"/>
      <c r="E441" s="44"/>
      <c r="F441" s="8"/>
      <c r="G441" s="24"/>
      <c r="H441" s="24"/>
      <c r="I441" s="24"/>
    </row>
    <row r="442" customFormat="false" ht="39" hidden="false" customHeight="true" outlineLevel="0" collapsed="false">
      <c r="A442" s="13"/>
      <c r="B442" s="15" t="s">
        <v>436</v>
      </c>
      <c r="C442" s="14" t="str">
        <f aca="false">Datos_balance!$B$13</f>
        <v>Peisa Tropical 80-500</v>
      </c>
      <c r="D442" s="14"/>
      <c r="E442" s="14"/>
      <c r="F442" s="13"/>
      <c r="G442" s="24"/>
      <c r="H442" s="24"/>
      <c r="I442" s="24"/>
    </row>
    <row r="443" customFormat="false" ht="15" hidden="false" customHeight="false" outlineLevel="0" collapsed="false">
      <c r="A443" s="24"/>
      <c r="B443" s="24"/>
      <c r="C443" s="24"/>
      <c r="D443" s="24"/>
      <c r="E443" s="24"/>
      <c r="F443" s="24"/>
      <c r="G443" s="24"/>
      <c r="H443" s="24"/>
      <c r="I443" s="24"/>
    </row>
    <row r="444" customFormat="false" ht="39" hidden="false" customHeight="true" outlineLevel="0" collapsed="false">
      <c r="A444" s="24"/>
      <c r="B444" s="45" t="s">
        <v>480</v>
      </c>
      <c r="C444" s="24"/>
      <c r="D444" s="24"/>
      <c r="E444" s="24"/>
      <c r="F444" s="24"/>
      <c r="G444" s="24"/>
      <c r="H444" s="24"/>
      <c r="I444" s="24"/>
    </row>
    <row r="445" customFormat="false" ht="39" hidden="false" customHeight="true" outlineLevel="0" collapsed="false">
      <c r="A445" s="24"/>
      <c r="B445" s="24"/>
      <c r="C445" s="24"/>
      <c r="D445" s="24"/>
      <c r="E445" s="24"/>
      <c r="F445" s="24"/>
      <c r="G445" s="24"/>
      <c r="H445" s="24"/>
      <c r="I445" s="24"/>
    </row>
    <row r="446" customFormat="false" ht="39" hidden="false" customHeight="true" outlineLevel="0" collapsed="false">
      <c r="A446" s="24"/>
      <c r="B446" s="24"/>
      <c r="C446" s="24"/>
      <c r="D446" s="24"/>
      <c r="E446" s="24"/>
      <c r="F446" s="24"/>
      <c r="G446" s="24"/>
      <c r="H446" s="24"/>
      <c r="I446" s="24"/>
    </row>
    <row r="447" customFormat="false" ht="39" hidden="false" customHeight="true" outlineLevel="0" collapsed="false">
      <c r="A447" s="24"/>
      <c r="B447" s="24"/>
      <c r="C447" s="24"/>
      <c r="D447" s="24"/>
      <c r="E447" s="24"/>
      <c r="F447" s="24"/>
      <c r="G447" s="24"/>
      <c r="H447" s="24"/>
      <c r="I447" s="24"/>
    </row>
    <row r="448" customFormat="false" ht="39" hidden="false" customHeight="true" outlineLevel="0" collapsed="false">
      <c r="A448" s="24"/>
      <c r="B448" s="24"/>
      <c r="C448" s="24"/>
      <c r="D448" s="24"/>
      <c r="E448" s="24"/>
      <c r="F448" s="24"/>
      <c r="G448" s="24"/>
      <c r="H448" s="24"/>
      <c r="I448" s="24"/>
    </row>
    <row r="449" customFormat="false" ht="39" hidden="false" customHeight="true" outlineLevel="0" collapsed="false">
      <c r="A449" s="24"/>
      <c r="B449" s="24"/>
      <c r="C449" s="24"/>
      <c r="D449" s="24"/>
      <c r="E449" s="24"/>
      <c r="F449" s="24"/>
      <c r="G449" s="24"/>
      <c r="H449" s="24"/>
      <c r="I449" s="24"/>
    </row>
    <row r="450" customFormat="false" ht="39" hidden="false" customHeight="true" outlineLevel="0" collapsed="false">
      <c r="A450" s="24"/>
      <c r="B450" s="24"/>
      <c r="C450" s="24"/>
      <c r="D450" s="24"/>
      <c r="E450" s="24"/>
      <c r="F450" s="24"/>
      <c r="G450" s="24"/>
      <c r="H450" s="24"/>
      <c r="I450" s="24"/>
    </row>
    <row r="451" customFormat="false" ht="39" hidden="false" customHeight="true" outlineLevel="0" collapsed="false">
      <c r="A451" s="24"/>
      <c r="B451" s="24"/>
      <c r="C451" s="24"/>
      <c r="D451" s="24"/>
      <c r="E451" s="24"/>
      <c r="F451" s="24"/>
      <c r="G451" s="24"/>
      <c r="H451" s="24"/>
      <c r="I451" s="24"/>
    </row>
    <row r="452" customFormat="false" ht="39" hidden="false" customHeight="true" outlineLevel="0" collapsed="false">
      <c r="A452" s="24"/>
      <c r="B452" s="24"/>
      <c r="C452" s="24"/>
      <c r="D452" s="24"/>
      <c r="E452" s="24"/>
      <c r="F452" s="24"/>
      <c r="G452" s="24"/>
      <c r="H452" s="24"/>
      <c r="I452" s="24"/>
    </row>
    <row r="453" customFormat="false" ht="39" hidden="false" customHeight="true" outlineLevel="0" collapsed="false">
      <c r="A453" s="24"/>
      <c r="B453" s="24"/>
      <c r="C453" s="24"/>
      <c r="D453" s="24"/>
      <c r="E453" s="24"/>
      <c r="F453" s="24"/>
      <c r="G453" s="24"/>
      <c r="H453" s="24"/>
      <c r="I453" s="24"/>
    </row>
    <row r="454" customFormat="false" ht="15" hidden="false" customHeight="false" outlineLevel="0" collapsed="false">
      <c r="A454" s="24"/>
      <c r="B454" s="24"/>
      <c r="C454" s="24"/>
      <c r="D454" s="24"/>
      <c r="E454" s="24"/>
      <c r="F454" s="24"/>
      <c r="G454" s="24"/>
      <c r="H454" s="24"/>
      <c r="I454" s="24"/>
    </row>
    <row r="455" customFormat="false" ht="15" hidden="false" customHeight="false" outlineLevel="0" collapsed="false">
      <c r="A455" s="24"/>
      <c r="B455" s="24"/>
      <c r="C455" s="24"/>
      <c r="D455" s="24"/>
      <c r="E455" s="24"/>
      <c r="F455" s="24"/>
      <c r="G455" s="24"/>
      <c r="H455" s="24"/>
      <c r="I455" s="24"/>
    </row>
    <row r="456" customFormat="false" ht="15" hidden="false" customHeight="false" outlineLevel="0" collapsed="false">
      <c r="A456" s="24"/>
      <c r="B456" s="24"/>
      <c r="C456" s="24"/>
      <c r="D456" s="24"/>
      <c r="E456" s="24"/>
      <c r="F456" s="24"/>
      <c r="G456" s="24"/>
      <c r="H456" s="24"/>
      <c r="I456" s="24"/>
    </row>
    <row r="457" customFormat="false" ht="39" hidden="false" customHeight="true" outlineLevel="0" collapsed="false">
      <c r="A457" s="37" t="s">
        <v>481</v>
      </c>
      <c r="B457" s="37"/>
      <c r="C457" s="37"/>
      <c r="D457" s="37"/>
      <c r="E457" s="37"/>
      <c r="F457" s="37"/>
      <c r="G457" s="24"/>
      <c r="H457" s="24"/>
      <c r="I457" s="24"/>
    </row>
    <row r="458" customFormat="false" ht="39" hidden="false" customHeight="true" outlineLevel="0" collapsed="false">
      <c r="A458" s="2" t="s">
        <v>395</v>
      </c>
      <c r="B458" s="2" t="s">
        <v>396</v>
      </c>
      <c r="C458" s="2" t="s">
        <v>397</v>
      </c>
      <c r="D458" s="2" t="s">
        <v>398</v>
      </c>
      <c r="E458" s="2" t="s">
        <v>399</v>
      </c>
      <c r="F458" s="2" t="s">
        <v>400</v>
      </c>
      <c r="G458" s="24"/>
      <c r="H458" s="24"/>
      <c r="I458" s="24"/>
    </row>
    <row r="459" customFormat="false" ht="39" hidden="false" customHeight="true" outlineLevel="0" collapsed="false">
      <c r="A459" s="19" t="s">
        <v>401</v>
      </c>
      <c r="B459" s="38" t="s">
        <v>402</v>
      </c>
      <c r="C459" s="8"/>
      <c r="D459" s="8"/>
      <c r="E459" s="8"/>
      <c r="F459" s="8"/>
      <c r="G459" s="24"/>
      <c r="H459" s="24"/>
      <c r="I459" s="24"/>
    </row>
    <row r="460" customFormat="false" ht="61.5" hidden="false" customHeight="true" outlineLevel="0" collapsed="false">
      <c r="A460" s="8"/>
      <c r="B460" s="39" t="s">
        <v>71</v>
      </c>
      <c r="C460" s="8" t="str">
        <f aca="false">IF(COUNT(H460,I460)&lt;2,"",TEXT(H460,"0.00")&amp;" x "&amp;TEXT(I460,"0.00"))</f>
        <v>2.06 x 3.00</v>
      </c>
      <c r="D460" s="7" t="n">
        <f aca="false">IF(COUNT(H460,I460)&lt;2,"",ROUND(H460*I460,2))</f>
        <v>6.18</v>
      </c>
      <c r="E460" s="29" t="n">
        <v>60</v>
      </c>
      <c r="F460" s="32" t="n">
        <f aca="false">IF(D460="","",ROUND(D460*E460,1))</f>
        <v>370.8</v>
      </c>
      <c r="G460" s="24"/>
      <c r="H460" s="40" t="n">
        <v>2.06</v>
      </c>
      <c r="I460" s="40" t="n">
        <v>3</v>
      </c>
    </row>
    <row r="461" customFormat="false" ht="39" hidden="false" customHeight="true" outlineLevel="0" collapsed="false">
      <c r="A461" s="19" t="s">
        <v>403</v>
      </c>
      <c r="B461" s="38" t="s">
        <v>404</v>
      </c>
      <c r="C461" s="8"/>
      <c r="D461" s="8"/>
      <c r="E461" s="8"/>
      <c r="F461" s="8"/>
      <c r="G461" s="24"/>
      <c r="H461" s="24"/>
      <c r="I461" s="24"/>
    </row>
    <row r="462" customFormat="false" ht="61.5" hidden="false" customHeight="true" outlineLevel="0" collapsed="false">
      <c r="A462" s="8"/>
      <c r="B462" s="39" t="s">
        <v>439</v>
      </c>
      <c r="C462" s="8" t="str">
        <f aca="false">IF(COUNT(H462,I462)&lt;2,"",TEXT(H462,"0.00")&amp;" x "&amp;TEXT(I462,"0.00"))</f>
        <v>4.05 x 3.00</v>
      </c>
      <c r="D462" s="7" t="n">
        <f aca="false">IF(COUNT(H462,I462)&lt;2,"",ROUND(H462*I462,2))</f>
        <v>12.15</v>
      </c>
      <c r="E462" s="29" t="n">
        <v>20</v>
      </c>
      <c r="F462" s="32" t="n">
        <f aca="false">IF(D462="","",ROUND(D462*E462,1))</f>
        <v>243</v>
      </c>
      <c r="G462" s="24"/>
      <c r="H462" s="40" t="n">
        <v>4.05</v>
      </c>
      <c r="I462" s="40" t="n">
        <v>3</v>
      </c>
    </row>
    <row r="463" customFormat="false" ht="61.5" hidden="false" customHeight="true" outlineLevel="0" collapsed="false">
      <c r="A463" s="8"/>
      <c r="B463" s="39" t="s">
        <v>406</v>
      </c>
      <c r="C463" s="8" t="str">
        <f aca="false">IF(COUNT(H463,I463)&lt;2,"",TEXT(H463,"0.00")&amp;" x "&amp;TEXT(I463,"0.00"))</f>
        <v>3.50 x 3.00</v>
      </c>
      <c r="D463" s="7" t="n">
        <f aca="false">IF(COUNT(H463,I463)&lt;2,"",ROUND(H463*I463,2))</f>
        <v>10.5</v>
      </c>
      <c r="E463" s="29" t="n">
        <v>20</v>
      </c>
      <c r="F463" s="32" t="n">
        <f aca="false">IF(D463="","",ROUND(D463*E463,1))</f>
        <v>210</v>
      </c>
      <c r="G463" s="24"/>
      <c r="H463" s="40" t="n">
        <v>3.5</v>
      </c>
      <c r="I463" s="40" t="n">
        <v>3</v>
      </c>
    </row>
    <row r="464" customFormat="false" ht="61.5" hidden="false" customHeight="true" outlineLevel="0" collapsed="false">
      <c r="A464" s="8"/>
      <c r="B464" s="39" t="s">
        <v>441</v>
      </c>
      <c r="C464" s="8" t="str">
        <f aca="false">IF(COUNT(H464,I464)&lt;2,"",TEXT(H464,"0.00")&amp;" x "&amp;TEXT(I464,"0.00"))</f>
        <v>4.05 x 3.00</v>
      </c>
      <c r="D464" s="7" t="n">
        <f aca="false">IF(COUNT(H464,I464)&lt;2,"",ROUND(H464*I464,2))</f>
        <v>12.15</v>
      </c>
      <c r="E464" s="29" t="n">
        <v>25</v>
      </c>
      <c r="F464" s="32" t="n">
        <f aca="false">IF(D464="","",ROUND(D464*E464,1))</f>
        <v>303.8</v>
      </c>
      <c r="G464" s="24"/>
      <c r="H464" s="40" t="n">
        <v>4.05</v>
      </c>
      <c r="I464" s="40" t="n">
        <v>3</v>
      </c>
    </row>
    <row r="465" customFormat="false" ht="61.5" hidden="false" customHeight="true" outlineLevel="0" collapsed="false">
      <c r="A465" s="8"/>
      <c r="B465" s="39" t="s">
        <v>408</v>
      </c>
      <c r="C465" s="8" t="str">
        <f aca="false">IF(COUNT(H465,I465)&lt;2,"",TEXT(H465,"0.00")&amp;" x "&amp;TEXT(I465,"0.00"))</f>
        <v>3.50 x 3.00</v>
      </c>
      <c r="D465" s="7" t="n">
        <f aca="false">IF(COUNT(H465,I465)&lt;2,"",ROUND(H465*I465,2))</f>
        <v>10.5</v>
      </c>
      <c r="E465" s="29" t="n">
        <v>25</v>
      </c>
      <c r="F465" s="32" t="n">
        <f aca="false">IF(D465="","",ROUND(D465*E465,1))</f>
        <v>262.5</v>
      </c>
      <c r="G465" s="24"/>
      <c r="H465" s="40" t="n">
        <v>3.5</v>
      </c>
      <c r="I465" s="40" t="n">
        <v>3</v>
      </c>
    </row>
    <row r="466" customFormat="false" ht="39" hidden="false" customHeight="true" outlineLevel="0" collapsed="false">
      <c r="A466" s="19" t="s">
        <v>409</v>
      </c>
      <c r="B466" s="38" t="s">
        <v>410</v>
      </c>
      <c r="C466" s="8"/>
      <c r="D466" s="8"/>
      <c r="E466" s="8"/>
      <c r="F466" s="8"/>
      <c r="G466" s="24"/>
      <c r="H466" s="24"/>
      <c r="I466" s="24"/>
    </row>
    <row r="467" customFormat="false" ht="61.5" hidden="false" customHeight="true" outlineLevel="0" collapsed="false">
      <c r="A467" s="8"/>
      <c r="B467" s="39" t="s">
        <v>411</v>
      </c>
      <c r="C467" s="8"/>
      <c r="D467" s="7" t="str">
        <f aca="false">IF(COUNT(H467,I467)&lt;2,"",ROUND(H467*I467,2))</f>
        <v/>
      </c>
      <c r="E467" s="29" t="n">
        <v>30</v>
      </c>
      <c r="F467" s="32" t="str">
        <f aca="false">IF(D467="","",ROUND(D467*E467,1))</f>
        <v/>
      </c>
      <c r="G467" s="24"/>
      <c r="H467" s="40"/>
      <c r="I467" s="40"/>
    </row>
    <row r="468" customFormat="false" ht="39" hidden="false" customHeight="true" outlineLevel="0" collapsed="false">
      <c r="A468" s="8"/>
      <c r="B468" s="39" t="s">
        <v>412</v>
      </c>
      <c r="C468" s="8" t="s">
        <v>414</v>
      </c>
      <c r="D468" s="7" t="n">
        <v>14.17</v>
      </c>
      <c r="E468" s="29" t="n">
        <v>20</v>
      </c>
      <c r="F468" s="32" t="n">
        <f aca="false">IF(D468="","",ROUND(D468*E468,1))</f>
        <v>283.4</v>
      </c>
      <c r="G468" s="24"/>
      <c r="H468" s="40"/>
      <c r="I468" s="40"/>
    </row>
    <row r="469" customFormat="false" ht="61.5" hidden="false" customHeight="true" outlineLevel="0" collapsed="false">
      <c r="A469" s="8"/>
      <c r="B469" s="39" t="s">
        <v>413</v>
      </c>
      <c r="C469" s="8"/>
      <c r="D469" s="7" t="str">
        <f aca="false">IF(COUNT(H469,I469)&lt;2,"",ROUND(H469*I469,2))</f>
        <v/>
      </c>
      <c r="E469" s="29" t="n">
        <v>15</v>
      </c>
      <c r="F469" s="32" t="str">
        <f aca="false">IF(D469="","",ROUND(D469*E469,1))</f>
        <v/>
      </c>
      <c r="G469" s="24"/>
      <c r="H469" s="40"/>
      <c r="I469" s="40"/>
    </row>
    <row r="470" customFormat="false" ht="39" hidden="false" customHeight="true" outlineLevel="0" collapsed="false">
      <c r="A470" s="19" t="s">
        <v>415</v>
      </c>
      <c r="B470" s="38" t="s">
        <v>416</v>
      </c>
      <c r="C470" s="8"/>
      <c r="D470" s="8"/>
      <c r="E470" s="8"/>
      <c r="F470" s="8"/>
      <c r="G470" s="24"/>
      <c r="H470" s="24"/>
      <c r="I470" s="24"/>
    </row>
    <row r="471" customFormat="false" ht="61.5" hidden="false" customHeight="true" outlineLevel="0" collapsed="false">
      <c r="A471" s="8"/>
      <c r="B471" s="39" t="s">
        <v>417</v>
      </c>
      <c r="C471" s="8"/>
      <c r="D471" s="7" t="str">
        <f aca="false">IF(COUNT(H471,I471)&lt;2,"",ROUND(H471*I471,2))</f>
        <v/>
      </c>
      <c r="E471" s="29" t="n">
        <v>10</v>
      </c>
      <c r="F471" s="32" t="str">
        <f aca="false">IF(D471="","",ROUND(D471*E471,1))</f>
        <v/>
      </c>
      <c r="G471" s="24"/>
      <c r="H471" s="40"/>
      <c r="I471" s="40"/>
    </row>
    <row r="472" customFormat="false" ht="39" hidden="false" customHeight="true" outlineLevel="0" collapsed="false">
      <c r="A472" s="8"/>
      <c r="B472" s="39" t="s">
        <v>418</v>
      </c>
      <c r="C472" s="8" t="s">
        <v>414</v>
      </c>
      <c r="D472" s="7" t="n">
        <v>14.17</v>
      </c>
      <c r="E472" s="29" t="n">
        <v>15</v>
      </c>
      <c r="F472" s="32" t="n">
        <f aca="false">IF(D472="","",ROUND(D472*E472,1))</f>
        <v>212.6</v>
      </c>
      <c r="G472" s="24"/>
      <c r="H472" s="40"/>
      <c r="I472" s="40"/>
    </row>
    <row r="473" customFormat="false" ht="39" hidden="false" customHeight="true" outlineLevel="0" collapsed="false">
      <c r="A473" s="19" t="s">
        <v>419</v>
      </c>
      <c r="B473" s="38" t="s">
        <v>420</v>
      </c>
      <c r="C473" s="8"/>
      <c r="D473" s="19" t="s">
        <v>421</v>
      </c>
      <c r="E473" s="8"/>
      <c r="F473" s="8"/>
      <c r="G473" s="24"/>
      <c r="H473" s="24"/>
      <c r="I473" s="24"/>
    </row>
    <row r="474" customFormat="false" ht="61.5" hidden="false" customHeight="true" outlineLevel="0" collapsed="false">
      <c r="A474" s="8"/>
      <c r="B474" s="39" t="s">
        <v>422</v>
      </c>
      <c r="C474" s="8"/>
      <c r="D474" s="7" t="str">
        <f aca="false">IF(COUNT(H474,I474)&lt;2,"",ROUND(H474*I474,2))</f>
        <v/>
      </c>
      <c r="E474" s="29" t="n">
        <v>6</v>
      </c>
      <c r="F474" s="32" t="str">
        <f aca="false">IF(D474="","",ROUND(D474*E474,1))</f>
        <v/>
      </c>
      <c r="G474" s="24"/>
      <c r="H474" s="40"/>
      <c r="I474" s="40"/>
    </row>
    <row r="475" customFormat="false" ht="39" hidden="false" customHeight="true" outlineLevel="0" collapsed="false">
      <c r="A475" s="8"/>
      <c r="B475" s="39" t="s">
        <v>423</v>
      </c>
      <c r="C475" s="8" t="s">
        <v>482</v>
      </c>
      <c r="D475" s="7" t="n">
        <v>42.51</v>
      </c>
      <c r="E475" s="29" t="n">
        <v>9</v>
      </c>
      <c r="F475" s="32" t="n">
        <f aca="false">IF(D475="","",ROUND(D475*E475,1))</f>
        <v>382.6</v>
      </c>
      <c r="G475" s="24"/>
      <c r="H475" s="40"/>
      <c r="I475" s="40"/>
    </row>
    <row r="476" customFormat="false" ht="61.5" hidden="false" customHeight="true" outlineLevel="0" collapsed="false">
      <c r="A476" s="8"/>
      <c r="B476" s="39" t="s">
        <v>425</v>
      </c>
      <c r="C476" s="8"/>
      <c r="D476" s="7" t="str">
        <f aca="false">IF(COUNT(H476,I476)&lt;2,"",ROUND(H476*I476,2))</f>
        <v/>
      </c>
      <c r="E476" s="29" t="n">
        <v>12</v>
      </c>
      <c r="F476" s="32" t="str">
        <f aca="false">IF(D476="","",ROUND(D476*E476,1))</f>
        <v/>
      </c>
      <c r="G476" s="24"/>
      <c r="H476" s="40"/>
      <c r="I476" s="40"/>
    </row>
    <row r="477" customFormat="false" ht="69.75" hidden="false" customHeight="true" outlineLevel="0" collapsed="false">
      <c r="A477" s="19" t="s">
        <v>426</v>
      </c>
      <c r="B477" s="38" t="s">
        <v>427</v>
      </c>
      <c r="C477" s="8"/>
      <c r="D477" s="8"/>
      <c r="E477" s="8"/>
      <c r="F477" s="41" t="n">
        <f aca="false">IF(F460="",0,F460)+IF(F462="",0,F462)+IF(F463="",0,F463)+IF(F464="",0,F464)+IF(F465="",0,F465)+IF(F467="",0,F467)+IF(F468="",0,F468)+IF(F469="",0,F469)+IF(F471="",0,F471)+IF(F472="",0,F472)+IF(F474="",0,F474)+IF(F475="",0,F475)+IF(F476="",0,F476)</f>
        <v>2268.7</v>
      </c>
      <c r="G477" s="24"/>
      <c r="H477" s="24"/>
      <c r="I477" s="24"/>
    </row>
    <row r="478" customFormat="false" ht="46.5" hidden="false" customHeight="true" outlineLevel="0" collapsed="false">
      <c r="A478" s="19" t="s">
        <v>428</v>
      </c>
      <c r="B478" s="38" t="s">
        <v>429</v>
      </c>
      <c r="C478" s="42" t="str">
        <f aca="false">TEXT(F477,"0.00")&amp;"  X  "&amp;Datos_balance!$B$4&amp;" (FI)  X  "&amp;Datos_balance!$B$5&amp;" (FO)  X  "&amp;Datos_balance!$B$6&amp;" (FZ)"</f>
        <v>2268.70  X  1.07 (FI)  X  1 (FO)  X  1 (FZ)</v>
      </c>
      <c r="D478" s="42"/>
      <c r="E478" s="42"/>
      <c r="F478" s="41" t="n">
        <f aca="false">ROUND(F477*Datos_balance!$B$4*Datos_balance!$B$5*Datos_balance!$B$6,1)</f>
        <v>2427.5</v>
      </c>
      <c r="G478" s="24"/>
      <c r="H478" s="24"/>
      <c r="I478" s="24"/>
    </row>
    <row r="479" customFormat="false" ht="39" hidden="false" customHeight="true" outlineLevel="0" collapsed="false">
      <c r="A479" s="8"/>
      <c r="B479" s="10" t="s">
        <v>430</v>
      </c>
      <c r="C479" s="42"/>
      <c r="D479" s="42"/>
      <c r="E479" s="42"/>
      <c r="F479" s="32"/>
      <c r="G479" s="24"/>
      <c r="H479" s="24"/>
      <c r="I479" s="24"/>
    </row>
    <row r="480" customFormat="false" ht="39" hidden="false" customHeight="true" outlineLevel="0" collapsed="false">
      <c r="A480" s="8"/>
      <c r="B480" s="38" t="s">
        <v>431</v>
      </c>
      <c r="C480" s="42"/>
      <c r="D480" s="42"/>
      <c r="E480" s="42"/>
      <c r="F480" s="41" t="n">
        <f aca="false">F478+IF(F479="",0,F479)</f>
        <v>2427.5</v>
      </c>
      <c r="G480" s="24"/>
      <c r="H480" s="24"/>
      <c r="I480" s="24"/>
    </row>
    <row r="481" customFormat="false" ht="15" hidden="false" customHeight="false" outlineLevel="0" collapsed="false">
      <c r="A481" s="24"/>
      <c r="B481" s="24"/>
      <c r="C481" s="24"/>
      <c r="D481" s="24"/>
      <c r="E481" s="24"/>
      <c r="F481" s="24"/>
      <c r="G481" s="24"/>
      <c r="H481" s="24"/>
      <c r="I481" s="24"/>
    </row>
    <row r="482" customFormat="false" ht="61.5" hidden="false" customHeight="true" outlineLevel="0" collapsed="false">
      <c r="A482" s="8"/>
      <c r="B482" s="10" t="s">
        <v>432</v>
      </c>
      <c r="C482" s="42" t="str">
        <f aca="false">TEXT((Datos_balance!$B$9+Datos_balance!$B$10)/2,"0")&amp;" - "&amp;TEXT(Datos_balance!$B$11,"0")&amp;" = "&amp;TEXT((Datos_balance!$B$9+Datos_balance!$B$10)/2-Datos_balance!$B$11,"0")&amp;" C"</f>
        <v>86 - 20 = 66 C</v>
      </c>
      <c r="D482" s="42"/>
      <c r="E482" s="42"/>
      <c r="F482" s="8"/>
      <c r="G482" s="24"/>
      <c r="H482" s="24"/>
      <c r="I482" s="24"/>
    </row>
    <row r="483" customFormat="false" ht="39" hidden="false" customHeight="true" outlineLevel="0" collapsed="false">
      <c r="A483" s="8"/>
      <c r="B483" s="10" t="s">
        <v>433</v>
      </c>
      <c r="C483" s="43" t="n">
        <f aca="false">ROUND(Datos_balance!$B$14*Datos_balance!$B$15,2)</f>
        <v>274.4</v>
      </c>
      <c r="D483" s="43"/>
      <c r="E483" s="43"/>
      <c r="F483" s="8"/>
      <c r="G483" s="24"/>
      <c r="H483" s="24"/>
      <c r="I483" s="24"/>
    </row>
    <row r="484" customFormat="false" ht="39" hidden="false" customHeight="true" outlineLevel="0" collapsed="false">
      <c r="A484" s="8"/>
      <c r="B484" s="10" t="s">
        <v>434</v>
      </c>
      <c r="C484" s="44" t="n">
        <f aca="false">ROUNDUP(F480/(Datos_balance!$B$14*Datos_balance!$B$15),0)</f>
        <v>9</v>
      </c>
      <c r="D484" s="44"/>
      <c r="E484" s="44"/>
      <c r="F484" s="8"/>
      <c r="G484" s="24"/>
      <c r="H484" s="24"/>
      <c r="I484" s="24"/>
    </row>
    <row r="485" customFormat="false" ht="39" hidden="false" customHeight="true" outlineLevel="0" collapsed="false">
      <c r="A485" s="8"/>
      <c r="B485" s="10" t="s">
        <v>435</v>
      </c>
      <c r="C485" s="44" t="n">
        <f aca="false">ROUNDUP(F480/(Datos_balance!$B$14*Datos_balance!$B$15),0)*Datos_balance!$B$16</f>
        <v>72</v>
      </c>
      <c r="D485" s="44"/>
      <c r="E485" s="44"/>
      <c r="F485" s="8"/>
      <c r="G485" s="24"/>
      <c r="H485" s="24"/>
      <c r="I485" s="24"/>
    </row>
    <row r="486" customFormat="false" ht="39" hidden="false" customHeight="true" outlineLevel="0" collapsed="false">
      <c r="A486" s="13"/>
      <c r="B486" s="15" t="s">
        <v>436</v>
      </c>
      <c r="C486" s="14" t="str">
        <f aca="false">Datos_balance!$B$13</f>
        <v>Peisa Tropical 80-500</v>
      </c>
      <c r="D486" s="14"/>
      <c r="E486" s="14"/>
      <c r="F486" s="13"/>
      <c r="G486" s="24"/>
      <c r="H486" s="24"/>
      <c r="I486" s="24"/>
    </row>
    <row r="487" customFormat="false" ht="15" hidden="false" customHeight="false" outlineLevel="0" collapsed="false">
      <c r="A487" s="24"/>
      <c r="B487" s="24"/>
      <c r="C487" s="24"/>
      <c r="D487" s="24"/>
      <c r="E487" s="24"/>
      <c r="F487" s="24"/>
      <c r="G487" s="24"/>
      <c r="H487" s="24"/>
      <c r="I487" s="24"/>
    </row>
    <row r="488" customFormat="false" ht="39" hidden="false" customHeight="true" outlineLevel="0" collapsed="false">
      <c r="A488" s="24"/>
      <c r="B488" s="45" t="s">
        <v>483</v>
      </c>
      <c r="C488" s="24"/>
      <c r="D488" s="24"/>
      <c r="E488" s="24"/>
      <c r="F488" s="24"/>
      <c r="G488" s="24"/>
      <c r="H488" s="24"/>
      <c r="I488" s="24"/>
    </row>
    <row r="489" customFormat="false" ht="39" hidden="false" customHeight="true" outlineLevel="0" collapsed="false">
      <c r="A489" s="24"/>
      <c r="B489" s="24"/>
      <c r="C489" s="24"/>
      <c r="D489" s="24"/>
      <c r="E489" s="24"/>
      <c r="F489" s="24"/>
      <c r="G489" s="24"/>
      <c r="H489" s="24"/>
      <c r="I489" s="24"/>
    </row>
    <row r="490" customFormat="false" ht="39" hidden="false" customHeight="true" outlineLevel="0" collapsed="false">
      <c r="A490" s="24"/>
      <c r="B490" s="24"/>
      <c r="C490" s="24"/>
      <c r="D490" s="24"/>
      <c r="E490" s="24"/>
      <c r="F490" s="24"/>
      <c r="G490" s="24"/>
      <c r="H490" s="24"/>
      <c r="I490" s="24"/>
    </row>
    <row r="491" customFormat="false" ht="39" hidden="false" customHeight="true" outlineLevel="0" collapsed="false">
      <c r="A491" s="24"/>
      <c r="B491" s="24"/>
      <c r="C491" s="24"/>
      <c r="D491" s="24"/>
      <c r="E491" s="24"/>
      <c r="F491" s="24"/>
      <c r="G491" s="24"/>
      <c r="H491" s="24"/>
      <c r="I491" s="24"/>
    </row>
    <row r="492" customFormat="false" ht="39" hidden="false" customHeight="true" outlineLevel="0" collapsed="false">
      <c r="A492" s="24"/>
      <c r="B492" s="24"/>
      <c r="C492" s="24"/>
      <c r="D492" s="24"/>
      <c r="E492" s="24"/>
      <c r="F492" s="24"/>
      <c r="G492" s="24"/>
      <c r="H492" s="24"/>
      <c r="I492" s="24"/>
    </row>
    <row r="493" customFormat="false" ht="39" hidden="false" customHeight="true" outlineLevel="0" collapsed="false">
      <c r="A493" s="24"/>
      <c r="B493" s="24"/>
      <c r="C493" s="24"/>
      <c r="D493" s="24"/>
      <c r="E493" s="24"/>
      <c r="F493" s="24"/>
      <c r="G493" s="24"/>
      <c r="H493" s="24"/>
      <c r="I493" s="24"/>
    </row>
    <row r="494" customFormat="false" ht="39" hidden="false" customHeight="true" outlineLevel="0" collapsed="false">
      <c r="A494" s="24"/>
      <c r="B494" s="24"/>
      <c r="C494" s="24"/>
      <c r="D494" s="24"/>
      <c r="E494" s="24"/>
      <c r="F494" s="24"/>
      <c r="G494" s="24"/>
      <c r="H494" s="24"/>
      <c r="I494" s="24"/>
    </row>
    <row r="495" customFormat="false" ht="39" hidden="false" customHeight="true" outlineLevel="0" collapsed="false">
      <c r="A495" s="24"/>
      <c r="B495" s="24"/>
      <c r="C495" s="24"/>
      <c r="D495" s="24"/>
      <c r="E495" s="24"/>
      <c r="F495" s="24"/>
      <c r="G495" s="24"/>
      <c r="H495" s="24"/>
      <c r="I495" s="24"/>
    </row>
    <row r="496" customFormat="false" ht="39" hidden="false" customHeight="true" outlineLevel="0" collapsed="false">
      <c r="A496" s="24"/>
      <c r="B496" s="24"/>
      <c r="C496" s="24"/>
      <c r="D496" s="24"/>
      <c r="E496" s="24"/>
      <c r="F496" s="24"/>
      <c r="G496" s="24"/>
      <c r="H496" s="24"/>
      <c r="I496" s="24"/>
    </row>
    <row r="497" customFormat="false" ht="39" hidden="false" customHeight="true" outlineLevel="0" collapsed="false">
      <c r="A497" s="24"/>
      <c r="B497" s="24"/>
      <c r="C497" s="24"/>
      <c r="D497" s="24"/>
      <c r="E497" s="24"/>
      <c r="F497" s="24"/>
      <c r="G497" s="24"/>
      <c r="H497" s="24"/>
      <c r="I497" s="24"/>
    </row>
    <row r="498" customFormat="false" ht="15" hidden="false" customHeight="false" outlineLevel="0" collapsed="false">
      <c r="A498" s="24"/>
      <c r="B498" s="24"/>
      <c r="C498" s="24"/>
      <c r="D498" s="24"/>
      <c r="E498" s="24"/>
      <c r="F498" s="24"/>
      <c r="G498" s="24"/>
      <c r="H498" s="24"/>
      <c r="I498" s="24"/>
    </row>
    <row r="499" customFormat="false" ht="15" hidden="false" customHeight="false" outlineLevel="0" collapsed="false">
      <c r="A499" s="24"/>
      <c r="B499" s="24"/>
      <c r="C499" s="24"/>
      <c r="D499" s="24"/>
      <c r="E499" s="24"/>
      <c r="F499" s="24"/>
      <c r="G499" s="24"/>
      <c r="H499" s="24"/>
      <c r="I499" s="24"/>
    </row>
    <row r="500" customFormat="false" ht="15" hidden="false" customHeight="false" outlineLevel="0" collapsed="false">
      <c r="A500" s="24"/>
      <c r="B500" s="24"/>
      <c r="C500" s="24"/>
      <c r="D500" s="24"/>
      <c r="E500" s="24"/>
      <c r="F500" s="24"/>
      <c r="G500" s="24"/>
      <c r="H500" s="24"/>
      <c r="I500" s="24"/>
    </row>
    <row r="501" customFormat="false" ht="39" hidden="false" customHeight="true" outlineLevel="0" collapsed="false">
      <c r="A501" s="37" t="s">
        <v>484</v>
      </c>
      <c r="B501" s="37"/>
      <c r="C501" s="37"/>
      <c r="D501" s="37"/>
      <c r="E501" s="37"/>
      <c r="F501" s="37"/>
      <c r="G501" s="24"/>
      <c r="H501" s="24"/>
      <c r="I501" s="24"/>
    </row>
    <row r="502" customFormat="false" ht="39" hidden="false" customHeight="true" outlineLevel="0" collapsed="false">
      <c r="A502" s="2" t="s">
        <v>395</v>
      </c>
      <c r="B502" s="2" t="s">
        <v>396</v>
      </c>
      <c r="C502" s="2" t="s">
        <v>397</v>
      </c>
      <c r="D502" s="2" t="s">
        <v>398</v>
      </c>
      <c r="E502" s="2" t="s">
        <v>399</v>
      </c>
      <c r="F502" s="2" t="s">
        <v>400</v>
      </c>
      <c r="G502" s="24"/>
      <c r="H502" s="24"/>
      <c r="I502" s="24"/>
    </row>
    <row r="503" customFormat="false" ht="39" hidden="false" customHeight="true" outlineLevel="0" collapsed="false">
      <c r="A503" s="19" t="s">
        <v>401</v>
      </c>
      <c r="B503" s="38" t="s">
        <v>402</v>
      </c>
      <c r="C503" s="8"/>
      <c r="D503" s="8"/>
      <c r="E503" s="8"/>
      <c r="F503" s="8"/>
      <c r="G503" s="24"/>
      <c r="H503" s="24"/>
      <c r="I503" s="24"/>
    </row>
    <row r="504" customFormat="false" ht="61.5" hidden="false" customHeight="true" outlineLevel="0" collapsed="false">
      <c r="A504" s="8"/>
      <c r="B504" s="39" t="s">
        <v>60</v>
      </c>
      <c r="C504" s="8" t="str">
        <f aca="false">IF(COUNT(H504,I504)&lt;2,"",TEXT(H504,"0.00")&amp;" x "&amp;TEXT(I504,"0.00"))</f>
        <v>0.75 x 2.52</v>
      </c>
      <c r="D504" s="7" t="n">
        <f aca="false">IF(COUNT(H504,I504)&lt;2,"",ROUND(H504*I504,2))</f>
        <v>1.89</v>
      </c>
      <c r="E504" s="29" t="n">
        <v>60</v>
      </c>
      <c r="F504" s="32" t="n">
        <f aca="false">IF(D504="","",ROUND(D504*E504,1))</f>
        <v>113.4</v>
      </c>
      <c r="G504" s="24"/>
      <c r="H504" s="40" t="n">
        <v>0.75</v>
      </c>
      <c r="I504" s="40" t="n">
        <v>2.52</v>
      </c>
    </row>
    <row r="505" customFormat="false" ht="39" hidden="false" customHeight="true" outlineLevel="0" collapsed="false">
      <c r="A505" s="19" t="s">
        <v>403</v>
      </c>
      <c r="B505" s="38" t="s">
        <v>404</v>
      </c>
      <c r="C505" s="8"/>
      <c r="D505" s="8"/>
      <c r="E505" s="8"/>
      <c r="F505" s="8"/>
      <c r="G505" s="24"/>
      <c r="H505" s="24"/>
      <c r="I505" s="24"/>
    </row>
    <row r="506" customFormat="false" ht="61.5" hidden="false" customHeight="true" outlineLevel="0" collapsed="false">
      <c r="A506" s="8"/>
      <c r="B506" s="39" t="s">
        <v>456</v>
      </c>
      <c r="C506" s="8" t="str">
        <f aca="false">IF(COUNT(H506,I506)&lt;2,"",TEXT(H506,"0.00")&amp;" x "&amp;TEXT(I506,"0.00"))</f>
        <v>2.20 x 3.00</v>
      </c>
      <c r="D506" s="7" t="n">
        <f aca="false">IF(COUNT(H506,I506)&lt;2,"",ROUND(H506*I506,2))</f>
        <v>6.6</v>
      </c>
      <c r="E506" s="29" t="n">
        <v>20</v>
      </c>
      <c r="F506" s="32" t="n">
        <f aca="false">IF(D506="","",ROUND(D506*E506,1))</f>
        <v>132</v>
      </c>
      <c r="G506" s="24"/>
      <c r="H506" s="40" t="n">
        <v>2.2</v>
      </c>
      <c r="I506" s="40" t="n">
        <v>3</v>
      </c>
    </row>
    <row r="507" customFormat="false" ht="61.5" hidden="false" customHeight="true" outlineLevel="0" collapsed="false">
      <c r="A507" s="8"/>
      <c r="B507" s="39" t="s">
        <v>439</v>
      </c>
      <c r="C507" s="8" t="str">
        <f aca="false">IF(COUNT(H507,I507)&lt;2,"",TEXT(H507,"0.00")&amp;" x "&amp;TEXT(I507,"0.00"))</f>
        <v>1.60 x 3.00</v>
      </c>
      <c r="D507" s="7" t="n">
        <f aca="false">IF(COUNT(H507,I507)&lt;2,"",ROUND(H507*I507,2))</f>
        <v>4.8</v>
      </c>
      <c r="E507" s="29" t="n">
        <v>20</v>
      </c>
      <c r="F507" s="32" t="n">
        <f aca="false">IF(D507="","",ROUND(D507*E507,1))</f>
        <v>96</v>
      </c>
      <c r="G507" s="24"/>
      <c r="H507" s="40" t="n">
        <v>1.6</v>
      </c>
      <c r="I507" s="40" t="n">
        <v>3</v>
      </c>
    </row>
    <row r="508" customFormat="false" ht="61.5" hidden="false" customHeight="true" outlineLevel="0" collapsed="false">
      <c r="A508" s="8"/>
      <c r="B508" s="39" t="s">
        <v>442</v>
      </c>
      <c r="C508" s="8" t="str">
        <f aca="false">IF(COUNT(H508,I508)&lt;2,"",TEXT(H508,"0.00")&amp;" x "&amp;TEXT(I508,"0.00"))</f>
        <v>2.20 x 3.00</v>
      </c>
      <c r="D508" s="7" t="n">
        <f aca="false">IF(COUNT(H508,I508)&lt;2,"",ROUND(H508*I508,2))</f>
        <v>6.6</v>
      </c>
      <c r="E508" s="29" t="n">
        <v>25</v>
      </c>
      <c r="F508" s="32" t="n">
        <f aca="false">IF(D508="","",ROUND(D508*E508,1))</f>
        <v>165</v>
      </c>
      <c r="G508" s="24"/>
      <c r="H508" s="40" t="n">
        <v>2.2</v>
      </c>
      <c r="I508" s="40" t="n">
        <v>3</v>
      </c>
    </row>
    <row r="509" customFormat="false" ht="61.5" hidden="false" customHeight="true" outlineLevel="0" collapsed="false">
      <c r="A509" s="8"/>
      <c r="B509" s="39" t="s">
        <v>441</v>
      </c>
      <c r="C509" s="8" t="str">
        <f aca="false">IF(COUNT(H509,I509)&lt;2,"",TEXT(H509,"0.00")&amp;" x "&amp;TEXT(I509,"0.00"))</f>
        <v>1.60 x 3.00</v>
      </c>
      <c r="D509" s="7" t="n">
        <f aca="false">IF(COUNT(H509,I509)&lt;2,"",ROUND(H509*I509,2))</f>
        <v>4.8</v>
      </c>
      <c r="E509" s="29" t="n">
        <v>25</v>
      </c>
      <c r="F509" s="32" t="n">
        <f aca="false">IF(D509="","",ROUND(D509*E509,1))</f>
        <v>120</v>
      </c>
      <c r="G509" s="24"/>
      <c r="H509" s="40" t="n">
        <v>1.6</v>
      </c>
      <c r="I509" s="40" t="n">
        <v>3</v>
      </c>
    </row>
    <row r="510" customFormat="false" ht="39" hidden="false" customHeight="true" outlineLevel="0" collapsed="false">
      <c r="A510" s="19" t="s">
        <v>409</v>
      </c>
      <c r="B510" s="38" t="s">
        <v>410</v>
      </c>
      <c r="C510" s="8"/>
      <c r="D510" s="8"/>
      <c r="E510" s="8"/>
      <c r="F510" s="8"/>
      <c r="G510" s="24"/>
      <c r="H510" s="24"/>
      <c r="I510" s="24"/>
    </row>
    <row r="511" customFormat="false" ht="61.5" hidden="false" customHeight="true" outlineLevel="0" collapsed="false">
      <c r="A511" s="8"/>
      <c r="B511" s="39" t="s">
        <v>411</v>
      </c>
      <c r="C511" s="8"/>
      <c r="D511" s="7" t="str">
        <f aca="false">IF(COUNT(H511,I511)&lt;2,"",ROUND(H511*I511,2))</f>
        <v/>
      </c>
      <c r="E511" s="29" t="n">
        <v>30</v>
      </c>
      <c r="F511" s="32" t="str">
        <f aca="false">IF(D511="","",ROUND(D511*E511,1))</f>
        <v/>
      </c>
      <c r="G511" s="24"/>
      <c r="H511" s="40"/>
      <c r="I511" s="40"/>
    </row>
    <row r="512" customFormat="false" ht="39" hidden="false" customHeight="true" outlineLevel="0" collapsed="false">
      <c r="A512" s="8"/>
      <c r="B512" s="39" t="s">
        <v>412</v>
      </c>
      <c r="C512" s="8" t="s">
        <v>414</v>
      </c>
      <c r="D512" s="7" t="n">
        <v>3.52</v>
      </c>
      <c r="E512" s="29" t="n">
        <v>20</v>
      </c>
      <c r="F512" s="32" t="n">
        <f aca="false">IF(D512="","",ROUND(D512*E512,1))</f>
        <v>70.4</v>
      </c>
      <c r="G512" s="24"/>
      <c r="H512" s="40"/>
      <c r="I512" s="40"/>
    </row>
    <row r="513" customFormat="false" ht="61.5" hidden="false" customHeight="true" outlineLevel="0" collapsed="false">
      <c r="A513" s="8"/>
      <c r="B513" s="39" t="s">
        <v>413</v>
      </c>
      <c r="C513" s="8"/>
      <c r="D513" s="7" t="str">
        <f aca="false">IF(COUNT(H513,I513)&lt;2,"",ROUND(H513*I513,2))</f>
        <v/>
      </c>
      <c r="E513" s="29" t="n">
        <v>15</v>
      </c>
      <c r="F513" s="32" t="str">
        <f aca="false">IF(D513="","",ROUND(D513*E513,1))</f>
        <v/>
      </c>
      <c r="G513" s="24"/>
      <c r="H513" s="40"/>
      <c r="I513" s="40"/>
    </row>
    <row r="514" customFormat="false" ht="39" hidden="false" customHeight="true" outlineLevel="0" collapsed="false">
      <c r="A514" s="19" t="s">
        <v>415</v>
      </c>
      <c r="B514" s="38" t="s">
        <v>416</v>
      </c>
      <c r="C514" s="8"/>
      <c r="D514" s="8"/>
      <c r="E514" s="8"/>
      <c r="F514" s="8"/>
      <c r="G514" s="24"/>
      <c r="H514" s="24"/>
      <c r="I514" s="24"/>
    </row>
    <row r="515" customFormat="false" ht="61.5" hidden="false" customHeight="true" outlineLevel="0" collapsed="false">
      <c r="A515" s="8"/>
      <c r="B515" s="39" t="s">
        <v>417</v>
      </c>
      <c r="C515" s="8"/>
      <c r="D515" s="7" t="str">
        <f aca="false">IF(COUNT(H515,I515)&lt;2,"",ROUND(H515*I515,2))</f>
        <v/>
      </c>
      <c r="E515" s="29" t="n">
        <v>10</v>
      </c>
      <c r="F515" s="32" t="str">
        <f aca="false">IF(D515="","",ROUND(D515*E515,1))</f>
        <v/>
      </c>
      <c r="G515" s="24"/>
      <c r="H515" s="40"/>
      <c r="I515" s="40"/>
    </row>
    <row r="516" customFormat="false" ht="39" hidden="false" customHeight="true" outlineLevel="0" collapsed="false">
      <c r="A516" s="8"/>
      <c r="B516" s="39" t="s">
        <v>418</v>
      </c>
      <c r="C516" s="8" t="s">
        <v>414</v>
      </c>
      <c r="D516" s="7" t="n">
        <v>3.52</v>
      </c>
      <c r="E516" s="29" t="n">
        <v>15</v>
      </c>
      <c r="F516" s="32" t="n">
        <f aca="false">IF(D516="","",ROUND(D516*E516,1))</f>
        <v>52.8</v>
      </c>
      <c r="G516" s="24"/>
      <c r="H516" s="40"/>
      <c r="I516" s="40"/>
    </row>
    <row r="517" customFormat="false" ht="39" hidden="false" customHeight="true" outlineLevel="0" collapsed="false">
      <c r="A517" s="19" t="s">
        <v>419</v>
      </c>
      <c r="B517" s="38" t="s">
        <v>420</v>
      </c>
      <c r="C517" s="8"/>
      <c r="D517" s="19" t="s">
        <v>421</v>
      </c>
      <c r="E517" s="8"/>
      <c r="F517" s="8"/>
      <c r="G517" s="24"/>
      <c r="H517" s="24"/>
      <c r="I517" s="24"/>
    </row>
    <row r="518" customFormat="false" ht="61.5" hidden="false" customHeight="true" outlineLevel="0" collapsed="false">
      <c r="A518" s="8"/>
      <c r="B518" s="39" t="s">
        <v>422</v>
      </c>
      <c r="C518" s="8"/>
      <c r="D518" s="7" t="str">
        <f aca="false">IF(COUNT(H518,I518)&lt;2,"",ROUND(H518*I518,2))</f>
        <v/>
      </c>
      <c r="E518" s="29" t="n">
        <v>6</v>
      </c>
      <c r="F518" s="32" t="str">
        <f aca="false">IF(D518="","",ROUND(D518*E518,1))</f>
        <v/>
      </c>
      <c r="G518" s="24"/>
      <c r="H518" s="40"/>
      <c r="I518" s="40"/>
    </row>
    <row r="519" customFormat="false" ht="39" hidden="false" customHeight="true" outlineLevel="0" collapsed="false">
      <c r="A519" s="8"/>
      <c r="B519" s="39" t="s">
        <v>423</v>
      </c>
      <c r="C519" s="8" t="s">
        <v>485</v>
      </c>
      <c r="D519" s="7" t="n">
        <v>10.56</v>
      </c>
      <c r="E519" s="29" t="n">
        <v>9</v>
      </c>
      <c r="F519" s="32" t="n">
        <f aca="false">IF(D519="","",ROUND(D519*E519,1))</f>
        <v>95</v>
      </c>
      <c r="G519" s="24"/>
      <c r="H519" s="40"/>
      <c r="I519" s="40"/>
    </row>
    <row r="520" customFormat="false" ht="61.5" hidden="false" customHeight="true" outlineLevel="0" collapsed="false">
      <c r="A520" s="8"/>
      <c r="B520" s="39" t="s">
        <v>425</v>
      </c>
      <c r="C520" s="8"/>
      <c r="D520" s="7" t="str">
        <f aca="false">IF(COUNT(H520,I520)&lt;2,"",ROUND(H520*I520,2))</f>
        <v/>
      </c>
      <c r="E520" s="29" t="n">
        <v>12</v>
      </c>
      <c r="F520" s="32" t="str">
        <f aca="false">IF(D520="","",ROUND(D520*E520,1))</f>
        <v/>
      </c>
      <c r="G520" s="24"/>
      <c r="H520" s="40"/>
      <c r="I520" s="40"/>
    </row>
    <row r="521" customFormat="false" ht="69.75" hidden="false" customHeight="true" outlineLevel="0" collapsed="false">
      <c r="A521" s="19" t="s">
        <v>426</v>
      </c>
      <c r="B521" s="38" t="s">
        <v>427</v>
      </c>
      <c r="C521" s="8"/>
      <c r="D521" s="8"/>
      <c r="E521" s="8"/>
      <c r="F521" s="41" t="n">
        <f aca="false">IF(F504="",0,F504)+IF(F506="",0,F506)+IF(F507="",0,F507)+IF(F508="",0,F508)+IF(F509="",0,F509)+IF(F511="",0,F511)+IF(F512="",0,F512)+IF(F513="",0,F513)+IF(F515="",0,F515)+IF(F516="",0,F516)+IF(F518="",0,F518)+IF(F519="",0,F519)+IF(F520="",0,F520)</f>
        <v>844.6</v>
      </c>
      <c r="G521" s="24"/>
      <c r="H521" s="24"/>
      <c r="I521" s="24"/>
    </row>
    <row r="522" customFormat="false" ht="46.5" hidden="false" customHeight="true" outlineLevel="0" collapsed="false">
      <c r="A522" s="19" t="s">
        <v>428</v>
      </c>
      <c r="B522" s="38" t="s">
        <v>429</v>
      </c>
      <c r="C522" s="42" t="str">
        <f aca="false">TEXT(F521,"0.00")&amp;"  X  "&amp;Datos_balance!$B$4&amp;" (FI)  X  "&amp;Datos_balance!$B$5&amp;" (FO)  X  "&amp;Datos_balance!$B$6&amp;" (FZ)"</f>
        <v>844.60  X  1.07 (FI)  X  1 (FO)  X  1 (FZ)</v>
      </c>
      <c r="D522" s="42"/>
      <c r="E522" s="42"/>
      <c r="F522" s="41" t="n">
        <f aca="false">ROUND(F521*Datos_balance!$B$4*Datos_balance!$B$5*Datos_balance!$B$6,1)</f>
        <v>903.7</v>
      </c>
      <c r="G522" s="24"/>
      <c r="H522" s="24"/>
      <c r="I522" s="24"/>
    </row>
    <row r="523" customFormat="false" ht="39" hidden="false" customHeight="true" outlineLevel="0" collapsed="false">
      <c r="A523" s="8"/>
      <c r="B523" s="10" t="s">
        <v>430</v>
      </c>
      <c r="C523" s="42"/>
      <c r="D523" s="42"/>
      <c r="E523" s="42"/>
      <c r="F523" s="32"/>
      <c r="G523" s="24"/>
      <c r="H523" s="24"/>
      <c r="I523" s="24"/>
    </row>
    <row r="524" customFormat="false" ht="39" hidden="false" customHeight="true" outlineLevel="0" collapsed="false">
      <c r="A524" s="8"/>
      <c r="B524" s="38" t="s">
        <v>431</v>
      </c>
      <c r="C524" s="42"/>
      <c r="D524" s="42"/>
      <c r="E524" s="42"/>
      <c r="F524" s="41" t="n">
        <f aca="false">F522+IF(F523="",0,F523)</f>
        <v>903.7</v>
      </c>
      <c r="G524" s="24"/>
      <c r="H524" s="24"/>
      <c r="I524" s="24"/>
    </row>
    <row r="525" customFormat="false" ht="15" hidden="false" customHeight="false" outlineLevel="0" collapsed="false">
      <c r="A525" s="24"/>
      <c r="B525" s="24"/>
      <c r="C525" s="24"/>
      <c r="D525" s="24"/>
      <c r="E525" s="24"/>
      <c r="F525" s="24"/>
      <c r="G525" s="24"/>
      <c r="H525" s="24"/>
      <c r="I525" s="24"/>
    </row>
    <row r="526" customFormat="false" ht="61.5" hidden="false" customHeight="true" outlineLevel="0" collapsed="false">
      <c r="A526" s="8"/>
      <c r="B526" s="10" t="s">
        <v>432</v>
      </c>
      <c r="C526" s="42" t="str">
        <f aca="false">TEXT((Datos_balance!$B$9+Datos_balance!$B$10)/2,"0")&amp;" - "&amp;TEXT(Datos_balance!$B$11,"0")&amp;" = "&amp;TEXT((Datos_balance!$B$9+Datos_balance!$B$10)/2-Datos_balance!$B$11,"0")&amp;" C"</f>
        <v>86 - 20 = 66 C</v>
      </c>
      <c r="D526" s="42"/>
      <c r="E526" s="42"/>
      <c r="F526" s="8"/>
      <c r="G526" s="24"/>
      <c r="H526" s="24"/>
      <c r="I526" s="24"/>
    </row>
    <row r="527" customFormat="false" ht="39" hidden="false" customHeight="true" outlineLevel="0" collapsed="false">
      <c r="A527" s="8"/>
      <c r="B527" s="10" t="s">
        <v>466</v>
      </c>
      <c r="C527" s="44" t="n">
        <f aca="false">ROUND(Datos_balance!$B$18*Datos_balance!$B$15,0)</f>
        <v>708</v>
      </c>
      <c r="D527" s="44"/>
      <c r="E527" s="44"/>
      <c r="F527" s="8"/>
      <c r="G527" s="24"/>
      <c r="H527" s="24"/>
      <c r="I527" s="24"/>
    </row>
    <row r="528" customFormat="false" ht="39" hidden="false" customHeight="true" outlineLevel="0" collapsed="false">
      <c r="A528" s="8"/>
      <c r="B528" s="10" t="s">
        <v>467</v>
      </c>
      <c r="C528" s="44" t="n">
        <f aca="false">ROUND(Datos_balance!$B$19*Datos_balance!$B$15,0)</f>
        <v>1315</v>
      </c>
      <c r="D528" s="44"/>
      <c r="E528" s="44"/>
      <c r="F528" s="8"/>
      <c r="G528" s="24"/>
      <c r="H528" s="24"/>
      <c r="I528" s="24"/>
    </row>
    <row r="529" customFormat="false" ht="46.5" hidden="false" customHeight="true" outlineLevel="0" collapsed="false">
      <c r="A529" s="8"/>
      <c r="B529" s="10" t="s">
        <v>468</v>
      </c>
      <c r="C529" s="44" t="n">
        <f aca="false">IF(F524&lt;=Datos_balance!$B$18*Datos_balance!$B$15,1,ROUNDUP(F524/(Datos_balance!$B$19*Datos_balance!$B$15),0))</f>
        <v>1</v>
      </c>
      <c r="D529" s="44"/>
      <c r="E529" s="44"/>
      <c r="F529" s="8"/>
      <c r="G529" s="24"/>
      <c r="H529" s="24"/>
      <c r="I529" s="24"/>
    </row>
    <row r="530" customFormat="false" ht="46.5" hidden="false" customHeight="true" outlineLevel="0" collapsed="false">
      <c r="A530" s="13"/>
      <c r="B530" s="15" t="s">
        <v>469</v>
      </c>
      <c r="C530" s="14" t="str">
        <f aca="false">IF(F524&lt;=Datos_balance!$B$18*Datos_balance!$B$15,"Peisa Scala / Domino 80  (500 x 800 mm)","Peisa Scala / Domino 150  (500 x 1500 mm)")</f>
        <v>Peisa Scala / Domino 150  (500 x 1500 mm)</v>
      </c>
      <c r="D530" s="14"/>
      <c r="E530" s="14"/>
      <c r="F530" s="13"/>
      <c r="G530" s="24"/>
      <c r="H530" s="24"/>
      <c r="I530" s="24"/>
    </row>
    <row r="531" customFormat="false" ht="15" hidden="false" customHeight="false" outlineLevel="0" collapsed="false">
      <c r="A531" s="24"/>
      <c r="B531" s="24"/>
      <c r="C531" s="24"/>
      <c r="D531" s="24"/>
      <c r="E531" s="24"/>
      <c r="F531" s="24"/>
      <c r="G531" s="24"/>
      <c r="H531" s="24"/>
      <c r="I531" s="24"/>
    </row>
    <row r="532" customFormat="false" ht="39" hidden="false" customHeight="true" outlineLevel="0" collapsed="false">
      <c r="A532" s="24"/>
      <c r="B532" s="45" t="s">
        <v>486</v>
      </c>
      <c r="C532" s="24"/>
      <c r="D532" s="24"/>
      <c r="E532" s="24"/>
      <c r="F532" s="24"/>
      <c r="G532" s="24"/>
      <c r="H532" s="24"/>
      <c r="I532" s="24"/>
    </row>
    <row r="533" customFormat="false" ht="39" hidden="false" customHeight="true" outlineLevel="0" collapsed="false"/>
    <row r="534" customFormat="false" ht="39" hidden="false" customHeight="true" outlineLevel="0" collapsed="false"/>
    <row r="535" customFormat="false" ht="39" hidden="false" customHeight="true" outlineLevel="0" collapsed="false"/>
    <row r="536" customFormat="false" ht="39" hidden="false" customHeight="true" outlineLevel="0" collapsed="false"/>
    <row r="537" customFormat="false" ht="39" hidden="false" customHeight="true" outlineLevel="0" collapsed="false"/>
    <row r="538" customFormat="false" ht="39" hidden="false" customHeight="true" outlineLevel="0" collapsed="false"/>
    <row r="539" customFormat="false" ht="39" hidden="false" customHeight="true" outlineLevel="0" collapsed="false"/>
    <row r="540" customFormat="false" ht="39" hidden="false" customHeight="true" outlineLevel="0" collapsed="false"/>
    <row r="541" customFormat="false" ht="39" hidden="false" customHeight="true" outlineLevel="0" collapsed="false"/>
  </sheetData>
  <mergeCells count="101">
    <mergeCell ref="A1:F1"/>
    <mergeCell ref="A3:F3"/>
    <mergeCell ref="C27:E27"/>
    <mergeCell ref="C28:E28"/>
    <mergeCell ref="C29:E29"/>
    <mergeCell ref="C31:E31"/>
    <mergeCell ref="C32:E32"/>
    <mergeCell ref="C33:E33"/>
    <mergeCell ref="C34:E34"/>
    <mergeCell ref="C35:E35"/>
    <mergeCell ref="A51:F51"/>
    <mergeCell ref="C74:E74"/>
    <mergeCell ref="C75:E75"/>
    <mergeCell ref="C76:E76"/>
    <mergeCell ref="C78:E78"/>
    <mergeCell ref="C79:E79"/>
    <mergeCell ref="C80:E80"/>
    <mergeCell ref="C81:E81"/>
    <mergeCell ref="C82:E82"/>
    <mergeCell ref="A98:F98"/>
    <mergeCell ref="C120:E120"/>
    <mergeCell ref="C121:E121"/>
    <mergeCell ref="C122:E122"/>
    <mergeCell ref="C124:E124"/>
    <mergeCell ref="A140:F140"/>
    <mergeCell ref="C164:E164"/>
    <mergeCell ref="C165:E165"/>
    <mergeCell ref="C166:E166"/>
    <mergeCell ref="C168:E168"/>
    <mergeCell ref="C169:E169"/>
    <mergeCell ref="C170:E170"/>
    <mergeCell ref="C171:E171"/>
    <mergeCell ref="C172:E172"/>
    <mergeCell ref="A188:F188"/>
    <mergeCell ref="C209:E209"/>
    <mergeCell ref="C210:E210"/>
    <mergeCell ref="C211:E211"/>
    <mergeCell ref="C213:E213"/>
    <mergeCell ref="A228:F228"/>
    <mergeCell ref="C251:E251"/>
    <mergeCell ref="C252:E252"/>
    <mergeCell ref="C253:E253"/>
    <mergeCell ref="C255:E255"/>
    <mergeCell ref="C256:E256"/>
    <mergeCell ref="C257:E257"/>
    <mergeCell ref="C258:E258"/>
    <mergeCell ref="C259:E259"/>
    <mergeCell ref="A275:F275"/>
    <mergeCell ref="C297:E297"/>
    <mergeCell ref="C298:E298"/>
    <mergeCell ref="C299:E299"/>
    <mergeCell ref="C301:E301"/>
    <mergeCell ref="C302:E302"/>
    <mergeCell ref="C303:E303"/>
    <mergeCell ref="C304:E304"/>
    <mergeCell ref="C305:E305"/>
    <mergeCell ref="A321:F321"/>
    <mergeCell ref="C343:E343"/>
    <mergeCell ref="C344:E344"/>
    <mergeCell ref="C345:E345"/>
    <mergeCell ref="C347:E347"/>
    <mergeCell ref="C348:E348"/>
    <mergeCell ref="C349:E349"/>
    <mergeCell ref="C350:E350"/>
    <mergeCell ref="C351:E351"/>
    <mergeCell ref="A367:F367"/>
    <mergeCell ref="C390:E390"/>
    <mergeCell ref="C391:E391"/>
    <mergeCell ref="C392:E392"/>
    <mergeCell ref="C394:E394"/>
    <mergeCell ref="C395:E395"/>
    <mergeCell ref="C396:E396"/>
    <mergeCell ref="C397:E397"/>
    <mergeCell ref="C398:E398"/>
    <mergeCell ref="A413:F413"/>
    <mergeCell ref="C434:E434"/>
    <mergeCell ref="C435:E435"/>
    <mergeCell ref="C436:E436"/>
    <mergeCell ref="C438:E438"/>
    <mergeCell ref="C439:E439"/>
    <mergeCell ref="C440:E440"/>
    <mergeCell ref="C441:E441"/>
    <mergeCell ref="C442:E442"/>
    <mergeCell ref="A457:F457"/>
    <mergeCell ref="C478:E478"/>
    <mergeCell ref="C479:E479"/>
    <mergeCell ref="C480:E480"/>
    <mergeCell ref="C482:E482"/>
    <mergeCell ref="C483:E483"/>
    <mergeCell ref="C484:E484"/>
    <mergeCell ref="C485:E485"/>
    <mergeCell ref="C486:E486"/>
    <mergeCell ref="A501:F501"/>
    <mergeCell ref="C522:E522"/>
    <mergeCell ref="C523:E523"/>
    <mergeCell ref="C524:E524"/>
    <mergeCell ref="C526:E526"/>
    <mergeCell ref="C527:E527"/>
    <mergeCell ref="C528:E528"/>
    <mergeCell ref="C529:E529"/>
    <mergeCell ref="C530:E530"/>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5.9"/>
    <col collapsed="false" customWidth="true" hidden="false" outlineLevel="0" max="2" min="2" style="0" width="17.61"/>
    <col collapsed="false" customWidth="true" hidden="false" outlineLevel="0" max="3" min="3" style="0" width="13.5"/>
    <col collapsed="false" customWidth="true" hidden="false" outlineLevel="0" max="5" min="4" style="0" width="20.2"/>
    <col collapsed="false" customWidth="true" hidden="false" outlineLevel="0" max="6" min="6" style="0" width="75.61"/>
  </cols>
  <sheetData>
    <row r="1" customFormat="false" ht="39" hidden="false" customHeight="true" outlineLevel="0" collapsed="false">
      <c r="A1" s="25" t="s">
        <v>487</v>
      </c>
      <c r="B1" s="24"/>
      <c r="C1" s="24"/>
      <c r="D1" s="24"/>
      <c r="E1" s="24"/>
      <c r="F1" s="24"/>
    </row>
    <row r="2" customFormat="false" ht="39" hidden="false" customHeight="true" outlineLevel="0" collapsed="false">
      <c r="A2" s="26" t="s">
        <v>488</v>
      </c>
      <c r="B2" s="24"/>
      <c r="C2" s="24"/>
      <c r="D2" s="24"/>
      <c r="E2" s="24"/>
      <c r="F2" s="24"/>
    </row>
    <row r="3" customFormat="false" ht="15" hidden="false" customHeight="false" outlineLevel="0" collapsed="false">
      <c r="A3" s="24"/>
      <c r="B3" s="24"/>
      <c r="C3" s="24"/>
      <c r="D3" s="24"/>
      <c r="E3" s="24"/>
      <c r="F3" s="24"/>
    </row>
    <row r="4" customFormat="false" ht="39" hidden="false" customHeight="true" outlineLevel="0" collapsed="false">
      <c r="A4" s="47" t="s">
        <v>489</v>
      </c>
      <c r="B4" s="2" t="s">
        <v>490</v>
      </c>
      <c r="C4" s="2" t="s">
        <v>491</v>
      </c>
      <c r="D4" s="24"/>
      <c r="E4" s="24"/>
      <c r="F4" s="24"/>
    </row>
    <row r="5" customFormat="false" ht="39" hidden="false" customHeight="true" outlineLevel="0" collapsed="false">
      <c r="A5" s="48" t="s">
        <v>492</v>
      </c>
      <c r="B5" s="8" t="n">
        <v>210</v>
      </c>
      <c r="C5" s="8" t="s">
        <v>493</v>
      </c>
      <c r="D5" s="24"/>
      <c r="E5" s="24"/>
      <c r="F5" s="24"/>
    </row>
    <row r="6" customFormat="false" ht="39" hidden="false" customHeight="true" outlineLevel="0" collapsed="false">
      <c r="A6" s="48" t="s">
        <v>494</v>
      </c>
      <c r="B6" s="8" t="n">
        <v>4200</v>
      </c>
      <c r="C6" s="8" t="s">
        <v>493</v>
      </c>
      <c r="D6" s="24"/>
      <c r="E6" s="24"/>
      <c r="F6" s="24"/>
    </row>
    <row r="7" customFormat="false" ht="39" hidden="false" customHeight="true" outlineLevel="0" collapsed="false">
      <c r="A7" s="48" t="s">
        <v>495</v>
      </c>
      <c r="B7" s="8" t="n">
        <v>2400</v>
      </c>
      <c r="C7" s="8" t="s">
        <v>496</v>
      </c>
      <c r="D7" s="24"/>
      <c r="E7" s="24"/>
      <c r="F7" s="24"/>
    </row>
    <row r="8" customFormat="false" ht="39" hidden="false" customHeight="true" outlineLevel="0" collapsed="false">
      <c r="A8" s="48" t="s">
        <v>497</v>
      </c>
      <c r="B8" s="8" t="n">
        <v>0.9</v>
      </c>
      <c r="C8" s="8" t="s">
        <v>16</v>
      </c>
      <c r="D8" s="24"/>
      <c r="E8" s="24"/>
      <c r="F8" s="24"/>
    </row>
    <row r="9" customFormat="false" ht="39" hidden="false" customHeight="true" outlineLevel="0" collapsed="false">
      <c r="A9" s="48" t="s">
        <v>498</v>
      </c>
      <c r="B9" s="8" t="n">
        <v>0.75</v>
      </c>
      <c r="C9" s="8" t="s">
        <v>16</v>
      </c>
      <c r="D9" s="24"/>
      <c r="E9" s="24"/>
      <c r="F9" s="24"/>
    </row>
    <row r="10" customFormat="false" ht="39" hidden="false" customHeight="true" outlineLevel="0" collapsed="false">
      <c r="A10" s="48" t="s">
        <v>499</v>
      </c>
      <c r="B10" s="8" t="n">
        <v>1.2</v>
      </c>
      <c r="C10" s="8" t="s">
        <v>16</v>
      </c>
      <c r="D10" s="24"/>
      <c r="E10" s="24"/>
      <c r="F10" s="24"/>
    </row>
    <row r="11" customFormat="false" ht="39" hidden="false" customHeight="true" outlineLevel="0" collapsed="false">
      <c r="A11" s="48" t="s">
        <v>500</v>
      </c>
      <c r="B11" s="8" t="n">
        <v>1.6</v>
      </c>
      <c r="C11" s="8" t="s">
        <v>16</v>
      </c>
      <c r="D11" s="24"/>
      <c r="E11" s="24"/>
      <c r="F11" s="24"/>
    </row>
    <row r="12" customFormat="false" ht="15" hidden="false" customHeight="false" outlineLevel="0" collapsed="false">
      <c r="A12" s="24"/>
      <c r="B12" s="24"/>
      <c r="C12" s="24"/>
      <c r="D12" s="24"/>
      <c r="E12" s="24"/>
      <c r="F12" s="24"/>
    </row>
    <row r="13" customFormat="false" ht="39" hidden="false" customHeight="true" outlineLevel="0" collapsed="false">
      <c r="A13" s="47" t="s">
        <v>501</v>
      </c>
      <c r="B13" s="2" t="s">
        <v>502</v>
      </c>
      <c r="C13" s="2" t="s">
        <v>503</v>
      </c>
      <c r="D13" s="2" t="s">
        <v>504</v>
      </c>
      <c r="E13" s="2" t="s">
        <v>505</v>
      </c>
      <c r="F13" s="2" t="s">
        <v>506</v>
      </c>
    </row>
    <row r="14" customFormat="false" ht="39" hidden="false" customHeight="true" outlineLevel="0" collapsed="false">
      <c r="A14" s="49" t="s">
        <v>29</v>
      </c>
      <c r="B14" s="29" t="n">
        <v>550</v>
      </c>
      <c r="C14" s="29" t="n">
        <v>200</v>
      </c>
      <c r="D14" s="7" t="n">
        <v>2.6</v>
      </c>
      <c r="E14" s="7" t="n">
        <v>2</v>
      </c>
      <c r="F14" s="10" t="s">
        <v>507</v>
      </c>
    </row>
    <row r="15" customFormat="false" ht="39" hidden="false" customHeight="true" outlineLevel="0" collapsed="false">
      <c r="A15" s="49" t="s">
        <v>202</v>
      </c>
      <c r="B15" s="29" t="n">
        <v>560</v>
      </c>
      <c r="C15" s="29" t="n">
        <v>100</v>
      </c>
      <c r="D15" s="7" t="n">
        <v>1</v>
      </c>
      <c r="E15" s="7" t="n">
        <v>2</v>
      </c>
      <c r="F15" s="10" t="s">
        <v>508</v>
      </c>
    </row>
    <row r="16" customFormat="false" ht="39" hidden="false" customHeight="true" outlineLevel="0" collapsed="false">
      <c r="A16" s="48" t="s">
        <v>509</v>
      </c>
      <c r="B16" s="8" t="n">
        <v>250</v>
      </c>
      <c r="C16" s="8" t="s">
        <v>510</v>
      </c>
      <c r="D16" s="24"/>
      <c r="E16" s="24"/>
      <c r="F16" s="48" t="s">
        <v>511</v>
      </c>
    </row>
    <row r="17" customFormat="false" ht="15" hidden="false" customHeight="false" outlineLevel="0" collapsed="false">
      <c r="A17" s="24"/>
      <c r="B17" s="24"/>
      <c r="C17" s="24"/>
      <c r="D17" s="24"/>
      <c r="E17" s="24"/>
      <c r="F17" s="24"/>
    </row>
    <row r="18" customFormat="false" ht="39" hidden="false" customHeight="true" outlineLevel="0" collapsed="false">
      <c r="A18" s="47" t="s">
        <v>512</v>
      </c>
      <c r="B18" s="2" t="s">
        <v>513</v>
      </c>
      <c r="C18" s="2" t="s">
        <v>514</v>
      </c>
      <c r="D18" s="2" t="s">
        <v>515</v>
      </c>
      <c r="E18" s="2" t="s">
        <v>516</v>
      </c>
      <c r="F18" s="24"/>
    </row>
    <row r="19" customFormat="false" ht="39" hidden="false" customHeight="true" outlineLevel="0" collapsed="false">
      <c r="A19" s="48" t="s">
        <v>188</v>
      </c>
      <c r="B19" s="50" t="n">
        <v>0.125</v>
      </c>
      <c r="C19" s="50" t="n">
        <v>0</v>
      </c>
      <c r="D19" s="50" t="n">
        <v>0.5</v>
      </c>
      <c r="E19" s="32" t="n">
        <v>16</v>
      </c>
      <c r="F19" s="24"/>
    </row>
    <row r="20" customFormat="false" ht="39" hidden="false" customHeight="true" outlineLevel="0" collapsed="false">
      <c r="A20" s="48" t="s">
        <v>165</v>
      </c>
      <c r="B20" s="50" t="n">
        <v>0.07143</v>
      </c>
      <c r="C20" s="50" t="n">
        <v>0.1</v>
      </c>
      <c r="D20" s="50" t="n">
        <v>0.575</v>
      </c>
      <c r="E20" s="32" t="n">
        <v>21</v>
      </c>
      <c r="F20" s="24"/>
    </row>
    <row r="21" customFormat="false" ht="39" hidden="false" customHeight="true" outlineLevel="0" collapsed="false">
      <c r="A21" s="48" t="s">
        <v>181</v>
      </c>
      <c r="B21" s="50" t="n">
        <v>0.07031</v>
      </c>
      <c r="C21" s="50" t="n">
        <v>0.125</v>
      </c>
      <c r="D21" s="50" t="n">
        <v>0.625</v>
      </c>
      <c r="E21" s="32" t="n">
        <v>18.5</v>
      </c>
      <c r="F21" s="24"/>
    </row>
    <row r="22" customFormat="false" ht="39" hidden="false" customHeight="true" outlineLevel="0" collapsed="false">
      <c r="A22" s="48" t="s">
        <v>517</v>
      </c>
      <c r="B22" s="50" t="n">
        <v>0.04167</v>
      </c>
      <c r="C22" s="50" t="n">
        <v>0.08333</v>
      </c>
      <c r="D22" s="50" t="n">
        <v>0.5</v>
      </c>
      <c r="E22" s="32" t="n">
        <v>21</v>
      </c>
      <c r="F22" s="24"/>
    </row>
    <row r="23" customFormat="false" ht="39" hidden="false" customHeight="true" outlineLevel="0" collapsed="false">
      <c r="A23" s="48" t="s">
        <v>518</v>
      </c>
      <c r="B23" s="50" t="n">
        <v>0</v>
      </c>
      <c r="C23" s="50" t="n">
        <v>0.5</v>
      </c>
      <c r="D23" s="50" t="n">
        <v>1</v>
      </c>
      <c r="E23" s="32" t="n">
        <v>8</v>
      </c>
      <c r="F23" s="24"/>
    </row>
    <row r="24" customFormat="false" ht="15" hidden="false" customHeight="false" outlineLevel="0" collapsed="false">
      <c r="A24" s="24"/>
      <c r="B24" s="24"/>
      <c r="C24" s="24"/>
      <c r="D24" s="24"/>
      <c r="E24" s="24"/>
      <c r="F24" s="24"/>
    </row>
    <row r="25" customFormat="false" ht="39" hidden="false" customHeight="true" outlineLevel="0" collapsed="false">
      <c r="A25" s="25" t="s">
        <v>519</v>
      </c>
      <c r="B25" s="24"/>
      <c r="C25" s="24"/>
      <c r="D25" s="24"/>
      <c r="E25" s="24"/>
      <c r="F25" s="2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3.2"/>
    <col collapsed="false" customWidth="true" hidden="false" outlineLevel="0" max="2" min="2" style="0" width="17.61"/>
    <col collapsed="false" customWidth="true" hidden="false" outlineLevel="0" max="3" min="3" style="0" width="14.9"/>
    <col collapsed="false" customWidth="true" hidden="false" outlineLevel="0" max="5" min="4" style="0" width="17.61"/>
    <col collapsed="false" customWidth="true" hidden="false" outlineLevel="0" max="6" min="6" style="0" width="70.2"/>
  </cols>
  <sheetData>
    <row r="1" customFormat="false" ht="39" hidden="false" customHeight="true" outlineLevel="0" collapsed="false">
      <c r="A1" s="25" t="s">
        <v>520</v>
      </c>
      <c r="B1" s="24"/>
      <c r="C1" s="24"/>
      <c r="D1" s="24"/>
    </row>
    <row r="2" customFormat="false" ht="39" hidden="false" customHeight="true" outlineLevel="0" collapsed="false">
      <c r="A2" s="26" t="s">
        <v>488</v>
      </c>
      <c r="B2" s="24"/>
      <c r="C2" s="24"/>
      <c r="D2" s="24"/>
    </row>
    <row r="3" customFormat="false" ht="15" hidden="false" customHeight="false" outlineLevel="0" collapsed="false">
      <c r="A3" s="24"/>
      <c r="B3" s="24"/>
      <c r="C3" s="24"/>
      <c r="D3" s="24"/>
    </row>
    <row r="4" customFormat="false" ht="39" hidden="false" customHeight="true" outlineLevel="0" collapsed="false">
      <c r="A4" s="47" t="s">
        <v>521</v>
      </c>
      <c r="B4" s="2" t="s">
        <v>490</v>
      </c>
      <c r="C4" s="2" t="s">
        <v>491</v>
      </c>
      <c r="D4" s="24"/>
    </row>
    <row r="5" customFormat="false" ht="39" hidden="false" customHeight="true" outlineLevel="0" collapsed="false">
      <c r="A5" s="48" t="s">
        <v>492</v>
      </c>
      <c r="B5" s="8" t="n">
        <v>210</v>
      </c>
      <c r="C5" s="8" t="s">
        <v>493</v>
      </c>
      <c r="D5" s="24"/>
    </row>
    <row r="6" customFormat="false" ht="39" hidden="false" customHeight="true" outlineLevel="0" collapsed="false">
      <c r="A6" s="48" t="s">
        <v>494</v>
      </c>
      <c r="B6" s="8" t="n">
        <v>4200</v>
      </c>
      <c r="C6" s="8" t="s">
        <v>493</v>
      </c>
      <c r="D6" s="24"/>
    </row>
    <row r="7" customFormat="false" ht="39" hidden="false" customHeight="true" outlineLevel="0" collapsed="false">
      <c r="A7" s="48" t="s">
        <v>522</v>
      </c>
      <c r="B7" s="8" t="n">
        <v>2400</v>
      </c>
      <c r="C7" s="8" t="s">
        <v>493</v>
      </c>
      <c r="D7" s="24"/>
    </row>
    <row r="8" customFormat="false" ht="39" hidden="false" customHeight="true" outlineLevel="0" collapsed="false">
      <c r="A8" s="48" t="s">
        <v>523</v>
      </c>
      <c r="B8" s="8" t="n">
        <v>0.9</v>
      </c>
      <c r="C8" s="8" t="s">
        <v>16</v>
      </c>
      <c r="D8" s="24"/>
    </row>
    <row r="9" customFormat="false" ht="39" hidden="false" customHeight="true" outlineLevel="0" collapsed="false">
      <c r="A9" s="48" t="s">
        <v>495</v>
      </c>
      <c r="B9" s="8" t="n">
        <v>2400</v>
      </c>
      <c r="C9" s="8" t="s">
        <v>496</v>
      </c>
      <c r="D9" s="24"/>
    </row>
    <row r="10" customFormat="false" ht="39" hidden="false" customHeight="true" outlineLevel="0" collapsed="false">
      <c r="A10" s="48" t="s">
        <v>524</v>
      </c>
      <c r="B10" s="8" t="n">
        <v>1.5</v>
      </c>
      <c r="C10" s="8" t="s">
        <v>525</v>
      </c>
      <c r="D10" s="24"/>
    </row>
    <row r="11" customFormat="false" ht="39" hidden="false" customHeight="true" outlineLevel="0" collapsed="false">
      <c r="A11" s="48" t="s">
        <v>526</v>
      </c>
      <c r="B11" s="8" t="n">
        <v>20</v>
      </c>
      <c r="C11" s="8" t="s">
        <v>525</v>
      </c>
      <c r="D11" s="24"/>
    </row>
    <row r="12" customFormat="false" ht="39" hidden="false" customHeight="true" outlineLevel="0" collapsed="false">
      <c r="A12" s="48" t="s">
        <v>527</v>
      </c>
      <c r="B12" s="8" t="n">
        <v>0.2</v>
      </c>
      <c r="C12" s="8" t="s">
        <v>528</v>
      </c>
      <c r="D12" s="24"/>
    </row>
    <row r="13" customFormat="false" ht="39" hidden="false" customHeight="true" outlineLevel="0" collapsed="false">
      <c r="A13" s="48" t="s">
        <v>529</v>
      </c>
      <c r="B13" s="8" t="n">
        <v>0.3</v>
      </c>
      <c r="C13" s="8" t="s">
        <v>530</v>
      </c>
      <c r="D13" s="24"/>
    </row>
    <row r="14" customFormat="false" ht="15" hidden="false" customHeight="false" outlineLevel="0" collapsed="false">
      <c r="A14" s="24"/>
      <c r="B14" s="24"/>
      <c r="C14" s="24"/>
      <c r="D14" s="24"/>
    </row>
    <row r="15" customFormat="false" ht="39" hidden="false" customHeight="true" outlineLevel="0" collapsed="false">
      <c r="A15" s="47" t="s">
        <v>531</v>
      </c>
      <c r="B15" s="2" t="s">
        <v>532</v>
      </c>
      <c r="C15" s="2" t="s">
        <v>503</v>
      </c>
      <c r="D15" s="2" t="s">
        <v>506</v>
      </c>
    </row>
    <row r="16" customFormat="false" ht="69.75" hidden="false" customHeight="true" outlineLevel="0" collapsed="false">
      <c r="A16" s="49" t="s">
        <v>222</v>
      </c>
      <c r="B16" s="8" t="n">
        <v>242</v>
      </c>
      <c r="C16" s="8" t="n">
        <v>200</v>
      </c>
      <c r="D16" s="10" t="s">
        <v>533</v>
      </c>
    </row>
    <row r="17" customFormat="false" ht="69.75" hidden="false" customHeight="true" outlineLevel="0" collapsed="false">
      <c r="A17" s="49" t="s">
        <v>237</v>
      </c>
      <c r="B17" s="8" t="n">
        <v>252</v>
      </c>
      <c r="C17" s="8" t="n">
        <v>100</v>
      </c>
      <c r="D17" s="10" t="s">
        <v>534</v>
      </c>
    </row>
    <row r="18" customFormat="false" ht="39" hidden="false" customHeight="true" outlineLevel="0" collapsed="false">
      <c r="A18" s="25" t="s">
        <v>535</v>
      </c>
      <c r="B18" s="24"/>
      <c r="C18" s="24"/>
      <c r="D18" s="24"/>
    </row>
    <row r="19" customFormat="false" ht="15" hidden="false" customHeight="false" outlineLevel="0" collapsed="false">
      <c r="A19" s="24"/>
      <c r="B19" s="24"/>
      <c r="C19" s="24"/>
      <c r="D19" s="24"/>
    </row>
    <row r="20" customFormat="false" ht="39" hidden="false" customHeight="true" outlineLevel="0" collapsed="false">
      <c r="A20" s="47" t="s">
        <v>213</v>
      </c>
      <c r="B20" s="2" t="s">
        <v>536</v>
      </c>
      <c r="C20" s="2" t="s">
        <v>537</v>
      </c>
      <c r="D20" s="2" t="s">
        <v>153</v>
      </c>
    </row>
    <row r="21" customFormat="false" ht="39" hidden="false" customHeight="true" outlineLevel="0" collapsed="false">
      <c r="A21" s="19" t="s">
        <v>224</v>
      </c>
      <c r="B21" s="50" t="n">
        <v>0.125</v>
      </c>
      <c r="C21" s="33" t="n">
        <v>0.5</v>
      </c>
      <c r="D21" s="48" t="s">
        <v>188</v>
      </c>
    </row>
    <row r="22" customFormat="false" ht="39" hidden="false" customHeight="true" outlineLevel="0" collapsed="false">
      <c r="A22" s="19" t="s">
        <v>538</v>
      </c>
      <c r="B22" s="50" t="n">
        <v>0.1</v>
      </c>
      <c r="C22" s="33" t="n">
        <v>0.55</v>
      </c>
      <c r="D22" s="48" t="s">
        <v>165</v>
      </c>
    </row>
    <row r="23" customFormat="false" ht="39" hidden="false" customHeight="true" outlineLevel="0" collapsed="false">
      <c r="A23" s="19" t="s">
        <v>539</v>
      </c>
      <c r="B23" s="50" t="n">
        <v>0.0833</v>
      </c>
      <c r="C23" s="33" t="n">
        <v>0.5</v>
      </c>
      <c r="D23" s="48" t="s">
        <v>517</v>
      </c>
    </row>
    <row r="24" customFormat="false" ht="39" hidden="false" customHeight="true" outlineLevel="0" collapsed="false">
      <c r="A24" s="19" t="s">
        <v>540</v>
      </c>
      <c r="B24" s="50" t="n">
        <v>0.0714</v>
      </c>
      <c r="C24" s="33" t="n">
        <v>0.575</v>
      </c>
      <c r="D24" s="48" t="s">
        <v>165</v>
      </c>
    </row>
    <row r="25" customFormat="false" ht="39" hidden="false" customHeight="true" outlineLevel="0" collapsed="false">
      <c r="A25" s="19" t="s">
        <v>226</v>
      </c>
      <c r="B25" s="50" t="n">
        <v>0.5</v>
      </c>
      <c r="C25" s="33" t="n">
        <v>1</v>
      </c>
      <c r="D25" s="48" t="s">
        <v>518</v>
      </c>
    </row>
    <row r="26" customFormat="false" ht="15" hidden="false" customHeight="false" outlineLevel="0" collapsed="false">
      <c r="A26" s="24"/>
      <c r="B26" s="24"/>
      <c r="C26" s="24"/>
      <c r="D26" s="24"/>
    </row>
    <row r="27" customFormat="false" ht="39" hidden="false" customHeight="true" outlineLevel="0" collapsed="false">
      <c r="A27" s="25" t="s">
        <v>541</v>
      </c>
      <c r="B27" s="24"/>
      <c r="C27" s="24"/>
      <c r="D27" s="24"/>
    </row>
    <row r="28" customFormat="false" ht="39" hidden="false" customHeight="true" outlineLevel="0" collapsed="false">
      <c r="A28" s="25" t="s">
        <v>542</v>
      </c>
      <c r="B28" s="24"/>
      <c r="C28" s="24"/>
      <c r="D28" s="2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8.6"/>
    <col collapsed="false" customWidth="true" hidden="false" outlineLevel="0" max="2" min="2" style="0" width="17.61"/>
    <col collapsed="false" customWidth="true" hidden="false" outlineLevel="0" max="3" min="3" style="0" width="16.2"/>
    <col collapsed="false" customWidth="true" hidden="false" outlineLevel="0" max="4" min="4" style="0" width="83.7"/>
  </cols>
  <sheetData>
    <row r="1" customFormat="false" ht="39" hidden="false" customHeight="true" outlineLevel="0" collapsed="false">
      <c r="A1" s="25" t="s">
        <v>543</v>
      </c>
      <c r="B1" s="24"/>
      <c r="C1" s="24"/>
    </row>
    <row r="2" customFormat="false" ht="15" hidden="false" customHeight="false" outlineLevel="0" collapsed="false">
      <c r="A2" s="24"/>
      <c r="B2" s="24"/>
      <c r="C2" s="24"/>
    </row>
    <row r="3" customFormat="false" ht="39" hidden="false" customHeight="true" outlineLevel="0" collapsed="false">
      <c r="A3" s="47" t="s">
        <v>544</v>
      </c>
      <c r="B3" s="2" t="s">
        <v>490</v>
      </c>
      <c r="C3" s="2" t="s">
        <v>491</v>
      </c>
    </row>
    <row r="4" customFormat="false" ht="39" hidden="false" customHeight="true" outlineLevel="0" collapsed="false">
      <c r="A4" s="48" t="s">
        <v>492</v>
      </c>
      <c r="B4" s="8" t="n">
        <v>210</v>
      </c>
      <c r="C4" s="8" t="s">
        <v>493</v>
      </c>
    </row>
    <row r="5" customFormat="false" ht="39" hidden="false" customHeight="true" outlineLevel="0" collapsed="false">
      <c r="A5" s="48" t="s">
        <v>494</v>
      </c>
      <c r="B5" s="8" t="n">
        <v>4200</v>
      </c>
      <c r="C5" s="8" t="s">
        <v>493</v>
      </c>
    </row>
    <row r="6" customFormat="false" ht="39" hidden="false" customHeight="true" outlineLevel="0" collapsed="false">
      <c r="A6" s="48" t="s">
        <v>495</v>
      </c>
      <c r="B6" s="8" t="n">
        <v>2400</v>
      </c>
      <c r="C6" s="8" t="s">
        <v>496</v>
      </c>
    </row>
    <row r="7" customFormat="false" ht="39" hidden="false" customHeight="true" outlineLevel="0" collapsed="false">
      <c r="A7" s="48" t="s">
        <v>545</v>
      </c>
      <c r="B7" s="8" t="n">
        <v>0.65</v>
      </c>
      <c r="C7" s="8" t="s">
        <v>16</v>
      </c>
    </row>
    <row r="8" customFormat="false" ht="39" hidden="false" customHeight="true" outlineLevel="0" collapsed="false">
      <c r="A8" s="48" t="s">
        <v>546</v>
      </c>
      <c r="B8" s="8" t="n">
        <v>0.008</v>
      </c>
      <c r="C8" s="8" t="s">
        <v>547</v>
      </c>
    </row>
    <row r="9" customFormat="false" ht="39" hidden="false" customHeight="true" outlineLevel="0" collapsed="false">
      <c r="A9" s="48" t="s">
        <v>548</v>
      </c>
      <c r="B9" s="8" t="n">
        <v>3.15</v>
      </c>
      <c r="C9" s="8" t="s">
        <v>549</v>
      </c>
    </row>
    <row r="10" customFormat="false" ht="39" hidden="false" customHeight="true" outlineLevel="0" collapsed="false">
      <c r="A10" s="48" t="s">
        <v>550</v>
      </c>
      <c r="B10" s="8" t="n">
        <v>3.22</v>
      </c>
      <c r="C10" s="8" t="s">
        <v>549</v>
      </c>
    </row>
    <row r="11" customFormat="false" ht="15" hidden="false" customHeight="false" outlineLevel="0" collapsed="false">
      <c r="A11" s="24"/>
      <c r="B11" s="24"/>
      <c r="C11" s="24"/>
    </row>
    <row r="12" customFormat="false" ht="39" hidden="false" customHeight="true" outlineLevel="0" collapsed="false">
      <c r="A12" s="25" t="s">
        <v>551</v>
      </c>
      <c r="B12" s="24"/>
      <c r="C12" s="24"/>
    </row>
    <row r="13" customFormat="false" ht="39" hidden="false" customHeight="true" outlineLevel="0" collapsed="false">
      <c r="A13" s="25" t="s">
        <v>552</v>
      </c>
      <c r="B13" s="24"/>
      <c r="C13" s="2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5.9"/>
    <col collapsed="false" customWidth="true" hidden="false" outlineLevel="0" max="3" min="2" style="0" width="16.2"/>
    <col collapsed="false" customWidth="true" hidden="false" outlineLevel="0" max="4" min="4" style="0" width="81"/>
  </cols>
  <sheetData>
    <row r="1" customFormat="false" ht="39" hidden="false" customHeight="true" outlineLevel="0" collapsed="false">
      <c r="A1" s="25" t="s">
        <v>553</v>
      </c>
      <c r="B1" s="24"/>
      <c r="C1" s="24"/>
      <c r="D1" s="24"/>
      <c r="E1" s="24"/>
      <c r="F1" s="24"/>
    </row>
    <row r="2" customFormat="false" ht="15" hidden="false" customHeight="false" outlineLevel="0" collapsed="false">
      <c r="A2" s="24"/>
      <c r="B2" s="24"/>
      <c r="C2" s="24"/>
      <c r="D2" s="24"/>
      <c r="E2" s="24"/>
      <c r="F2" s="24"/>
    </row>
    <row r="3" customFormat="false" ht="39" hidden="false" customHeight="true" outlineLevel="0" collapsed="false">
      <c r="A3" s="47" t="s">
        <v>554</v>
      </c>
      <c r="B3" s="2" t="s">
        <v>490</v>
      </c>
      <c r="C3" s="2" t="s">
        <v>491</v>
      </c>
      <c r="D3" s="47" t="s">
        <v>555</v>
      </c>
      <c r="E3" s="24"/>
      <c r="F3" s="24"/>
    </row>
    <row r="4" customFormat="false" ht="39" hidden="false" customHeight="true" outlineLevel="0" collapsed="false">
      <c r="A4" s="48" t="s">
        <v>556</v>
      </c>
      <c r="B4" s="8" t="n">
        <v>22</v>
      </c>
      <c r="C4" s="8" t="s">
        <v>557</v>
      </c>
      <c r="D4" s="48" t="s">
        <v>558</v>
      </c>
      <c r="E4" s="24"/>
      <c r="F4" s="24"/>
    </row>
    <row r="5" customFormat="false" ht="39" hidden="false" customHeight="true" outlineLevel="0" collapsed="false">
      <c r="A5" s="48" t="s">
        <v>559</v>
      </c>
      <c r="B5" s="8" t="n">
        <v>2</v>
      </c>
      <c r="C5" s="8" t="s">
        <v>493</v>
      </c>
      <c r="D5" s="48" t="s">
        <v>560</v>
      </c>
      <c r="E5" s="24"/>
      <c r="F5" s="24"/>
    </row>
    <row r="6" customFormat="false" ht="39" hidden="false" customHeight="true" outlineLevel="0" collapsed="false">
      <c r="A6" s="48" t="s">
        <v>561</v>
      </c>
      <c r="B6" s="8" t="n">
        <v>30</v>
      </c>
      <c r="C6" s="8" t="s">
        <v>525</v>
      </c>
      <c r="D6" s="48" t="s">
        <v>562</v>
      </c>
      <c r="E6" s="24"/>
      <c r="F6" s="24"/>
    </row>
    <row r="7" customFormat="false" ht="39" hidden="false" customHeight="true" outlineLevel="0" collapsed="false">
      <c r="A7" s="48" t="s">
        <v>563</v>
      </c>
      <c r="B7" s="8" t="n">
        <v>-4.5</v>
      </c>
      <c r="C7" s="8" t="s">
        <v>549</v>
      </c>
      <c r="D7" s="48" t="s">
        <v>564</v>
      </c>
      <c r="E7" s="24"/>
      <c r="F7" s="24"/>
    </row>
    <row r="8" customFormat="false" ht="39" hidden="false" customHeight="true" outlineLevel="0" collapsed="false">
      <c r="A8" s="48" t="s">
        <v>565</v>
      </c>
      <c r="B8" s="8" t="n">
        <v>1.4</v>
      </c>
      <c r="C8" s="8" t="s">
        <v>16</v>
      </c>
      <c r="D8" s="48" t="s">
        <v>566</v>
      </c>
      <c r="E8" s="24"/>
      <c r="F8" s="24"/>
    </row>
    <row r="9" customFormat="false" ht="39" hidden="false" customHeight="true" outlineLevel="0" collapsed="false">
      <c r="A9" s="25" t="s">
        <v>567</v>
      </c>
      <c r="B9" s="24"/>
      <c r="C9" s="26" t="s">
        <v>568</v>
      </c>
      <c r="D9" s="24"/>
      <c r="E9" s="24"/>
      <c r="F9" s="24"/>
    </row>
    <row r="10" customFormat="false" ht="39" hidden="false" customHeight="true" outlineLevel="0" collapsed="false">
      <c r="A10" s="25" t="s">
        <v>569</v>
      </c>
      <c r="B10" s="24"/>
      <c r="C10" s="24"/>
      <c r="D10" s="24"/>
      <c r="E10" s="24"/>
      <c r="F10" s="24"/>
    </row>
    <row r="11" customFormat="false" ht="39" hidden="false" customHeight="true" outlineLevel="0" collapsed="false">
      <c r="A11" s="2" t="s">
        <v>154</v>
      </c>
      <c r="B11" s="2" t="s">
        <v>321</v>
      </c>
      <c r="C11" s="2" t="s">
        <v>570</v>
      </c>
      <c r="D11" s="2" t="s">
        <v>571</v>
      </c>
      <c r="E11" s="2" t="s">
        <v>572</v>
      </c>
      <c r="F11" s="24"/>
    </row>
    <row r="12" customFormat="false" ht="39" hidden="false" customHeight="true" outlineLevel="0" collapsed="false">
      <c r="A12" s="48" t="s">
        <v>573</v>
      </c>
      <c r="B12" s="8" t="n">
        <v>8</v>
      </c>
      <c r="C12" s="8" t="n">
        <v>-4.5</v>
      </c>
      <c r="D12" s="8" t="n">
        <v>-0.4</v>
      </c>
      <c r="E12" s="8" t="n">
        <v>4.6</v>
      </c>
      <c r="F12" s="48" t="s">
        <v>574</v>
      </c>
    </row>
    <row r="13" customFormat="false" ht="39" hidden="false" customHeight="true" outlineLevel="0" collapsed="false">
      <c r="A13" s="48" t="s">
        <v>575</v>
      </c>
      <c r="B13" s="8" t="n">
        <v>5</v>
      </c>
      <c r="C13" s="8" t="n">
        <v>-4.5</v>
      </c>
      <c r="D13" s="8" t="n">
        <v>-0.35</v>
      </c>
      <c r="E13" s="8" t="n">
        <v>4.5</v>
      </c>
      <c r="F13" s="48" t="s">
        <v>576</v>
      </c>
    </row>
    <row r="14" customFormat="false" ht="39" hidden="false" customHeight="true" outlineLevel="0" collapsed="false">
      <c r="A14" s="48" t="s">
        <v>577</v>
      </c>
      <c r="B14" s="8" t="n">
        <v>16</v>
      </c>
      <c r="C14" s="8" t="n">
        <v>-4.5</v>
      </c>
      <c r="D14" s="8" t="n">
        <v>-0.05</v>
      </c>
      <c r="E14" s="8" t="n">
        <v>4.35</v>
      </c>
      <c r="F14" s="48" t="s">
        <v>578</v>
      </c>
    </row>
    <row r="15" customFormat="false" ht="39" hidden="false" customHeight="true" outlineLevel="0" collapsed="false">
      <c r="A15" s="48" t="s">
        <v>579</v>
      </c>
      <c r="B15" s="8" t="n">
        <v>4</v>
      </c>
      <c r="C15" s="8" t="n">
        <v>-4.5</v>
      </c>
      <c r="D15" s="8" t="n">
        <v>-0.1</v>
      </c>
      <c r="E15" s="8" t="n">
        <v>4.4</v>
      </c>
      <c r="F15" s="48" t="s">
        <v>580</v>
      </c>
    </row>
    <row r="16" customFormat="false" ht="15" hidden="false" customHeight="false" outlineLevel="0" collapsed="false">
      <c r="A16" s="24"/>
      <c r="B16" s="24"/>
      <c r="C16" s="24"/>
      <c r="D16" s="24"/>
      <c r="E16" s="24"/>
      <c r="F16" s="24"/>
    </row>
    <row r="17" customFormat="false" ht="39" hidden="false" customHeight="true" outlineLevel="0" collapsed="false">
      <c r="A17" s="26" t="s">
        <v>581</v>
      </c>
      <c r="B17" s="24"/>
      <c r="C17" s="24"/>
      <c r="D17" s="24"/>
      <c r="E17" s="24"/>
      <c r="F17" s="24"/>
    </row>
    <row r="18" customFormat="false" ht="39" hidden="false" customHeight="true" outlineLevel="0" collapsed="false">
      <c r="A18" s="25" t="s">
        <v>582</v>
      </c>
      <c r="B18" s="24"/>
      <c r="C18" s="24"/>
      <c r="D18" s="24"/>
      <c r="E18" s="24"/>
      <c r="F18" s="24"/>
    </row>
    <row r="19" customFormat="false" ht="15" hidden="false" customHeight="false" outlineLevel="0" collapsed="false">
      <c r="A19" s="24"/>
      <c r="B19" s="24"/>
      <c r="C19" s="24"/>
      <c r="D19" s="24"/>
      <c r="E19" s="24"/>
      <c r="F19" s="24"/>
    </row>
    <row r="20" customFormat="false" ht="39" hidden="false" customHeight="true" outlineLevel="0" collapsed="false">
      <c r="A20" s="25" t="s">
        <v>583</v>
      </c>
      <c r="B20" s="24"/>
      <c r="C20" s="24"/>
      <c r="D20" s="24"/>
      <c r="E20" s="24"/>
      <c r="F20" s="24"/>
    </row>
    <row r="21" customFormat="false" ht="39" hidden="false" customHeight="true" outlineLevel="0" collapsed="false">
      <c r="A21" s="26" t="s">
        <v>584</v>
      </c>
      <c r="B21" s="24"/>
      <c r="C21" s="24"/>
      <c r="D21" s="24"/>
      <c r="E21" s="24"/>
      <c r="F21" s="24"/>
    </row>
    <row r="22" customFormat="false" ht="39" hidden="false" customHeight="true" outlineLevel="0" collapsed="false">
      <c r="A22" s="26" t="s">
        <v>585</v>
      </c>
      <c r="B22" s="24"/>
      <c r="C22" s="24"/>
      <c r="D22" s="24"/>
      <c r="E22" s="24"/>
      <c r="F22" s="24"/>
    </row>
    <row r="23" customFormat="false" ht="39" hidden="false" customHeight="true" outlineLevel="0" collapsed="false">
      <c r="A23" s="26" t="s">
        <v>586</v>
      </c>
      <c r="B23" s="24"/>
      <c r="C23" s="24"/>
      <c r="D23" s="24"/>
      <c r="E23" s="24"/>
      <c r="F23" s="24"/>
    </row>
    <row r="24" customFormat="false" ht="39" hidden="false" customHeight="true" outlineLevel="0" collapsed="false">
      <c r="A24" s="26" t="s">
        <v>587</v>
      </c>
      <c r="B24" s="24"/>
      <c r="C24" s="24"/>
      <c r="D24" s="24"/>
      <c r="E24" s="24"/>
      <c r="F24" s="24"/>
    </row>
    <row r="25" customFormat="false" ht="39" hidden="false" customHeight="true" outlineLevel="0" collapsed="false">
      <c r="A25" s="26" t="s">
        <v>588</v>
      </c>
      <c r="B25" s="24"/>
      <c r="C25" s="24"/>
      <c r="D25" s="24"/>
      <c r="E25" s="24"/>
      <c r="F25" s="24"/>
    </row>
    <row r="26" customFormat="false" ht="15" hidden="false" customHeight="false" outlineLevel="0" collapsed="false">
      <c r="A26" s="26"/>
      <c r="B26" s="24"/>
      <c r="C26" s="24"/>
      <c r="D26" s="24"/>
      <c r="E26" s="24"/>
      <c r="F26" s="24"/>
    </row>
    <row r="27" customFormat="false" ht="39" hidden="false" customHeight="true" outlineLevel="0" collapsed="false">
      <c r="A27" s="26" t="s">
        <v>589</v>
      </c>
      <c r="B27" s="24"/>
      <c r="C27" s="24"/>
      <c r="D27" s="24"/>
      <c r="E27" s="24"/>
      <c r="F27" s="24"/>
    </row>
    <row r="28" customFormat="false" ht="39" hidden="false" customHeight="true" outlineLevel="0" collapsed="false">
      <c r="A28" s="26" t="s">
        <v>590</v>
      </c>
      <c r="B28" s="24"/>
      <c r="C28" s="24"/>
      <c r="D28" s="24"/>
      <c r="E28" s="24"/>
      <c r="F28" s="24"/>
    </row>
    <row r="29" customFormat="false" ht="39" hidden="false" customHeight="true" outlineLevel="0" collapsed="false">
      <c r="A29" s="26" t="s">
        <v>591</v>
      </c>
      <c r="B29" s="24"/>
      <c r="C29" s="24"/>
      <c r="D29" s="24"/>
      <c r="E29" s="24"/>
      <c r="F29" s="24"/>
    </row>
    <row r="30" customFormat="false" ht="39" hidden="false" customHeight="true" outlineLevel="0" collapsed="false">
      <c r="A30" s="26" t="s">
        <v>592</v>
      </c>
      <c r="B30" s="24"/>
      <c r="C30" s="24"/>
      <c r="D30" s="24"/>
      <c r="E30" s="24"/>
      <c r="F30" s="24"/>
    </row>
    <row r="31" customFormat="false" ht="15" hidden="false" customHeight="false" outlineLevel="0" collapsed="false">
      <c r="A31" s="26"/>
      <c r="B31" s="24"/>
      <c r="C31" s="24"/>
      <c r="D31" s="24"/>
      <c r="E31" s="24"/>
      <c r="F31" s="24"/>
    </row>
    <row r="32" customFormat="false" ht="39" hidden="false" customHeight="true" outlineLevel="0" collapsed="false">
      <c r="A32" s="26" t="s">
        <v>593</v>
      </c>
      <c r="B32" s="24"/>
      <c r="C32" s="24"/>
      <c r="D32" s="24"/>
      <c r="E32" s="24"/>
      <c r="F32" s="24"/>
    </row>
    <row r="33" customFormat="false" ht="39" hidden="false" customHeight="true" outlineLevel="0" collapsed="false">
      <c r="A33" s="26" t="s">
        <v>594</v>
      </c>
      <c r="B33" s="24"/>
      <c r="C33" s="24"/>
      <c r="D33" s="24"/>
      <c r="E33" s="24"/>
      <c r="F33" s="24"/>
    </row>
    <row r="34" customFormat="false" ht="39" hidden="false" customHeight="true" outlineLevel="0" collapsed="false">
      <c r="A34" s="26" t="s">
        <v>595</v>
      </c>
      <c r="B34" s="24"/>
      <c r="C34" s="24"/>
      <c r="D34" s="24"/>
      <c r="E34" s="24"/>
      <c r="F34" s="24"/>
    </row>
    <row r="35" customFormat="false" ht="39" hidden="false" customHeight="true" outlineLevel="0" collapsed="false">
      <c r="A35" s="26" t="s">
        <v>596</v>
      </c>
      <c r="B35" s="24"/>
      <c r="C35" s="24"/>
      <c r="D35" s="24"/>
      <c r="E35" s="24"/>
      <c r="F35" s="24"/>
    </row>
    <row r="36" customFormat="false" ht="15" hidden="false" customHeight="false" outlineLevel="0" collapsed="false">
      <c r="A36" s="26"/>
      <c r="B36" s="24"/>
      <c r="C36" s="24"/>
      <c r="D36" s="24"/>
      <c r="E36" s="24"/>
      <c r="F36" s="24"/>
    </row>
    <row r="37" customFormat="false" ht="39" hidden="false" customHeight="true" outlineLevel="0" collapsed="false">
      <c r="A37" s="26" t="s">
        <v>597</v>
      </c>
      <c r="B37" s="24"/>
      <c r="C37" s="24"/>
      <c r="D37" s="24"/>
      <c r="E37" s="24"/>
      <c r="F37" s="24"/>
    </row>
    <row r="38" customFormat="false" ht="39" hidden="false" customHeight="true" outlineLevel="0" collapsed="false">
      <c r="A38" s="26" t="s">
        <v>598</v>
      </c>
      <c r="B38" s="24"/>
      <c r="C38" s="24"/>
      <c r="D38" s="24"/>
      <c r="E38" s="24"/>
      <c r="F38" s="24"/>
    </row>
    <row r="39" customFormat="false" ht="39" hidden="false" customHeight="true" outlineLevel="0" collapsed="false">
      <c r="A39" s="26" t="s">
        <v>599</v>
      </c>
      <c r="B39" s="24"/>
      <c r="C39" s="24"/>
      <c r="D39" s="24"/>
      <c r="E39" s="24"/>
      <c r="F39" s="24"/>
    </row>
    <row r="40" customFormat="false" ht="39" hidden="false" customHeight="true" outlineLevel="0" collapsed="false">
      <c r="A40" s="26" t="s">
        <v>600</v>
      </c>
      <c r="B40" s="24"/>
      <c r="C40" s="24"/>
      <c r="D40" s="24"/>
      <c r="E40" s="24"/>
      <c r="F40" s="24"/>
    </row>
    <row r="41" customFormat="false" ht="39" hidden="false" customHeight="true" outlineLevel="0" collapsed="false">
      <c r="A41" s="26" t="s">
        <v>601</v>
      </c>
      <c r="B41" s="24"/>
      <c r="C41" s="24"/>
      <c r="D41" s="24"/>
      <c r="E41" s="24"/>
      <c r="F41" s="24"/>
    </row>
    <row r="42" customFormat="false" ht="15" hidden="false" customHeight="false" outlineLevel="0" collapsed="false">
      <c r="A42" s="26"/>
      <c r="B42" s="24"/>
      <c r="C42" s="24"/>
      <c r="D42" s="24"/>
      <c r="E42" s="24"/>
      <c r="F42" s="24"/>
    </row>
    <row r="43" customFormat="false" ht="39" hidden="false" customHeight="true" outlineLevel="0" collapsed="false">
      <c r="A43" s="26" t="s">
        <v>602</v>
      </c>
      <c r="B43" s="24"/>
      <c r="C43" s="24"/>
      <c r="D43" s="24"/>
      <c r="E43" s="24"/>
      <c r="F43" s="24"/>
    </row>
    <row r="44" customFormat="false" ht="39" hidden="false" customHeight="true" outlineLevel="0" collapsed="false">
      <c r="A44" s="26" t="s">
        <v>603</v>
      </c>
      <c r="B44" s="24"/>
      <c r="C44" s="24"/>
      <c r="D44" s="24"/>
      <c r="E44" s="24"/>
      <c r="F44" s="24"/>
    </row>
    <row r="45" customFormat="false" ht="15" hidden="false" customHeight="false" outlineLevel="0" collapsed="false">
      <c r="A45" s="26"/>
      <c r="B45" s="24"/>
      <c r="C45" s="24"/>
      <c r="D45" s="24"/>
      <c r="E45" s="24"/>
      <c r="F45" s="24"/>
    </row>
    <row r="46" customFormat="false" ht="39" hidden="false" customHeight="true" outlineLevel="0" collapsed="false">
      <c r="A46" s="26" t="s">
        <v>604</v>
      </c>
      <c r="B46" s="24"/>
      <c r="C46" s="24"/>
      <c r="D46" s="24"/>
      <c r="E46" s="24"/>
      <c r="F46" s="24"/>
    </row>
    <row r="47" customFormat="false" ht="39" hidden="false" customHeight="true" outlineLevel="0" collapsed="false">
      <c r="A47" s="26" t="s">
        <v>605</v>
      </c>
      <c r="B47" s="24"/>
      <c r="C47" s="24"/>
      <c r="D47" s="24"/>
      <c r="E47" s="24"/>
      <c r="F47" s="24"/>
    </row>
    <row r="48" customFormat="false" ht="15" hidden="false" customHeight="false" outlineLevel="0" collapsed="false">
      <c r="A48" s="26"/>
      <c r="B48" s="24"/>
      <c r="C48" s="24"/>
      <c r="D48" s="24"/>
      <c r="E48" s="24"/>
      <c r="F48" s="24"/>
    </row>
    <row r="49" customFormat="false" ht="39" hidden="false" customHeight="true" outlineLevel="0" collapsed="false">
      <c r="A49" s="26" t="s">
        <v>606</v>
      </c>
      <c r="B49" s="24"/>
      <c r="C49" s="24"/>
      <c r="D49" s="24"/>
      <c r="E49" s="24"/>
      <c r="F49" s="24"/>
    </row>
    <row r="50" customFormat="false" ht="39" hidden="false" customHeight="true" outlineLevel="0" collapsed="false">
      <c r="A50" s="26" t="s">
        <v>607</v>
      </c>
      <c r="B50" s="24"/>
      <c r="C50" s="24"/>
      <c r="D50" s="24"/>
      <c r="E50" s="24"/>
      <c r="F50" s="24"/>
    </row>
    <row r="51" customFormat="false" ht="39" hidden="false" customHeight="true" outlineLevel="0" collapsed="false">
      <c r="A51" s="26" t="s">
        <v>608</v>
      </c>
      <c r="B51" s="24"/>
      <c r="C51" s="24"/>
      <c r="D51" s="24"/>
      <c r="E51" s="24"/>
      <c r="F51" s="2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2.1"/>
    <col collapsed="false" customWidth="true" hidden="false" outlineLevel="0" max="3" min="2" style="0" width="18.9"/>
    <col collapsed="false" customWidth="true" hidden="false" outlineLevel="0" max="4" min="4" style="0" width="64.8"/>
  </cols>
  <sheetData>
    <row r="1" customFormat="false" ht="39" hidden="false" customHeight="true" outlineLevel="0" collapsed="false">
      <c r="A1" s="25" t="s">
        <v>609</v>
      </c>
      <c r="B1" s="24"/>
      <c r="C1" s="24"/>
      <c r="D1" s="24"/>
    </row>
    <row r="2" customFormat="false" ht="15" hidden="false" customHeight="false" outlineLevel="0" collapsed="false">
      <c r="A2" s="24"/>
      <c r="B2" s="24"/>
      <c r="C2" s="24"/>
      <c r="D2" s="24"/>
    </row>
    <row r="3" customFormat="false" ht="39" hidden="false" customHeight="true" outlineLevel="0" collapsed="false">
      <c r="A3" s="47" t="s">
        <v>554</v>
      </c>
      <c r="B3" s="2" t="s">
        <v>490</v>
      </c>
      <c r="C3" s="2" t="s">
        <v>491</v>
      </c>
      <c r="D3" s="47" t="s">
        <v>555</v>
      </c>
    </row>
    <row r="4" customFormat="false" ht="39" hidden="false" customHeight="true" outlineLevel="0" collapsed="false">
      <c r="A4" s="48" t="s">
        <v>610</v>
      </c>
      <c r="B4" s="8" t="n">
        <v>2.9</v>
      </c>
      <c r="C4" s="8" t="s">
        <v>611</v>
      </c>
      <c r="D4" s="48" t="s">
        <v>612</v>
      </c>
    </row>
    <row r="5" customFormat="false" ht="39" hidden="false" customHeight="true" outlineLevel="0" collapsed="false">
      <c r="A5" s="48" t="s">
        <v>613</v>
      </c>
      <c r="B5" s="8" t="n">
        <v>1.8</v>
      </c>
      <c r="C5" s="8" t="s">
        <v>611</v>
      </c>
      <c r="D5" s="48" t="s">
        <v>614</v>
      </c>
    </row>
    <row r="6" customFormat="false" ht="15" hidden="false" customHeight="false" outlineLevel="0" collapsed="false">
      <c r="A6" s="24"/>
      <c r="B6" s="24"/>
      <c r="C6" s="24"/>
      <c r="D6" s="24"/>
    </row>
    <row r="7" customFormat="false" ht="15" hidden="false" customHeight="false" outlineLevel="0" collapsed="false">
      <c r="A7" s="24"/>
      <c r="B7" s="24"/>
      <c r="C7" s="24"/>
      <c r="D7" s="24"/>
    </row>
    <row r="8" customFormat="false" ht="39" hidden="false" customHeight="true" outlineLevel="0" collapsed="false">
      <c r="A8" s="25" t="s">
        <v>615</v>
      </c>
      <c r="B8" s="24"/>
      <c r="C8" s="24"/>
      <c r="D8" s="24"/>
    </row>
    <row r="9" customFormat="false" ht="39" hidden="false" customHeight="true" outlineLevel="0" collapsed="false">
      <c r="A9" s="47" t="s">
        <v>616</v>
      </c>
      <c r="B9" s="2" t="s">
        <v>617</v>
      </c>
      <c r="C9" s="24"/>
      <c r="D9" s="24"/>
    </row>
    <row r="10" customFormat="false" ht="39" hidden="false" customHeight="true" outlineLevel="0" collapsed="false">
      <c r="A10" s="48" t="s">
        <v>618</v>
      </c>
      <c r="B10" s="8" t="n">
        <v>2.8</v>
      </c>
      <c r="C10" s="24"/>
      <c r="D10" s="24"/>
    </row>
    <row r="11" customFormat="false" ht="39" hidden="false" customHeight="true" outlineLevel="0" collapsed="false">
      <c r="A11" s="48" t="s">
        <v>619</v>
      </c>
      <c r="B11" s="8" t="n">
        <v>5.8</v>
      </c>
      <c r="C11" s="24"/>
      <c r="D11" s="24"/>
    </row>
    <row r="12" customFormat="false" ht="39" hidden="false" customHeight="true" outlineLevel="0" collapsed="false">
      <c r="A12" s="48" t="s">
        <v>620</v>
      </c>
      <c r="B12" s="8" t="n">
        <v>5.7</v>
      </c>
      <c r="C12" s="24"/>
      <c r="D12" s="24"/>
    </row>
    <row r="13" customFormat="false" ht="39" hidden="false" customHeight="true" outlineLevel="0" collapsed="false">
      <c r="A13" s="48" t="s">
        <v>621</v>
      </c>
      <c r="B13" s="8" t="n">
        <v>2.8</v>
      </c>
      <c r="C13" s="24"/>
      <c r="D13" s="24"/>
    </row>
    <row r="14" customFormat="false" ht="39" hidden="false" customHeight="true" outlineLevel="0" collapsed="false">
      <c r="A14" s="48" t="s">
        <v>622</v>
      </c>
      <c r="B14" s="8" t="n">
        <v>2.75</v>
      </c>
      <c r="C14" s="24"/>
      <c r="D14" s="24"/>
    </row>
    <row r="15" customFormat="false" ht="39" hidden="false" customHeight="true" outlineLevel="0" collapsed="false">
      <c r="A15" s="48" t="s">
        <v>623</v>
      </c>
      <c r="B15" s="8" t="n">
        <v>1.8</v>
      </c>
      <c r="C15" s="24"/>
      <c r="D15" s="24"/>
    </row>
    <row r="16" customFormat="false" ht="39" hidden="false" customHeight="true" outlineLevel="0" collapsed="false">
      <c r="A16" s="48" t="s">
        <v>624</v>
      </c>
      <c r="B16" s="8" t="n">
        <v>1.6</v>
      </c>
      <c r="C16" s="24"/>
      <c r="D16" s="24"/>
    </row>
    <row r="17" customFormat="false" ht="39" hidden="false" customHeight="true" outlineLevel="0" collapsed="false">
      <c r="A17" s="48" t="s">
        <v>625</v>
      </c>
      <c r="B17" s="8" t="n">
        <v>5.6</v>
      </c>
      <c r="C17" s="24"/>
      <c r="D17" s="24"/>
    </row>
    <row r="18" customFormat="false" ht="15" hidden="false" customHeight="false" outlineLevel="0" collapsed="false">
      <c r="A18" s="24"/>
      <c r="B18" s="24"/>
      <c r="C18" s="24"/>
      <c r="D18" s="24"/>
    </row>
    <row r="19" customFormat="false" ht="39" hidden="false" customHeight="true" outlineLevel="0" collapsed="false">
      <c r="A19" s="25" t="s">
        <v>626</v>
      </c>
      <c r="B19" s="24"/>
      <c r="C19" s="24"/>
      <c r="D19" s="24"/>
    </row>
    <row r="20" customFormat="false" ht="39" hidden="false" customHeight="true" outlineLevel="0" collapsed="false">
      <c r="A20" s="47" t="s">
        <v>616</v>
      </c>
      <c r="B20" s="2" t="s">
        <v>627</v>
      </c>
      <c r="C20" s="24"/>
      <c r="D20" s="24"/>
    </row>
    <row r="21" customFormat="false" ht="39" hidden="false" customHeight="true" outlineLevel="0" collapsed="false">
      <c r="A21" s="48" t="s">
        <v>56</v>
      </c>
      <c r="B21" s="8" t="n">
        <v>0.88</v>
      </c>
      <c r="C21" s="24"/>
      <c r="D21" s="24"/>
    </row>
    <row r="22" customFormat="false" ht="39" hidden="false" customHeight="true" outlineLevel="0" collapsed="false">
      <c r="A22" s="48" t="s">
        <v>628</v>
      </c>
      <c r="B22" s="8" t="n">
        <v>0.88</v>
      </c>
      <c r="C22" s="24"/>
      <c r="D22" s="24"/>
    </row>
    <row r="23" customFormat="false" ht="39" hidden="false" customHeight="true" outlineLevel="0" collapsed="false">
      <c r="A23" s="48" t="s">
        <v>629</v>
      </c>
      <c r="B23" s="8" t="n">
        <v>0.35</v>
      </c>
      <c r="C23" s="24"/>
      <c r="D23" s="24"/>
    </row>
    <row r="24" customFormat="false" ht="39" hidden="false" customHeight="true" outlineLevel="0" collapsed="false">
      <c r="A24" s="48" t="s">
        <v>630</v>
      </c>
      <c r="B24" s="8" t="n">
        <v>0.5</v>
      </c>
      <c r="C24" s="24"/>
      <c r="D24" s="24"/>
    </row>
    <row r="25" customFormat="false" ht="39" hidden="false" customHeight="true" outlineLevel="0" collapsed="false">
      <c r="A25" s="48" t="s">
        <v>631</v>
      </c>
      <c r="B25" s="8" t="n">
        <v>0.6</v>
      </c>
      <c r="C25" s="24"/>
      <c r="D25" s="24"/>
    </row>
    <row r="26" customFormat="false" ht="39" hidden="false" customHeight="true" outlineLevel="0" collapsed="false">
      <c r="A26" s="48" t="s">
        <v>632</v>
      </c>
      <c r="B26" s="8" t="n">
        <v>0.25</v>
      </c>
      <c r="C26" s="24"/>
      <c r="D26" s="24"/>
    </row>
    <row r="27" customFormat="false" ht="39" hidden="false" customHeight="true" outlineLevel="0" collapsed="false">
      <c r="A27" s="48" t="s">
        <v>633</v>
      </c>
      <c r="B27" s="8" t="n">
        <v>0.3</v>
      </c>
      <c r="C27" s="24"/>
      <c r="D27" s="24"/>
    </row>
    <row r="28" customFormat="false" ht="39" hidden="false" customHeight="true" outlineLevel="0" collapsed="false">
      <c r="A28" s="48" t="s">
        <v>634</v>
      </c>
      <c r="B28" s="8" t="n">
        <v>0.2</v>
      </c>
      <c r="C28" s="24"/>
      <c r="D28" s="24"/>
    </row>
    <row r="29" customFormat="false" ht="39" hidden="false" customHeight="true" outlineLevel="0" collapsed="false">
      <c r="A29" s="25" t="s">
        <v>635</v>
      </c>
      <c r="B29" s="24"/>
      <c r="C29" s="24"/>
      <c r="D29" s="24"/>
    </row>
    <row r="30" customFormat="false" ht="39" hidden="false" customHeight="true" outlineLevel="0" collapsed="false">
      <c r="A30" s="47" t="s">
        <v>636</v>
      </c>
      <c r="B30" s="2" t="s">
        <v>637</v>
      </c>
      <c r="C30" s="2" t="s">
        <v>638</v>
      </c>
      <c r="D30" s="24"/>
    </row>
    <row r="31" customFormat="false" ht="39" hidden="false" customHeight="true" outlineLevel="0" collapsed="false">
      <c r="A31" s="48" t="s">
        <v>13</v>
      </c>
      <c r="B31" s="8" t="n">
        <v>16.95</v>
      </c>
      <c r="C31" s="8" t="n">
        <v>8.48</v>
      </c>
      <c r="D31" s="24"/>
    </row>
    <row r="32" customFormat="false" ht="39" hidden="false" customHeight="true" outlineLevel="0" collapsed="false">
      <c r="A32" s="48" t="s">
        <v>19</v>
      </c>
      <c r="B32" s="8" t="n">
        <v>10.5</v>
      </c>
      <c r="C32" s="8" t="n">
        <v>1.6</v>
      </c>
      <c r="D32" s="24"/>
    </row>
    <row r="33" customFormat="false" ht="39" hidden="false" customHeight="true" outlineLevel="0" collapsed="false">
      <c r="A33" s="48" t="s">
        <v>20</v>
      </c>
      <c r="B33" s="8" t="n">
        <v>34.05</v>
      </c>
      <c r="C33" s="8" t="n">
        <v>15</v>
      </c>
      <c r="D33" s="24"/>
    </row>
    <row r="34" customFormat="false" ht="39" hidden="false" customHeight="true" outlineLevel="0" collapsed="false">
      <c r="A34" s="48" t="s">
        <v>21</v>
      </c>
      <c r="B34" s="8" t="n">
        <v>10.5</v>
      </c>
      <c r="C34" s="8" t="n">
        <v>1.6</v>
      </c>
      <c r="D34" s="24"/>
    </row>
    <row r="35" customFormat="false" ht="39" hidden="false" customHeight="true" outlineLevel="0" collapsed="false">
      <c r="A35" s="48" t="s">
        <v>23</v>
      </c>
      <c r="B35" s="8" t="n">
        <v>6</v>
      </c>
      <c r="C35" s="8" t="n">
        <v>3</v>
      </c>
      <c r="D35" s="24"/>
    </row>
    <row r="36" customFormat="false" ht="39" hidden="false" customHeight="true" outlineLevel="0" collapsed="false">
      <c r="A36" s="48" t="s">
        <v>30</v>
      </c>
      <c r="B36" s="8" t="n">
        <v>8.75</v>
      </c>
      <c r="C36" s="8" t="n">
        <v>4.38</v>
      </c>
      <c r="D36" s="24"/>
    </row>
    <row r="37" customFormat="false" ht="39" hidden="false" customHeight="true" outlineLevel="0" collapsed="false">
      <c r="A37" s="48" t="s">
        <v>31</v>
      </c>
      <c r="B37" s="8" t="n">
        <v>5</v>
      </c>
      <c r="C37" s="8" t="n">
        <v>5</v>
      </c>
      <c r="D37" s="24"/>
    </row>
    <row r="38" customFormat="false" ht="39" hidden="false" customHeight="true" outlineLevel="0" collapsed="false">
      <c r="A38" s="48" t="s">
        <v>33</v>
      </c>
      <c r="B38" s="8" t="n">
        <v>3.75</v>
      </c>
      <c r="C38" s="8" t="n">
        <v>1.88</v>
      </c>
      <c r="D38" s="24"/>
    </row>
    <row r="39" customFormat="false" ht="39" hidden="false" customHeight="true" outlineLevel="0" collapsed="false">
      <c r="A39" s="48" t="s">
        <v>34</v>
      </c>
      <c r="B39" s="8" t="n">
        <v>1.875</v>
      </c>
      <c r="C39" s="8" t="n">
        <v>0.94</v>
      </c>
      <c r="D39" s="24"/>
    </row>
    <row r="40" customFormat="false" ht="39" hidden="false" customHeight="true" outlineLevel="0" collapsed="false">
      <c r="A40" s="49" t="s">
        <v>639</v>
      </c>
      <c r="B40" s="19" t="n">
        <v>97.38</v>
      </c>
      <c r="C40" s="24"/>
      <c r="D40" s="24"/>
    </row>
    <row r="41" customFormat="false" ht="15" hidden="false" customHeight="false" outlineLevel="0" collapsed="false">
      <c r="A41" s="24"/>
      <c r="B41" s="24"/>
      <c r="C41" s="24"/>
      <c r="D41" s="24"/>
    </row>
    <row r="42" customFormat="false" ht="39" hidden="false" customHeight="true" outlineLevel="0" collapsed="false">
      <c r="A42" s="25" t="s">
        <v>640</v>
      </c>
      <c r="B42" s="24"/>
      <c r="C42" s="24"/>
      <c r="D42" s="24"/>
    </row>
    <row r="43" customFormat="false" ht="15" hidden="false" customHeight="false" outlineLevel="0" collapsed="false">
      <c r="A43" s="24"/>
      <c r="B43" s="24"/>
      <c r="C43" s="24"/>
      <c r="D43" s="24"/>
    </row>
    <row r="44" customFormat="false" ht="39" hidden="false" customHeight="true" outlineLevel="0" collapsed="false">
      <c r="A44" s="25" t="s">
        <v>641</v>
      </c>
      <c r="B44" s="24"/>
      <c r="C44" s="24"/>
      <c r="D44" s="24"/>
    </row>
    <row r="45" customFormat="false" ht="39" hidden="false" customHeight="true" outlineLevel="0" collapsed="false">
      <c r="A45" s="47" t="s">
        <v>642</v>
      </c>
      <c r="B45" s="2" t="s">
        <v>643</v>
      </c>
      <c r="C45" s="2" t="s">
        <v>644</v>
      </c>
      <c r="D45" s="47" t="s">
        <v>645</v>
      </c>
    </row>
    <row r="46" customFormat="false" ht="39" hidden="false" customHeight="true" outlineLevel="0" collapsed="false">
      <c r="A46" s="48" t="s">
        <v>646</v>
      </c>
      <c r="B46" s="8" t="n">
        <v>0.45</v>
      </c>
      <c r="C46" s="8" t="s">
        <v>647</v>
      </c>
      <c r="D46" s="48" t="s">
        <v>648</v>
      </c>
    </row>
    <row r="47" customFormat="false" ht="39" hidden="false" customHeight="true" outlineLevel="0" collapsed="false">
      <c r="A47" s="48" t="s">
        <v>649</v>
      </c>
      <c r="B47" s="8" t="n">
        <v>0.3</v>
      </c>
      <c r="C47" s="8" t="s">
        <v>650</v>
      </c>
      <c r="D47" s="48" t="s">
        <v>651</v>
      </c>
    </row>
    <row r="48" customFormat="false" ht="39" hidden="false" customHeight="true" outlineLevel="0" collapsed="false">
      <c r="A48" s="48" t="s">
        <v>652</v>
      </c>
      <c r="B48" s="8" t="n">
        <v>0.3</v>
      </c>
      <c r="C48" s="8" t="s">
        <v>653</v>
      </c>
      <c r="D48" s="48" t="s">
        <v>651</v>
      </c>
    </row>
    <row r="49" customFormat="false" ht="39" hidden="false" customHeight="true" outlineLevel="0" collapsed="false">
      <c r="A49" s="48" t="s">
        <v>654</v>
      </c>
      <c r="B49" s="8" t="n">
        <v>0.9</v>
      </c>
      <c r="C49" s="8" t="s">
        <v>655</v>
      </c>
      <c r="D49" s="48" t="s">
        <v>656</v>
      </c>
    </row>
    <row r="50" customFormat="false" ht="39" hidden="false" customHeight="true" outlineLevel="0" collapsed="false">
      <c r="A50" s="48" t="s">
        <v>57</v>
      </c>
      <c r="B50" s="8" t="n">
        <v>0.3</v>
      </c>
      <c r="C50" s="8" t="s">
        <v>657</v>
      </c>
      <c r="D50" s="48" t="s">
        <v>658</v>
      </c>
    </row>
    <row r="51" customFormat="false" ht="39" hidden="false" customHeight="true" outlineLevel="0" collapsed="false">
      <c r="A51" s="48" t="s">
        <v>70</v>
      </c>
      <c r="B51" s="8" t="n">
        <v>0.3</v>
      </c>
      <c r="C51" s="8" t="s">
        <v>657</v>
      </c>
      <c r="D51" s="48" t="s">
        <v>659</v>
      </c>
    </row>
    <row r="52" customFormat="false" ht="39" hidden="false" customHeight="true" outlineLevel="0" collapsed="false">
      <c r="A52" s="48" t="s">
        <v>64</v>
      </c>
      <c r="B52" s="8" t="n">
        <v>0.3</v>
      </c>
      <c r="C52" s="8" t="s">
        <v>660</v>
      </c>
      <c r="D52" s="48" t="s">
        <v>661</v>
      </c>
    </row>
    <row r="53" customFormat="false" ht="39" hidden="false" customHeight="true" outlineLevel="0" collapsed="false">
      <c r="A53" s="48" t="s">
        <v>75</v>
      </c>
      <c r="B53" s="8" t="n">
        <v>0.3</v>
      </c>
      <c r="C53" s="8" t="s">
        <v>660</v>
      </c>
      <c r="D53" s="48" t="s">
        <v>662</v>
      </c>
    </row>
    <row r="54" customFormat="false" ht="39" hidden="false" customHeight="true" outlineLevel="0" collapsed="false">
      <c r="A54" s="48" t="s">
        <v>663</v>
      </c>
      <c r="B54" s="8" t="n">
        <v>0.25</v>
      </c>
      <c r="C54" s="8" t="s">
        <v>664</v>
      </c>
      <c r="D54" s="48" t="s">
        <v>665</v>
      </c>
    </row>
    <row r="55" customFormat="false" ht="15" hidden="false" customHeight="false" outlineLevel="0" collapsed="false">
      <c r="A55" s="24"/>
      <c r="B55" s="24"/>
      <c r="C55" s="24"/>
      <c r="D55" s="24"/>
    </row>
    <row r="56" customFormat="false" ht="39" hidden="false" customHeight="true" outlineLevel="0" collapsed="false">
      <c r="A56" s="25" t="s">
        <v>666</v>
      </c>
      <c r="B56" s="24"/>
      <c r="C56" s="24"/>
      <c r="D56" s="24"/>
    </row>
    <row r="57" customFormat="false" ht="39" hidden="false" customHeight="true" outlineLevel="0" collapsed="false">
      <c r="A57" s="26" t="s">
        <v>667</v>
      </c>
      <c r="B57" s="24"/>
      <c r="C57" s="24"/>
      <c r="D57" s="24"/>
    </row>
    <row r="58" customFormat="false" ht="39" hidden="false" customHeight="true" outlineLevel="0" collapsed="false">
      <c r="A58" s="26" t="s">
        <v>668</v>
      </c>
      <c r="B58" s="24"/>
      <c r="C58" s="24"/>
      <c r="D58" s="24"/>
    </row>
    <row r="59" customFormat="false" ht="39" hidden="false" customHeight="true" outlineLevel="0" collapsed="false">
      <c r="A59" s="26" t="s">
        <v>669</v>
      </c>
      <c r="B59" s="24"/>
      <c r="C59" s="24"/>
      <c r="D59" s="24"/>
    </row>
    <row r="60" customFormat="false" ht="15" hidden="false" customHeight="false" outlineLevel="0" collapsed="false">
      <c r="A60" s="24"/>
      <c r="B60" s="24"/>
      <c r="C60" s="24"/>
      <c r="D60" s="24"/>
    </row>
    <row r="61" customFormat="false" ht="39" hidden="false" customHeight="true" outlineLevel="0" collapsed="false">
      <c r="A61" s="25" t="s">
        <v>670</v>
      </c>
      <c r="B61" s="24"/>
      <c r="C61" s="24"/>
      <c r="D61" s="24"/>
    </row>
    <row r="62" customFormat="false" ht="39" hidden="false" customHeight="true" outlineLevel="0" collapsed="false">
      <c r="A62" s="26" t="s">
        <v>671</v>
      </c>
      <c r="B62" s="24"/>
      <c r="C62" s="24"/>
      <c r="D62" s="2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6.7"/>
    <col collapsed="false" customWidth="true" hidden="false" outlineLevel="0" max="2" min="2" style="0" width="18.9"/>
    <col collapsed="false" customWidth="true" hidden="false" outlineLevel="0" max="3" min="3" style="0" width="16.2"/>
    <col collapsed="false" customWidth="true" hidden="false" outlineLevel="0" max="4" min="4" style="0" width="70.2"/>
  </cols>
  <sheetData>
    <row r="1" customFormat="false" ht="39" hidden="false" customHeight="true" outlineLevel="0" collapsed="false">
      <c r="A1" s="25" t="s">
        <v>672</v>
      </c>
      <c r="B1" s="24"/>
      <c r="C1" s="24"/>
      <c r="D1" s="24"/>
    </row>
    <row r="2" customFormat="false" ht="15" hidden="false" customHeight="false" outlineLevel="0" collapsed="false">
      <c r="A2" s="24"/>
      <c r="B2" s="24"/>
      <c r="C2" s="24"/>
      <c r="D2" s="24"/>
    </row>
    <row r="3" customFormat="false" ht="39" hidden="false" customHeight="true" outlineLevel="0" collapsed="false">
      <c r="A3" s="47" t="s">
        <v>554</v>
      </c>
      <c r="B3" s="2" t="s">
        <v>490</v>
      </c>
      <c r="C3" s="2" t="s">
        <v>491</v>
      </c>
      <c r="D3" s="47" t="s">
        <v>555</v>
      </c>
    </row>
    <row r="4" customFormat="false" ht="39" hidden="false" customHeight="true" outlineLevel="0" collapsed="false">
      <c r="A4" s="48" t="s">
        <v>673</v>
      </c>
      <c r="B4" s="8" t="n">
        <v>1.07</v>
      </c>
      <c r="C4" s="8" t="s">
        <v>16</v>
      </c>
      <c r="D4" s="48" t="s">
        <v>674</v>
      </c>
    </row>
    <row r="5" customFormat="false" ht="39" hidden="false" customHeight="true" outlineLevel="0" collapsed="false">
      <c r="A5" s="48" t="s">
        <v>675</v>
      </c>
      <c r="B5" s="8" t="n">
        <v>1</v>
      </c>
      <c r="C5" s="8" t="s">
        <v>16</v>
      </c>
      <c r="D5" s="48" t="s">
        <v>676</v>
      </c>
    </row>
    <row r="6" customFormat="false" ht="39" hidden="false" customHeight="true" outlineLevel="0" collapsed="false">
      <c r="A6" s="48" t="s">
        <v>677</v>
      </c>
      <c r="B6" s="8" t="n">
        <v>1</v>
      </c>
      <c r="C6" s="8" t="s">
        <v>16</v>
      </c>
      <c r="D6" s="48" t="s">
        <v>676</v>
      </c>
    </row>
    <row r="7" customFormat="false" ht="15" hidden="false" customHeight="false" outlineLevel="0" collapsed="false">
      <c r="A7" s="24"/>
      <c r="B7" s="24"/>
      <c r="C7" s="24"/>
      <c r="D7" s="24"/>
    </row>
    <row r="8" customFormat="false" ht="39" hidden="false" customHeight="true" outlineLevel="0" collapsed="false">
      <c r="A8" s="25" t="s">
        <v>678</v>
      </c>
      <c r="B8" s="24"/>
      <c r="C8" s="24"/>
      <c r="D8" s="24"/>
    </row>
    <row r="9" customFormat="false" ht="39" hidden="false" customHeight="true" outlineLevel="0" collapsed="false">
      <c r="A9" s="48" t="s">
        <v>679</v>
      </c>
      <c r="B9" s="8" t="n">
        <v>90</v>
      </c>
      <c r="C9" s="8" t="s">
        <v>680</v>
      </c>
      <c r="D9" s="48" t="s">
        <v>674</v>
      </c>
    </row>
    <row r="10" customFormat="false" ht="39" hidden="false" customHeight="true" outlineLevel="0" collapsed="false">
      <c r="A10" s="48" t="s">
        <v>681</v>
      </c>
      <c r="B10" s="8" t="n">
        <v>82</v>
      </c>
      <c r="C10" s="8" t="s">
        <v>680</v>
      </c>
      <c r="D10" s="48" t="s">
        <v>674</v>
      </c>
    </row>
    <row r="11" customFormat="false" ht="39" hidden="false" customHeight="true" outlineLevel="0" collapsed="false">
      <c r="A11" s="48" t="s">
        <v>682</v>
      </c>
      <c r="B11" s="8" t="n">
        <v>20</v>
      </c>
      <c r="C11" s="8" t="s">
        <v>680</v>
      </c>
      <c r="D11" s="48" t="s">
        <v>674</v>
      </c>
    </row>
    <row r="12" customFormat="false" ht="15" hidden="false" customHeight="false" outlineLevel="0" collapsed="false">
      <c r="A12" s="24"/>
      <c r="B12" s="24"/>
      <c r="C12" s="24"/>
      <c r="D12" s="24"/>
    </row>
    <row r="13" customFormat="false" ht="39" hidden="false" customHeight="true" outlineLevel="0" collapsed="false">
      <c r="A13" s="25" t="s">
        <v>683</v>
      </c>
      <c r="B13" s="8" t="s">
        <v>684</v>
      </c>
      <c r="C13" s="24"/>
      <c r="D13" s="24"/>
    </row>
    <row r="14" customFormat="false" ht="39" hidden="false" customHeight="true" outlineLevel="0" collapsed="false">
      <c r="A14" s="48" t="s">
        <v>685</v>
      </c>
      <c r="B14" s="8" t="n">
        <v>245</v>
      </c>
      <c r="C14" s="8" t="s">
        <v>686</v>
      </c>
      <c r="D14" s="48" t="s">
        <v>687</v>
      </c>
    </row>
    <row r="15" customFormat="false" ht="39" hidden="false" customHeight="true" outlineLevel="0" collapsed="false">
      <c r="A15" s="48" t="s">
        <v>688</v>
      </c>
      <c r="B15" s="8" t="n">
        <v>1.12</v>
      </c>
      <c r="C15" s="8" t="s">
        <v>16</v>
      </c>
      <c r="D15" s="48" t="s">
        <v>689</v>
      </c>
    </row>
    <row r="16" customFormat="false" ht="39" hidden="false" customHeight="true" outlineLevel="0" collapsed="false">
      <c r="A16" s="48" t="s">
        <v>690</v>
      </c>
      <c r="B16" s="8" t="n">
        <v>8</v>
      </c>
      <c r="C16" s="8" t="s">
        <v>525</v>
      </c>
      <c r="D16" s="48" t="s">
        <v>691</v>
      </c>
    </row>
    <row r="17" customFormat="false" ht="39" hidden="false" customHeight="true" outlineLevel="0" collapsed="false">
      <c r="A17" s="25" t="s">
        <v>692</v>
      </c>
      <c r="B17" s="24"/>
      <c r="C17" s="24"/>
      <c r="D17" s="24"/>
    </row>
    <row r="18" customFormat="false" ht="39" hidden="false" customHeight="true" outlineLevel="0" collapsed="false">
      <c r="A18" s="48" t="s">
        <v>693</v>
      </c>
      <c r="B18" s="8" t="n">
        <v>632</v>
      </c>
      <c r="C18" s="8" t="s">
        <v>686</v>
      </c>
      <c r="D18" s="48" t="s">
        <v>694</v>
      </c>
    </row>
    <row r="19" customFormat="false" ht="39" hidden="false" customHeight="true" outlineLevel="0" collapsed="false">
      <c r="A19" s="48" t="s">
        <v>695</v>
      </c>
      <c r="B19" s="8" t="n">
        <v>1174</v>
      </c>
      <c r="C19" s="8" t="s">
        <v>686</v>
      </c>
      <c r="D19" s="48" t="s">
        <v>696</v>
      </c>
    </row>
    <row r="20" customFormat="false" ht="15" hidden="false" customHeight="false" outlineLevel="0" collapsed="false">
      <c r="A20" s="24"/>
      <c r="B20" s="24"/>
      <c r="C20" s="24"/>
      <c r="D20" s="24"/>
    </row>
    <row r="21" customFormat="false" ht="39" hidden="false" customHeight="true" outlineLevel="0" collapsed="false">
      <c r="A21" s="25" t="s">
        <v>697</v>
      </c>
      <c r="B21" s="24"/>
      <c r="C21" s="24"/>
      <c r="D21" s="24"/>
    </row>
    <row r="22" customFormat="false" ht="39" hidden="false" customHeight="true" outlineLevel="0" collapsed="false">
      <c r="A22" s="47" t="s">
        <v>698</v>
      </c>
      <c r="B22" s="2" t="s">
        <v>699</v>
      </c>
      <c r="C22" s="24"/>
      <c r="D22" s="24"/>
    </row>
    <row r="23" customFormat="false" ht="39" hidden="false" customHeight="true" outlineLevel="0" collapsed="false">
      <c r="A23" s="48" t="s">
        <v>700</v>
      </c>
      <c r="B23" s="8" t="n">
        <v>60</v>
      </c>
      <c r="C23" s="24"/>
      <c r="D23" s="24"/>
    </row>
    <row r="24" customFormat="false" ht="39" hidden="false" customHeight="true" outlineLevel="0" collapsed="false">
      <c r="A24" s="48" t="s">
        <v>701</v>
      </c>
      <c r="B24" s="8" t="n">
        <v>20</v>
      </c>
      <c r="C24" s="24"/>
      <c r="D24" s="24"/>
    </row>
    <row r="25" customFormat="false" ht="39" hidden="false" customHeight="true" outlineLevel="0" collapsed="false">
      <c r="A25" s="48" t="s">
        <v>702</v>
      </c>
      <c r="B25" s="8" t="n">
        <v>25</v>
      </c>
      <c r="C25" s="24"/>
      <c r="D25" s="24"/>
    </row>
    <row r="26" customFormat="false" ht="39" hidden="false" customHeight="true" outlineLevel="0" collapsed="false">
      <c r="A26" s="48" t="s">
        <v>703</v>
      </c>
      <c r="B26" s="8" t="n">
        <v>30</v>
      </c>
      <c r="C26" s="24"/>
      <c r="D26" s="24"/>
    </row>
    <row r="27" customFormat="false" ht="39" hidden="false" customHeight="true" outlineLevel="0" collapsed="false">
      <c r="A27" s="48" t="s">
        <v>704</v>
      </c>
      <c r="B27" s="8" t="n">
        <v>20</v>
      </c>
      <c r="C27" s="24"/>
      <c r="D27" s="24"/>
    </row>
    <row r="28" customFormat="false" ht="39" hidden="false" customHeight="true" outlineLevel="0" collapsed="false">
      <c r="A28" s="48" t="s">
        <v>705</v>
      </c>
      <c r="B28" s="8" t="n">
        <v>15</v>
      </c>
      <c r="C28" s="24"/>
      <c r="D28" s="24"/>
    </row>
    <row r="29" customFormat="false" ht="39" hidden="false" customHeight="true" outlineLevel="0" collapsed="false">
      <c r="A29" s="48" t="s">
        <v>706</v>
      </c>
      <c r="B29" s="8" t="n">
        <v>10</v>
      </c>
      <c r="C29" s="24"/>
      <c r="D29" s="24"/>
    </row>
    <row r="30" customFormat="false" ht="39" hidden="false" customHeight="true" outlineLevel="0" collapsed="false">
      <c r="A30" s="48" t="s">
        <v>707</v>
      </c>
      <c r="B30" s="8" t="n">
        <v>15</v>
      </c>
      <c r="C30" s="24"/>
      <c r="D30" s="24"/>
    </row>
    <row r="31" customFormat="false" ht="39" hidden="false" customHeight="true" outlineLevel="0" collapsed="false">
      <c r="A31" s="48" t="s">
        <v>708</v>
      </c>
      <c r="B31" s="8" t="n">
        <v>6</v>
      </c>
      <c r="C31" s="24"/>
      <c r="D31" s="24"/>
    </row>
    <row r="32" customFormat="false" ht="39" hidden="false" customHeight="true" outlineLevel="0" collapsed="false">
      <c r="A32" s="48" t="s">
        <v>709</v>
      </c>
      <c r="B32" s="8" t="n">
        <v>9</v>
      </c>
      <c r="C32" s="24"/>
      <c r="D32" s="24"/>
    </row>
    <row r="33" customFormat="false" ht="39" hidden="false" customHeight="true" outlineLevel="0" collapsed="false">
      <c r="A33" s="48" t="s">
        <v>710</v>
      </c>
      <c r="B33" s="8" t="n">
        <v>12</v>
      </c>
      <c r="C33" s="24"/>
      <c r="D33" s="24"/>
    </row>
    <row r="34" customFormat="false" ht="15" hidden="false" customHeight="false" outlineLevel="0" collapsed="false">
      <c r="A34" s="24"/>
      <c r="B34" s="24"/>
      <c r="C34" s="24"/>
      <c r="D34" s="24"/>
    </row>
    <row r="35" customFormat="false" ht="39" hidden="false" customHeight="true" outlineLevel="0" collapsed="false">
      <c r="A35" s="25" t="s">
        <v>711</v>
      </c>
      <c r="B35" s="24"/>
      <c r="C35" s="24"/>
      <c r="D35" s="24"/>
    </row>
    <row r="36" customFormat="false" ht="15" hidden="false" customHeight="false" outlineLevel="0" collapsed="false">
      <c r="A36" s="24"/>
      <c r="B36" s="24"/>
      <c r="C36" s="24"/>
      <c r="D36" s="24"/>
    </row>
    <row r="37" customFormat="false" ht="39" hidden="false" customHeight="true" outlineLevel="0" collapsed="false">
      <c r="A37" s="25" t="s">
        <v>712</v>
      </c>
      <c r="B37" s="24"/>
      <c r="C37" s="24"/>
      <c r="D37" s="24"/>
    </row>
    <row r="38" customFormat="false" ht="39" hidden="false" customHeight="true" outlineLevel="0" collapsed="false">
      <c r="A38" s="26" t="s">
        <v>713</v>
      </c>
      <c r="B38" s="24"/>
      <c r="C38" s="24"/>
      <c r="D38" s="24"/>
    </row>
    <row r="39" customFormat="false" ht="39" hidden="false" customHeight="true" outlineLevel="0" collapsed="false">
      <c r="A39" s="26" t="s">
        <v>714</v>
      </c>
      <c r="B39" s="24"/>
      <c r="C39" s="24"/>
      <c r="D39" s="24"/>
    </row>
    <row r="40" customFormat="false" ht="39" hidden="false" customHeight="true" outlineLevel="0" collapsed="false">
      <c r="A40" s="26" t="s">
        <v>715</v>
      </c>
      <c r="B40" s="24"/>
      <c r="C40" s="24"/>
      <c r="D40" s="24"/>
    </row>
    <row r="41" customFormat="false" ht="39" hidden="false" customHeight="true" outlineLevel="0" collapsed="false">
      <c r="A41" s="26" t="s">
        <v>716</v>
      </c>
      <c r="B41" s="24"/>
      <c r="C41" s="24"/>
      <c r="D41" s="24"/>
    </row>
    <row r="42" customFormat="false" ht="39" hidden="false" customHeight="true" outlineLevel="0" collapsed="false">
      <c r="A42" s="26" t="s">
        <v>717</v>
      </c>
      <c r="B42" s="24"/>
      <c r="C42" s="24"/>
      <c r="D42" s="24"/>
    </row>
    <row r="43" customFormat="false" ht="39" hidden="false" customHeight="true" outlineLevel="0" collapsed="false">
      <c r="A43" s="26" t="s">
        <v>718</v>
      </c>
      <c r="B43" s="24"/>
      <c r="C43" s="24"/>
      <c r="D43" s="24"/>
    </row>
    <row r="44" customFormat="false" ht="39" hidden="false" customHeight="true" outlineLevel="0" collapsed="false">
      <c r="A44" s="26" t="s">
        <v>719</v>
      </c>
      <c r="B44" s="24"/>
      <c r="C44" s="24"/>
      <c r="D44" s="24"/>
    </row>
    <row r="45" customFormat="false" ht="15" hidden="false" customHeight="false" outlineLevel="0" collapsed="false">
      <c r="A45" s="26"/>
      <c r="B45" s="24"/>
      <c r="C45" s="24"/>
      <c r="D45" s="24"/>
    </row>
    <row r="46" customFormat="false" ht="39" hidden="false" customHeight="true" outlineLevel="0" collapsed="false">
      <c r="A46" s="25" t="s">
        <v>720</v>
      </c>
      <c r="B46" s="24"/>
      <c r="C46" s="24"/>
      <c r="D46" s="24"/>
    </row>
    <row r="47" customFormat="false" ht="39" hidden="false" customHeight="true" outlineLevel="0" collapsed="false">
      <c r="A47" s="26" t="s">
        <v>721</v>
      </c>
      <c r="B47" s="24"/>
      <c r="C47" s="24"/>
      <c r="D47" s="24"/>
    </row>
    <row r="48" customFormat="false" ht="39" hidden="false" customHeight="true" outlineLevel="0" collapsed="false">
      <c r="A48" s="26" t="s">
        <v>722</v>
      </c>
      <c r="B48" s="24"/>
      <c r="C48" s="24"/>
      <c r="D48" s="24"/>
    </row>
    <row r="49" customFormat="false" ht="39" hidden="false" customHeight="true" outlineLevel="0" collapsed="false">
      <c r="A49" s="26" t="s">
        <v>723</v>
      </c>
      <c r="B49" s="24"/>
      <c r="C49" s="24"/>
      <c r="D49" s="24"/>
    </row>
    <row r="50" customFormat="false" ht="39" hidden="false" customHeight="true" outlineLevel="0" collapsed="false">
      <c r="A50" s="26" t="s">
        <v>724</v>
      </c>
      <c r="B50" s="24"/>
      <c r="C50" s="24"/>
      <c r="D50" s="24"/>
    </row>
    <row r="51" customFormat="false" ht="39" hidden="false" customHeight="true" outlineLevel="0" collapsed="false">
      <c r="A51" s="26" t="s">
        <v>725</v>
      </c>
      <c r="B51" s="24"/>
      <c r="C51" s="24"/>
      <c r="D51" s="24"/>
    </row>
    <row r="52" customFormat="false" ht="39" hidden="false" customHeight="true" outlineLevel="0" collapsed="false">
      <c r="A52" s="26" t="s">
        <v>726</v>
      </c>
      <c r="B52" s="24"/>
      <c r="C52" s="24"/>
      <c r="D52" s="24"/>
    </row>
    <row r="53" customFormat="false" ht="15" hidden="false" customHeight="false" outlineLevel="0" collapsed="false">
      <c r="A53" s="26"/>
      <c r="B53" s="24"/>
      <c r="C53" s="24"/>
      <c r="D53" s="24"/>
    </row>
    <row r="54" customFormat="false" ht="39" hidden="false" customHeight="true" outlineLevel="0" collapsed="false">
      <c r="A54" s="26" t="s">
        <v>727</v>
      </c>
      <c r="B54" s="24"/>
      <c r="C54" s="24"/>
      <c r="D54" s="2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9.71"/>
    <col collapsed="false" customWidth="true" hidden="false" outlineLevel="0" max="2" min="2" style="0" width="129.6"/>
  </cols>
  <sheetData>
    <row r="1" customFormat="false" ht="39" hidden="false" customHeight="true" outlineLevel="0" collapsed="false">
      <c r="A1" s="51" t="s">
        <v>728</v>
      </c>
      <c r="B1" s="51"/>
    </row>
    <row r="2" customFormat="false" ht="39" hidden="false" customHeight="true" outlineLevel="0" collapsed="false">
      <c r="A2" s="51"/>
      <c r="B2" s="52"/>
    </row>
    <row r="3" customFormat="false" ht="39" hidden="false" customHeight="true" outlineLevel="0" collapsed="false">
      <c r="A3" s="51" t="s">
        <v>729</v>
      </c>
      <c r="B3" s="51" t="s">
        <v>730</v>
      </c>
    </row>
    <row r="4" customFormat="false" ht="39" hidden="false" customHeight="true" outlineLevel="0" collapsed="false">
      <c r="A4" s="51"/>
      <c r="B4" s="52" t="s">
        <v>731</v>
      </c>
    </row>
    <row r="5" customFormat="false" ht="39" hidden="false" customHeight="true" outlineLevel="0" collapsed="false">
      <c r="A5" s="51"/>
      <c r="B5" s="52" t="s">
        <v>732</v>
      </c>
    </row>
    <row r="6" customFormat="false" ht="39" hidden="false" customHeight="true" outlineLevel="0" collapsed="false">
      <c r="A6" s="51"/>
      <c r="B6" s="52" t="s">
        <v>733</v>
      </c>
    </row>
    <row r="7" customFormat="false" ht="39" hidden="false" customHeight="true" outlineLevel="0" collapsed="false">
      <c r="A7" s="51"/>
      <c r="B7" s="52"/>
    </row>
    <row r="8" customFormat="false" ht="39" hidden="false" customHeight="true" outlineLevel="0" collapsed="false">
      <c r="A8" s="51" t="s">
        <v>734</v>
      </c>
      <c r="B8" s="51" t="s">
        <v>735</v>
      </c>
    </row>
    <row r="9" customFormat="false" ht="39" hidden="false" customHeight="true" outlineLevel="0" collapsed="false">
      <c r="A9" s="51"/>
      <c r="B9" s="52"/>
    </row>
    <row r="10" customFormat="false" ht="39" hidden="false" customHeight="true" outlineLevel="0" collapsed="false">
      <c r="A10" s="51" t="s">
        <v>736</v>
      </c>
      <c r="B10" s="51" t="s">
        <v>737</v>
      </c>
    </row>
    <row r="11" customFormat="false" ht="39" hidden="false" customHeight="true" outlineLevel="0" collapsed="false">
      <c r="A11" s="51"/>
      <c r="B11" s="52" t="s">
        <v>738</v>
      </c>
    </row>
    <row r="12" customFormat="false" ht="39" hidden="false" customHeight="true" outlineLevel="0" collapsed="false">
      <c r="A12" s="51"/>
      <c r="B12" s="52" t="s">
        <v>739</v>
      </c>
    </row>
    <row r="13" customFormat="false" ht="39" hidden="false" customHeight="true" outlineLevel="0" collapsed="false">
      <c r="A13" s="51"/>
      <c r="B13" s="52" t="s">
        <v>740</v>
      </c>
    </row>
    <row r="14" customFormat="false" ht="39" hidden="false" customHeight="true" outlineLevel="0" collapsed="false">
      <c r="A14" s="51"/>
      <c r="B14" s="52"/>
    </row>
    <row r="15" customFormat="false" ht="39" hidden="false" customHeight="true" outlineLevel="0" collapsed="false">
      <c r="A15" s="51" t="s">
        <v>741</v>
      </c>
      <c r="B15" s="51" t="s">
        <v>742</v>
      </c>
    </row>
    <row r="16" customFormat="false" ht="39" hidden="false" customHeight="true" outlineLevel="0" collapsed="false">
      <c r="A16" s="51"/>
      <c r="B16" s="52" t="s">
        <v>743</v>
      </c>
    </row>
    <row r="17" customFormat="false" ht="39" hidden="false" customHeight="true" outlineLevel="0" collapsed="false">
      <c r="A17" s="51"/>
      <c r="B17" s="52" t="s">
        <v>744</v>
      </c>
    </row>
    <row r="18" customFormat="false" ht="39" hidden="false" customHeight="true" outlineLevel="0" collapsed="false">
      <c r="A18" s="51"/>
      <c r="B18" s="52"/>
    </row>
    <row r="19" customFormat="false" ht="39" hidden="false" customHeight="true" outlineLevel="0" collapsed="false">
      <c r="A19" s="51"/>
      <c r="B19" s="52" t="s">
        <v>745</v>
      </c>
    </row>
    <row r="20" customFormat="false" ht="39" hidden="false" customHeight="true" outlineLevel="0" collapsed="false">
      <c r="A20" s="51"/>
      <c r="B20" s="52" t="s">
        <v>746</v>
      </c>
    </row>
    <row r="21" customFormat="false" ht="39" hidden="false" customHeight="true" outlineLevel="0" collapsed="false">
      <c r="A21" s="51"/>
      <c r="B21" s="52"/>
    </row>
    <row r="22" customFormat="false" ht="39" hidden="false" customHeight="true" outlineLevel="0" collapsed="false">
      <c r="A22" s="51" t="s">
        <v>747</v>
      </c>
      <c r="B22" s="51" t="s">
        <v>748</v>
      </c>
    </row>
    <row r="23" customFormat="false" ht="39" hidden="false" customHeight="true" outlineLevel="0" collapsed="false">
      <c r="A23" s="51"/>
      <c r="B23" s="52" t="s">
        <v>749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7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4"/>
    <col collapsed="false" customWidth="true" hidden="false" outlineLevel="0" max="2" min="2" style="0" width="132.3"/>
  </cols>
  <sheetData>
    <row r="1" customFormat="false" ht="39" hidden="false" customHeight="true" outlineLevel="0" collapsed="false">
      <c r="A1" s="51" t="s">
        <v>750</v>
      </c>
      <c r="B1" s="51"/>
    </row>
    <row r="2" customFormat="false" ht="39" hidden="false" customHeight="true" outlineLevel="0" collapsed="false">
      <c r="A2" s="51"/>
      <c r="B2" s="52"/>
    </row>
    <row r="3" customFormat="false" ht="39" hidden="false" customHeight="true" outlineLevel="0" collapsed="false">
      <c r="A3" s="51" t="s">
        <v>751</v>
      </c>
      <c r="B3" s="51" t="s">
        <v>752</v>
      </c>
    </row>
    <row r="4" customFormat="false" ht="39" hidden="false" customHeight="true" outlineLevel="0" collapsed="false">
      <c r="A4" s="51" t="s">
        <v>753</v>
      </c>
      <c r="B4" s="51" t="s">
        <v>754</v>
      </c>
    </row>
    <row r="5" customFormat="false" ht="39" hidden="false" customHeight="true" outlineLevel="0" collapsed="false">
      <c r="A5" s="51" t="s">
        <v>134</v>
      </c>
      <c r="B5" s="51" t="s">
        <v>755</v>
      </c>
    </row>
    <row r="6" customFormat="false" ht="39" hidden="false" customHeight="true" outlineLevel="0" collapsed="false">
      <c r="A6" s="51"/>
      <c r="B6" s="52"/>
    </row>
    <row r="7" customFormat="false" ht="39" hidden="false" customHeight="true" outlineLevel="0" collapsed="false">
      <c r="A7" s="51" t="s">
        <v>756</v>
      </c>
      <c r="B7" s="51"/>
    </row>
    <row r="8" customFormat="false" ht="39" hidden="false" customHeight="true" outlineLevel="0" collapsed="false">
      <c r="A8" s="51" t="s">
        <v>757</v>
      </c>
      <c r="B8" s="52" t="s">
        <v>758</v>
      </c>
    </row>
    <row r="9" customFormat="false" ht="39" hidden="false" customHeight="true" outlineLevel="0" collapsed="false">
      <c r="A9" s="51"/>
      <c r="B9" s="52" t="s">
        <v>759</v>
      </c>
    </row>
    <row r="10" customFormat="false" ht="39" hidden="false" customHeight="true" outlineLevel="0" collapsed="false">
      <c r="A10" s="51" t="s">
        <v>760</v>
      </c>
      <c r="B10" s="52" t="s">
        <v>761</v>
      </c>
    </row>
    <row r="11" customFormat="false" ht="39" hidden="false" customHeight="true" outlineLevel="0" collapsed="false">
      <c r="A11" s="51"/>
      <c r="B11" s="52" t="s">
        <v>762</v>
      </c>
    </row>
    <row r="12" customFormat="false" ht="39" hidden="false" customHeight="true" outlineLevel="0" collapsed="false">
      <c r="A12" s="51" t="s">
        <v>763</v>
      </c>
      <c r="B12" s="52" t="s">
        <v>764</v>
      </c>
    </row>
    <row r="13" customFormat="false" ht="39" hidden="false" customHeight="true" outlineLevel="0" collapsed="false">
      <c r="A13" s="51" t="s">
        <v>765</v>
      </c>
      <c r="B13" s="52" t="s">
        <v>766</v>
      </c>
    </row>
    <row r="14" customFormat="false" ht="39" hidden="false" customHeight="true" outlineLevel="0" collapsed="false">
      <c r="A14" s="51" t="s">
        <v>767</v>
      </c>
      <c r="B14" s="52" t="s">
        <v>768</v>
      </c>
    </row>
    <row r="15" customFormat="false" ht="39" hidden="false" customHeight="true" outlineLevel="0" collapsed="false">
      <c r="A15" s="51"/>
      <c r="B15" s="52"/>
    </row>
    <row r="16" customFormat="false" ht="39" hidden="false" customHeight="true" outlineLevel="0" collapsed="false">
      <c r="A16" s="51" t="s">
        <v>769</v>
      </c>
      <c r="B16" s="51" t="s">
        <v>770</v>
      </c>
    </row>
    <row r="17" customFormat="false" ht="39" hidden="false" customHeight="true" outlineLevel="0" collapsed="false">
      <c r="A17" s="51"/>
      <c r="B17" s="52" t="s">
        <v>771</v>
      </c>
    </row>
    <row r="18" customFormat="false" ht="39" hidden="false" customHeight="true" outlineLevel="0" collapsed="false">
      <c r="A18" s="51"/>
      <c r="B18" s="52" t="s">
        <v>772</v>
      </c>
    </row>
    <row r="19" customFormat="false" ht="39" hidden="false" customHeight="true" outlineLevel="0" collapsed="false">
      <c r="A19" s="51"/>
      <c r="B19" s="52" t="s">
        <v>773</v>
      </c>
    </row>
    <row r="20" customFormat="false" ht="39" hidden="false" customHeight="true" outlineLevel="0" collapsed="false">
      <c r="A20" s="51"/>
      <c r="B20" s="52" t="s">
        <v>774</v>
      </c>
    </row>
    <row r="21" customFormat="false" ht="39" hidden="false" customHeight="true" outlineLevel="0" collapsed="false">
      <c r="A21" s="51"/>
      <c r="B21" s="52" t="s">
        <v>775</v>
      </c>
    </row>
    <row r="22" customFormat="false" ht="39" hidden="false" customHeight="true" outlineLevel="0" collapsed="false">
      <c r="A22" s="51"/>
      <c r="B22" s="52"/>
    </row>
    <row r="23" customFormat="false" ht="39" hidden="false" customHeight="true" outlineLevel="0" collapsed="false">
      <c r="A23" s="51" t="s">
        <v>776</v>
      </c>
      <c r="B23" s="51" t="s">
        <v>777</v>
      </c>
    </row>
    <row r="24" customFormat="false" ht="39" hidden="false" customHeight="true" outlineLevel="0" collapsed="false">
      <c r="A24" s="51"/>
      <c r="B24" s="52" t="s">
        <v>778</v>
      </c>
    </row>
    <row r="25" customFormat="false" ht="39" hidden="false" customHeight="true" outlineLevel="0" collapsed="false">
      <c r="A25" s="51"/>
      <c r="B25" s="52" t="s">
        <v>779</v>
      </c>
    </row>
    <row r="26" customFormat="false" ht="39" hidden="false" customHeight="true" outlineLevel="0" collapsed="false">
      <c r="A26" s="51"/>
      <c r="B26" s="52"/>
    </row>
    <row r="27" customFormat="false" ht="39" hidden="false" customHeight="true" outlineLevel="0" collapsed="false">
      <c r="A27" s="51" t="s">
        <v>780</v>
      </c>
      <c r="B27" s="51" t="s">
        <v>781</v>
      </c>
    </row>
    <row r="28" customFormat="false" ht="39" hidden="false" customHeight="true" outlineLevel="0" collapsed="false">
      <c r="A28" s="51"/>
      <c r="B28" s="52" t="s">
        <v>782</v>
      </c>
    </row>
    <row r="29" customFormat="false" ht="39" hidden="false" customHeight="true" outlineLevel="0" collapsed="false">
      <c r="A29" s="51"/>
      <c r="B29" s="52" t="s">
        <v>783</v>
      </c>
    </row>
    <row r="30" customFormat="false" ht="39" hidden="false" customHeight="true" outlineLevel="0" collapsed="false">
      <c r="A30" s="51"/>
      <c r="B30" s="52"/>
    </row>
    <row r="31" customFormat="false" ht="39" hidden="false" customHeight="true" outlineLevel="0" collapsed="false">
      <c r="A31" s="51" t="s">
        <v>784</v>
      </c>
      <c r="B31" s="51" t="s">
        <v>785</v>
      </c>
    </row>
    <row r="32" customFormat="false" ht="39" hidden="false" customHeight="true" outlineLevel="0" collapsed="false">
      <c r="A32" s="51"/>
      <c r="B32" s="52" t="s">
        <v>786</v>
      </c>
    </row>
    <row r="33" customFormat="false" ht="39" hidden="false" customHeight="true" outlineLevel="0" collapsed="false">
      <c r="A33" s="51"/>
      <c r="B33" s="52"/>
    </row>
    <row r="34" customFormat="false" ht="39" hidden="false" customHeight="true" outlineLevel="0" collapsed="false">
      <c r="A34" s="51" t="s">
        <v>787</v>
      </c>
      <c r="B34" s="51" t="s">
        <v>788</v>
      </c>
    </row>
    <row r="35" customFormat="false" ht="39" hidden="false" customHeight="true" outlineLevel="0" collapsed="false">
      <c r="A35" s="51"/>
      <c r="B35" s="52" t="s">
        <v>789</v>
      </c>
    </row>
    <row r="36" customFormat="false" ht="39" hidden="false" customHeight="true" outlineLevel="0" collapsed="false">
      <c r="A36" s="51"/>
      <c r="B36" s="52" t="s">
        <v>790</v>
      </c>
    </row>
    <row r="37" customFormat="false" ht="39" hidden="false" customHeight="true" outlineLevel="0" collapsed="false">
      <c r="A37" s="51"/>
      <c r="B37" s="52" t="s">
        <v>791</v>
      </c>
    </row>
    <row r="38" customFormat="false" ht="39" hidden="false" customHeight="true" outlineLevel="0" collapsed="false">
      <c r="A38" s="51"/>
      <c r="B38" s="52" t="s">
        <v>792</v>
      </c>
    </row>
    <row r="39" customFormat="false" ht="39" hidden="false" customHeight="true" outlineLevel="0" collapsed="false">
      <c r="A39" s="51"/>
      <c r="B39" s="52" t="s">
        <v>793</v>
      </c>
    </row>
    <row r="40" customFormat="false" ht="39" hidden="false" customHeight="true" outlineLevel="0" collapsed="false">
      <c r="A40" s="51"/>
      <c r="B40" s="52" t="s">
        <v>794</v>
      </c>
    </row>
    <row r="41" customFormat="false" ht="39" hidden="false" customHeight="true" outlineLevel="0" collapsed="false">
      <c r="A41" s="51"/>
      <c r="B41" s="52" t="s">
        <v>795</v>
      </c>
    </row>
    <row r="42" customFormat="false" ht="39" hidden="false" customHeight="true" outlineLevel="0" collapsed="false">
      <c r="A42" s="51"/>
      <c r="B42" s="52" t="s">
        <v>796</v>
      </c>
    </row>
    <row r="43" customFormat="false" ht="39" hidden="false" customHeight="true" outlineLevel="0" collapsed="false">
      <c r="A43" s="51"/>
      <c r="B43" s="52" t="s">
        <v>797</v>
      </c>
    </row>
    <row r="44" customFormat="false" ht="39" hidden="false" customHeight="true" outlineLevel="0" collapsed="false">
      <c r="A44" s="51"/>
      <c r="B44" s="52" t="s">
        <v>798</v>
      </c>
    </row>
    <row r="45" customFormat="false" ht="39" hidden="false" customHeight="true" outlineLevel="0" collapsed="false">
      <c r="A45" s="51"/>
      <c r="B45" s="52" t="s">
        <v>799</v>
      </c>
    </row>
    <row r="46" customFormat="false" ht="39" hidden="false" customHeight="true" outlineLevel="0" collapsed="false">
      <c r="A46" s="51"/>
      <c r="B46" s="52" t="s">
        <v>800</v>
      </c>
    </row>
    <row r="47" customFormat="false" ht="39" hidden="false" customHeight="true" outlineLevel="0" collapsed="false">
      <c r="A47" s="51"/>
      <c r="B47" s="52" t="s">
        <v>801</v>
      </c>
    </row>
    <row r="48" customFormat="false" ht="39" hidden="false" customHeight="true" outlineLevel="0" collapsed="false">
      <c r="A48" s="51"/>
      <c r="B48" s="52" t="s">
        <v>802</v>
      </c>
    </row>
    <row r="49" customFormat="false" ht="39" hidden="false" customHeight="true" outlineLevel="0" collapsed="false">
      <c r="A49" s="51"/>
      <c r="B49" s="52" t="s">
        <v>803</v>
      </c>
    </row>
    <row r="50" customFormat="false" ht="39" hidden="false" customHeight="true" outlineLevel="0" collapsed="false">
      <c r="A50" s="51"/>
      <c r="B50" s="52"/>
    </row>
    <row r="51" customFormat="false" ht="39" hidden="false" customHeight="true" outlineLevel="0" collapsed="false">
      <c r="A51" s="51" t="s">
        <v>804</v>
      </c>
      <c r="B51" s="51" t="s">
        <v>805</v>
      </c>
    </row>
    <row r="52" customFormat="false" ht="39" hidden="false" customHeight="true" outlineLevel="0" collapsed="false">
      <c r="A52" s="51"/>
      <c r="B52" s="52" t="s">
        <v>806</v>
      </c>
    </row>
    <row r="53" customFormat="false" ht="39" hidden="false" customHeight="true" outlineLevel="0" collapsed="false">
      <c r="A53" s="51"/>
      <c r="B53" s="52" t="s">
        <v>807</v>
      </c>
    </row>
    <row r="54" customFormat="false" ht="39" hidden="false" customHeight="true" outlineLevel="0" collapsed="false">
      <c r="A54" s="51"/>
      <c r="B54" s="52" t="s">
        <v>808</v>
      </c>
    </row>
    <row r="55" customFormat="false" ht="39" hidden="false" customHeight="true" outlineLevel="0" collapsed="false">
      <c r="A55" s="51"/>
      <c r="B55" s="52" t="s">
        <v>809</v>
      </c>
    </row>
    <row r="56" customFormat="false" ht="39" hidden="false" customHeight="true" outlineLevel="0" collapsed="false">
      <c r="A56" s="51"/>
      <c r="B56" s="52" t="s">
        <v>810</v>
      </c>
    </row>
    <row r="57" customFormat="false" ht="39" hidden="false" customHeight="true" outlineLevel="0" collapsed="false">
      <c r="A57" s="51"/>
      <c r="B57" s="52" t="s">
        <v>811</v>
      </c>
    </row>
    <row r="58" customFormat="false" ht="39" hidden="false" customHeight="true" outlineLevel="0" collapsed="false">
      <c r="A58" s="51"/>
      <c r="B58" s="52" t="s">
        <v>812</v>
      </c>
    </row>
    <row r="59" customFormat="false" ht="39" hidden="false" customHeight="true" outlineLevel="0" collapsed="false">
      <c r="A59" s="51"/>
      <c r="B59" s="52" t="s">
        <v>813</v>
      </c>
    </row>
    <row r="60" customFormat="false" ht="39" hidden="false" customHeight="true" outlineLevel="0" collapsed="false">
      <c r="A60" s="51"/>
      <c r="B60" s="52" t="s">
        <v>814</v>
      </c>
    </row>
    <row r="61" customFormat="false" ht="39" hidden="false" customHeight="true" outlineLevel="0" collapsed="false">
      <c r="A61" s="51"/>
      <c r="B61" s="52" t="s">
        <v>815</v>
      </c>
    </row>
    <row r="62" customFormat="false" ht="39" hidden="false" customHeight="true" outlineLevel="0" collapsed="false">
      <c r="A62" s="51"/>
      <c r="B62" s="52" t="s">
        <v>816</v>
      </c>
    </row>
    <row r="63" customFormat="false" ht="39" hidden="false" customHeight="true" outlineLevel="0" collapsed="false">
      <c r="A63" s="51"/>
      <c r="B63" s="52"/>
    </row>
    <row r="64" customFormat="false" ht="39" hidden="false" customHeight="true" outlineLevel="0" collapsed="false">
      <c r="A64" s="51" t="s">
        <v>817</v>
      </c>
      <c r="B64" s="52" t="s">
        <v>818</v>
      </c>
    </row>
    <row r="65" customFormat="false" ht="39" hidden="false" customHeight="true" outlineLevel="0" collapsed="false">
      <c r="A65" s="51"/>
      <c r="B65" s="52" t="s">
        <v>819</v>
      </c>
    </row>
    <row r="66" customFormat="false" ht="39" hidden="false" customHeight="true" outlineLevel="0" collapsed="false">
      <c r="A66" s="51"/>
      <c r="B66" s="52"/>
    </row>
    <row r="67" customFormat="false" ht="39" hidden="false" customHeight="true" outlineLevel="0" collapsed="false">
      <c r="A67" s="51" t="s">
        <v>820</v>
      </c>
      <c r="B67" s="51" t="s">
        <v>821</v>
      </c>
    </row>
    <row r="68" customFormat="false" ht="39" hidden="false" customHeight="true" outlineLevel="0" collapsed="false">
      <c r="A68" s="51"/>
      <c r="B68" s="52" t="s">
        <v>822</v>
      </c>
    </row>
    <row r="69" customFormat="false" ht="39" hidden="false" customHeight="true" outlineLevel="0" collapsed="false">
      <c r="A69" s="51"/>
      <c r="B69" s="52" t="s">
        <v>823</v>
      </c>
    </row>
    <row r="70" customFormat="false" ht="39" hidden="false" customHeight="true" outlineLevel="0" collapsed="false">
      <c r="A70" s="51"/>
      <c r="B70" s="52" t="s">
        <v>824</v>
      </c>
    </row>
    <row r="71" customFormat="false" ht="39" hidden="false" customHeight="true" outlineLevel="0" collapsed="false">
      <c r="A71" s="51"/>
      <c r="B71" s="52" t="s">
        <v>825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4"/>
    <col collapsed="false" customWidth="true" hidden="false" outlineLevel="0" max="2" min="2" style="0" width="129.6"/>
  </cols>
  <sheetData>
    <row r="1" customFormat="false" ht="39" hidden="false" customHeight="true" outlineLevel="0" collapsed="false">
      <c r="A1" s="51" t="s">
        <v>826</v>
      </c>
      <c r="B1" s="51"/>
    </row>
    <row r="2" customFormat="false" ht="39" hidden="false" customHeight="true" outlineLevel="0" collapsed="false">
      <c r="A2" s="51"/>
      <c r="B2" s="52"/>
    </row>
    <row r="3" customFormat="false" ht="39" hidden="false" customHeight="true" outlineLevel="0" collapsed="false">
      <c r="A3" s="51" t="s">
        <v>827</v>
      </c>
      <c r="B3" s="51" t="s">
        <v>828</v>
      </c>
    </row>
    <row r="4" customFormat="false" ht="39" hidden="false" customHeight="true" outlineLevel="0" collapsed="false">
      <c r="A4" s="51"/>
      <c r="B4" s="52" t="s">
        <v>829</v>
      </c>
    </row>
    <row r="5" customFormat="false" ht="39" hidden="false" customHeight="true" outlineLevel="0" collapsed="false">
      <c r="A5" s="51" t="s">
        <v>489</v>
      </c>
      <c r="B5" s="51" t="s">
        <v>830</v>
      </c>
    </row>
    <row r="6" customFormat="false" ht="39" hidden="false" customHeight="true" outlineLevel="0" collapsed="false">
      <c r="A6" s="51" t="s">
        <v>134</v>
      </c>
      <c r="B6" s="51" t="s">
        <v>831</v>
      </c>
    </row>
    <row r="7" customFormat="false" ht="39" hidden="false" customHeight="true" outlineLevel="0" collapsed="false">
      <c r="A7" s="51"/>
      <c r="B7" s="52"/>
    </row>
    <row r="8" customFormat="false" ht="39" hidden="false" customHeight="true" outlineLevel="0" collapsed="false">
      <c r="A8" s="51" t="s">
        <v>756</v>
      </c>
      <c r="B8" s="51" t="s">
        <v>832</v>
      </c>
    </row>
    <row r="9" customFormat="false" ht="39" hidden="false" customHeight="true" outlineLevel="0" collapsed="false">
      <c r="A9" s="51"/>
      <c r="B9" s="52" t="s">
        <v>833</v>
      </c>
    </row>
    <row r="10" customFormat="false" ht="39" hidden="false" customHeight="true" outlineLevel="0" collapsed="false">
      <c r="A10" s="51" t="s">
        <v>222</v>
      </c>
      <c r="B10" s="52" t="s">
        <v>834</v>
      </c>
    </row>
    <row r="11" customFormat="false" ht="39" hidden="false" customHeight="true" outlineLevel="0" collapsed="false">
      <c r="A11" s="51"/>
      <c r="B11" s="52" t="s">
        <v>835</v>
      </c>
    </row>
    <row r="12" customFormat="false" ht="39" hidden="false" customHeight="true" outlineLevel="0" collapsed="false">
      <c r="A12" s="51" t="s">
        <v>237</v>
      </c>
      <c r="B12" s="52" t="s">
        <v>836</v>
      </c>
    </row>
    <row r="13" customFormat="false" ht="39" hidden="false" customHeight="true" outlineLevel="0" collapsed="false">
      <c r="A13" s="51"/>
      <c r="B13" s="52" t="s">
        <v>837</v>
      </c>
    </row>
    <row r="14" customFormat="false" ht="39" hidden="false" customHeight="true" outlineLevel="0" collapsed="false">
      <c r="A14" s="51"/>
      <c r="B14" s="52"/>
    </row>
    <row r="15" customFormat="false" ht="39" hidden="false" customHeight="true" outlineLevel="0" collapsed="false">
      <c r="A15" s="51" t="s">
        <v>769</v>
      </c>
      <c r="B15" s="51" t="s">
        <v>838</v>
      </c>
    </row>
    <row r="16" customFormat="false" ht="39" hidden="false" customHeight="true" outlineLevel="0" collapsed="false">
      <c r="A16" s="51"/>
      <c r="B16" s="52" t="s">
        <v>839</v>
      </c>
    </row>
    <row r="17" customFormat="false" ht="39" hidden="false" customHeight="true" outlineLevel="0" collapsed="false">
      <c r="A17" s="51"/>
      <c r="B17" s="52" t="s">
        <v>840</v>
      </c>
    </row>
    <row r="18" customFormat="false" ht="39" hidden="false" customHeight="true" outlineLevel="0" collapsed="false">
      <c r="A18" s="51"/>
      <c r="B18" s="52"/>
    </row>
    <row r="19" customFormat="false" ht="39" hidden="false" customHeight="true" outlineLevel="0" collapsed="false">
      <c r="A19" s="51" t="s">
        <v>841</v>
      </c>
      <c r="B19" s="51" t="s">
        <v>842</v>
      </c>
    </row>
    <row r="20" customFormat="false" ht="39" hidden="false" customHeight="true" outlineLevel="0" collapsed="false">
      <c r="A20" s="51"/>
      <c r="B20" s="52" t="s">
        <v>843</v>
      </c>
    </row>
    <row r="21" customFormat="false" ht="39" hidden="false" customHeight="true" outlineLevel="0" collapsed="false">
      <c r="A21" s="51"/>
      <c r="B21" s="52" t="s">
        <v>844</v>
      </c>
    </row>
    <row r="22" customFormat="false" ht="39" hidden="false" customHeight="true" outlineLevel="0" collapsed="false">
      <c r="A22" s="51"/>
      <c r="B22" s="52"/>
    </row>
    <row r="23" customFormat="false" ht="39" hidden="false" customHeight="true" outlineLevel="0" collapsed="false">
      <c r="A23" s="51" t="s">
        <v>845</v>
      </c>
      <c r="B23" s="51" t="s">
        <v>846</v>
      </c>
    </row>
    <row r="24" customFormat="false" ht="39" hidden="false" customHeight="true" outlineLevel="0" collapsed="false">
      <c r="A24" s="51"/>
      <c r="B24" s="52" t="s">
        <v>847</v>
      </c>
    </row>
    <row r="25" customFormat="false" ht="39" hidden="false" customHeight="true" outlineLevel="0" collapsed="false">
      <c r="A25" s="51"/>
      <c r="B25" s="52" t="s">
        <v>848</v>
      </c>
    </row>
    <row r="26" customFormat="false" ht="39" hidden="false" customHeight="true" outlineLevel="0" collapsed="false">
      <c r="A26" s="51"/>
      <c r="B26" s="52"/>
    </row>
    <row r="27" customFormat="false" ht="39" hidden="false" customHeight="true" outlineLevel="0" collapsed="false">
      <c r="A27" s="51" t="s">
        <v>849</v>
      </c>
      <c r="B27" s="51" t="s">
        <v>850</v>
      </c>
    </row>
    <row r="28" customFormat="false" ht="39" hidden="false" customHeight="true" outlineLevel="0" collapsed="false">
      <c r="A28" s="51"/>
      <c r="B28" s="52" t="s">
        <v>851</v>
      </c>
    </row>
    <row r="29" customFormat="false" ht="39" hidden="false" customHeight="true" outlineLevel="0" collapsed="false">
      <c r="A29" s="51"/>
      <c r="B29" s="52"/>
    </row>
    <row r="30" customFormat="false" ht="39" hidden="false" customHeight="true" outlineLevel="0" collapsed="false">
      <c r="A30" s="51" t="s">
        <v>852</v>
      </c>
      <c r="B30" s="52" t="s">
        <v>853</v>
      </c>
    </row>
    <row r="31" customFormat="false" ht="39" hidden="false" customHeight="true" outlineLevel="0" collapsed="false">
      <c r="A31" s="51"/>
      <c r="B31" s="52" t="s">
        <v>854</v>
      </c>
    </row>
    <row r="32" customFormat="false" ht="39" hidden="false" customHeight="true" outlineLevel="0" collapsed="false">
      <c r="A32" s="51"/>
      <c r="B32" s="52" t="s">
        <v>855</v>
      </c>
    </row>
    <row r="33" customFormat="false" ht="39" hidden="false" customHeight="true" outlineLevel="0" collapsed="false">
      <c r="A33" s="51"/>
      <c r="B33" s="52" t="s">
        <v>856</v>
      </c>
    </row>
    <row r="34" customFormat="false" ht="39" hidden="false" customHeight="true" outlineLevel="0" collapsed="false">
      <c r="A34" s="51"/>
      <c r="B34" s="52" t="s">
        <v>857</v>
      </c>
    </row>
    <row r="35" customFormat="false" ht="39" hidden="false" customHeight="true" outlineLevel="0" collapsed="false">
      <c r="A35" s="51"/>
      <c r="B35" s="52" t="s">
        <v>858</v>
      </c>
    </row>
    <row r="36" customFormat="false" ht="39" hidden="false" customHeight="true" outlineLevel="0" collapsed="false">
      <c r="A36" s="51"/>
      <c r="B36" s="52" t="s">
        <v>859</v>
      </c>
    </row>
    <row r="37" customFormat="false" ht="39" hidden="false" customHeight="true" outlineLevel="0" collapsed="false">
      <c r="A37" s="51"/>
      <c r="B37" s="52" t="s">
        <v>860</v>
      </c>
    </row>
    <row r="38" customFormat="false" ht="39" hidden="false" customHeight="true" outlineLevel="0" collapsed="false">
      <c r="A38" s="51"/>
      <c r="B38" s="52" t="s">
        <v>861</v>
      </c>
    </row>
    <row r="39" customFormat="false" ht="39" hidden="false" customHeight="true" outlineLevel="0" collapsed="false">
      <c r="A39" s="51"/>
      <c r="B39" s="52" t="s">
        <v>862</v>
      </c>
    </row>
    <row r="40" customFormat="false" ht="39" hidden="false" customHeight="true" outlineLevel="0" collapsed="false">
      <c r="A40" s="51"/>
      <c r="B40" s="52"/>
    </row>
    <row r="41" customFormat="false" ht="39" hidden="false" customHeight="true" outlineLevel="0" collapsed="false">
      <c r="A41" s="51" t="s">
        <v>820</v>
      </c>
      <c r="B41" s="51" t="s">
        <v>863</v>
      </c>
    </row>
    <row r="42" customFormat="false" ht="39" hidden="false" customHeight="true" outlineLevel="0" collapsed="false">
      <c r="A42" s="51"/>
      <c r="B42" s="52" t="s">
        <v>864</v>
      </c>
    </row>
    <row r="43" customFormat="false" ht="39" hidden="false" customHeight="true" outlineLevel="0" collapsed="false">
      <c r="A43" s="51"/>
      <c r="B43" s="52" t="s">
        <v>865</v>
      </c>
    </row>
    <row r="44" customFormat="false" ht="39" hidden="false" customHeight="true" outlineLevel="0" collapsed="false">
      <c r="A44" s="51"/>
      <c r="B44" s="52" t="s">
        <v>825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4"/>
    <col collapsed="false" customWidth="true" hidden="false" outlineLevel="0" max="2" min="2" style="0" width="132.3"/>
  </cols>
  <sheetData>
    <row r="1" customFormat="false" ht="39" hidden="false" customHeight="true" outlineLevel="0" collapsed="false">
      <c r="A1" s="51" t="s">
        <v>866</v>
      </c>
      <c r="B1" s="51"/>
    </row>
    <row r="2" customFormat="false" ht="39" hidden="false" customHeight="true" outlineLevel="0" collapsed="false">
      <c r="A2" s="51"/>
      <c r="B2" s="52"/>
    </row>
    <row r="3" customFormat="false" ht="39" hidden="false" customHeight="true" outlineLevel="0" collapsed="false">
      <c r="A3" s="51" t="s">
        <v>489</v>
      </c>
      <c r="B3" s="51" t="s">
        <v>867</v>
      </c>
    </row>
    <row r="4" customFormat="false" ht="39" hidden="false" customHeight="true" outlineLevel="0" collapsed="false">
      <c r="A4" s="51"/>
      <c r="B4" s="52"/>
    </row>
    <row r="5" customFormat="false" ht="39" hidden="false" customHeight="true" outlineLevel="0" collapsed="false">
      <c r="A5" s="51" t="s">
        <v>868</v>
      </c>
      <c r="B5" s="51" t="s">
        <v>869</v>
      </c>
    </row>
    <row r="6" customFormat="false" ht="39" hidden="false" customHeight="true" outlineLevel="0" collapsed="false">
      <c r="A6" s="51"/>
      <c r="B6" s="52" t="s">
        <v>870</v>
      </c>
    </row>
    <row r="7" customFormat="false" ht="39" hidden="false" customHeight="true" outlineLevel="0" collapsed="false">
      <c r="A7" s="51"/>
      <c r="B7" s="52" t="s">
        <v>871</v>
      </c>
    </row>
    <row r="8" customFormat="false" ht="39" hidden="false" customHeight="true" outlineLevel="0" collapsed="false">
      <c r="A8" s="51"/>
      <c r="B8" s="52" t="s">
        <v>872</v>
      </c>
    </row>
    <row r="9" customFormat="false" ht="39" hidden="false" customHeight="true" outlineLevel="0" collapsed="false">
      <c r="A9" s="51"/>
      <c r="B9" s="52" t="s">
        <v>873</v>
      </c>
    </row>
    <row r="10" customFormat="false" ht="39" hidden="false" customHeight="true" outlineLevel="0" collapsed="false">
      <c r="A10" s="51"/>
      <c r="B10" s="52" t="s">
        <v>874</v>
      </c>
    </row>
    <row r="11" customFormat="false" ht="39" hidden="false" customHeight="true" outlineLevel="0" collapsed="false">
      <c r="A11" s="51"/>
      <c r="B11" s="52"/>
    </row>
    <row r="12" customFormat="false" ht="39" hidden="false" customHeight="true" outlineLevel="0" collapsed="false">
      <c r="A12" s="51" t="s">
        <v>875</v>
      </c>
      <c r="B12" s="51" t="s">
        <v>876</v>
      </c>
    </row>
    <row r="13" customFormat="false" ht="39" hidden="false" customHeight="true" outlineLevel="0" collapsed="false">
      <c r="A13" s="51"/>
      <c r="B13" s="52" t="s">
        <v>877</v>
      </c>
    </row>
    <row r="14" customFormat="false" ht="39" hidden="false" customHeight="true" outlineLevel="0" collapsed="false">
      <c r="A14" s="51"/>
      <c r="B14" s="52"/>
    </row>
    <row r="15" customFormat="false" ht="39" hidden="false" customHeight="true" outlineLevel="0" collapsed="false">
      <c r="A15" s="51" t="s">
        <v>841</v>
      </c>
      <c r="B15" s="51" t="s">
        <v>878</v>
      </c>
    </row>
    <row r="16" customFormat="false" ht="39" hidden="false" customHeight="true" outlineLevel="0" collapsed="false">
      <c r="A16" s="51"/>
      <c r="B16" s="52" t="s">
        <v>879</v>
      </c>
    </row>
    <row r="17" customFormat="false" ht="39" hidden="false" customHeight="true" outlineLevel="0" collapsed="false">
      <c r="A17" s="51"/>
      <c r="B17" s="52" t="s">
        <v>880</v>
      </c>
    </row>
    <row r="18" customFormat="false" ht="39" hidden="false" customHeight="true" outlineLevel="0" collapsed="false">
      <c r="A18" s="51"/>
      <c r="B18" s="52" t="s">
        <v>881</v>
      </c>
    </row>
    <row r="19" customFormat="false" ht="39" hidden="false" customHeight="true" outlineLevel="0" collapsed="false">
      <c r="A19" s="51"/>
      <c r="B19" s="52" t="s">
        <v>882</v>
      </c>
    </row>
    <row r="20" customFormat="false" ht="39" hidden="false" customHeight="true" outlineLevel="0" collapsed="false">
      <c r="A20" s="51"/>
      <c r="B20" s="52"/>
    </row>
    <row r="21" customFormat="false" ht="39" hidden="false" customHeight="true" outlineLevel="0" collapsed="false">
      <c r="A21" s="51" t="s">
        <v>883</v>
      </c>
      <c r="B21" s="51" t="s">
        <v>884</v>
      </c>
    </row>
    <row r="22" customFormat="false" ht="39" hidden="false" customHeight="true" outlineLevel="0" collapsed="false">
      <c r="A22" s="51"/>
      <c r="B22" s="52" t="s">
        <v>885</v>
      </c>
    </row>
    <row r="23" customFormat="false" ht="39" hidden="false" customHeight="true" outlineLevel="0" collapsed="false">
      <c r="A23" s="51"/>
      <c r="B23" s="52"/>
    </row>
    <row r="24" customFormat="false" ht="39" hidden="false" customHeight="true" outlineLevel="0" collapsed="false">
      <c r="A24" s="51" t="s">
        <v>886</v>
      </c>
      <c r="B24" s="51" t="s">
        <v>887</v>
      </c>
    </row>
    <row r="25" customFormat="false" ht="39" hidden="false" customHeight="true" outlineLevel="0" collapsed="false">
      <c r="A25" s="51"/>
      <c r="B25" s="52" t="s">
        <v>888</v>
      </c>
    </row>
    <row r="26" customFormat="false" ht="39" hidden="false" customHeight="true" outlineLevel="0" collapsed="false">
      <c r="A26" s="51"/>
      <c r="B26" s="52" t="s">
        <v>889</v>
      </c>
    </row>
    <row r="27" customFormat="false" ht="39" hidden="false" customHeight="true" outlineLevel="0" collapsed="false">
      <c r="A27" s="51"/>
      <c r="B27" s="52" t="s">
        <v>890</v>
      </c>
    </row>
    <row r="28" customFormat="false" ht="39" hidden="false" customHeight="true" outlineLevel="0" collapsed="false">
      <c r="A28" s="51"/>
      <c r="B28" s="52" t="s">
        <v>891</v>
      </c>
    </row>
    <row r="29" customFormat="false" ht="39" hidden="false" customHeight="true" outlineLevel="0" collapsed="false">
      <c r="A29" s="51"/>
      <c r="B29" s="52" t="s">
        <v>892</v>
      </c>
    </row>
    <row r="30" customFormat="false" ht="39" hidden="false" customHeight="true" outlineLevel="0" collapsed="false">
      <c r="A30" s="51"/>
      <c r="B30" s="52" t="s">
        <v>893</v>
      </c>
    </row>
    <row r="31" customFormat="false" ht="39" hidden="false" customHeight="true" outlineLevel="0" collapsed="false">
      <c r="A31" s="51"/>
      <c r="B31" s="52" t="s">
        <v>894</v>
      </c>
    </row>
    <row r="32" customFormat="false" ht="39" hidden="false" customHeight="true" outlineLevel="0" collapsed="false">
      <c r="A32" s="51"/>
      <c r="B32" s="52" t="s">
        <v>895</v>
      </c>
    </row>
    <row r="33" customFormat="false" ht="39" hidden="false" customHeight="true" outlineLevel="0" collapsed="false">
      <c r="A33" s="51"/>
      <c r="B33" s="52" t="s">
        <v>896</v>
      </c>
    </row>
    <row r="34" customFormat="false" ht="39" hidden="false" customHeight="true" outlineLevel="0" collapsed="false">
      <c r="A34" s="51"/>
      <c r="B34" s="52"/>
    </row>
    <row r="35" customFormat="false" ht="39" hidden="false" customHeight="true" outlineLevel="0" collapsed="false">
      <c r="A35" s="51" t="s">
        <v>897</v>
      </c>
      <c r="B35" s="51" t="s">
        <v>898</v>
      </c>
    </row>
    <row r="36" customFormat="false" ht="39" hidden="false" customHeight="true" outlineLevel="0" collapsed="false">
      <c r="A36" s="51"/>
      <c r="B36" s="52" t="s">
        <v>899</v>
      </c>
    </row>
    <row r="37" customFormat="false" ht="39" hidden="false" customHeight="true" outlineLevel="0" collapsed="false">
      <c r="A37" s="51"/>
      <c r="B37" s="52" t="s">
        <v>900</v>
      </c>
    </row>
    <row r="38" customFormat="false" ht="39" hidden="false" customHeight="true" outlineLevel="0" collapsed="false">
      <c r="A38" s="51"/>
      <c r="B38" s="52" t="s">
        <v>901</v>
      </c>
    </row>
    <row r="39" customFormat="false" ht="39" hidden="false" customHeight="true" outlineLevel="0" collapsed="false">
      <c r="A39" s="51"/>
      <c r="B39" s="52"/>
    </row>
    <row r="40" customFormat="false" ht="39" hidden="false" customHeight="true" outlineLevel="0" collapsed="false">
      <c r="A40" s="51" t="s">
        <v>902</v>
      </c>
      <c r="B40" s="51" t="s">
        <v>903</v>
      </c>
    </row>
    <row r="41" customFormat="false" ht="39" hidden="false" customHeight="true" outlineLevel="0" collapsed="false">
      <c r="A41" s="51"/>
      <c r="B41" s="52" t="s">
        <v>904</v>
      </c>
    </row>
    <row r="42" customFormat="false" ht="39" hidden="false" customHeight="true" outlineLevel="0" collapsed="false">
      <c r="A42" s="51"/>
      <c r="B42" s="52" t="s">
        <v>905</v>
      </c>
    </row>
    <row r="43" customFormat="false" ht="39" hidden="false" customHeight="true" outlineLevel="0" collapsed="false">
      <c r="A43" s="51"/>
      <c r="B43" s="52" t="s">
        <v>906</v>
      </c>
    </row>
    <row r="44" customFormat="false" ht="39" hidden="false" customHeight="true" outlineLevel="0" collapsed="false">
      <c r="A44" s="51"/>
      <c r="B44" s="52" t="s">
        <v>907</v>
      </c>
    </row>
    <row r="45" customFormat="false" ht="39" hidden="false" customHeight="true" outlineLevel="0" collapsed="false">
      <c r="A45" s="51"/>
      <c r="B45" s="52"/>
    </row>
    <row r="46" customFormat="false" ht="39" hidden="false" customHeight="true" outlineLevel="0" collapsed="false">
      <c r="A46" s="51" t="s">
        <v>820</v>
      </c>
      <c r="B46" s="51" t="s">
        <v>825</v>
      </c>
    </row>
    <row r="47" customFormat="false" ht="39" hidden="false" customHeight="true" outlineLevel="0" collapsed="false">
      <c r="A47" s="51"/>
      <c r="B47" s="52" t="s">
        <v>908</v>
      </c>
    </row>
    <row r="48" customFormat="false" ht="39" hidden="false" customHeight="true" outlineLevel="0" collapsed="false">
      <c r="A48" s="51"/>
      <c r="B48" s="52" t="s">
        <v>909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9"/>
    <col collapsed="false" customWidth="true" hidden="false" outlineLevel="0" max="3" min="2" style="0" width="12.2"/>
    <col collapsed="false" customWidth="true" hidden="false" outlineLevel="0" max="4" min="4" style="0" width="14.9"/>
    <col collapsed="false" customWidth="true" hidden="false" outlineLevel="0" max="5" min="5" style="0" width="64.8"/>
  </cols>
  <sheetData>
    <row r="1" customFormat="false" ht="39" hidden="false" customHeight="true" outlineLevel="0" collapsed="false">
      <c r="A1" s="25" t="s">
        <v>910</v>
      </c>
      <c r="B1" s="24"/>
      <c r="C1" s="24"/>
      <c r="D1" s="24"/>
      <c r="E1" s="24"/>
    </row>
    <row r="2" customFormat="false" ht="15" hidden="false" customHeight="false" outlineLevel="0" collapsed="false">
      <c r="A2" s="24"/>
      <c r="B2" s="24"/>
      <c r="C2" s="24"/>
      <c r="D2" s="24"/>
      <c r="E2" s="24"/>
    </row>
    <row r="3" customFormat="false" ht="39" hidden="false" customHeight="true" outlineLevel="0" collapsed="false">
      <c r="A3" s="2" t="s">
        <v>128</v>
      </c>
      <c r="B3" s="2" t="s">
        <v>911</v>
      </c>
      <c r="C3" s="2" t="s">
        <v>912</v>
      </c>
      <c r="D3" s="2" t="s">
        <v>913</v>
      </c>
      <c r="E3" s="2" t="s">
        <v>8</v>
      </c>
    </row>
    <row r="4" customFormat="false" ht="39" hidden="false" customHeight="true" outlineLevel="0" collapsed="false">
      <c r="A4" s="19" t="s">
        <v>270</v>
      </c>
      <c r="B4" s="8" t="n">
        <v>20</v>
      </c>
      <c r="C4" s="8" t="n">
        <v>35</v>
      </c>
      <c r="D4" s="8" t="n">
        <v>77</v>
      </c>
      <c r="E4" s="5"/>
    </row>
    <row r="5" customFormat="false" ht="39" hidden="false" customHeight="true" outlineLevel="0" collapsed="false">
      <c r="A5" s="19" t="s">
        <v>271</v>
      </c>
      <c r="B5" s="8" t="n">
        <v>20</v>
      </c>
      <c r="C5" s="8" t="n">
        <v>35</v>
      </c>
      <c r="D5" s="8" t="n">
        <v>77</v>
      </c>
      <c r="E5" s="5"/>
    </row>
    <row r="6" customFormat="false" ht="39" hidden="false" customHeight="true" outlineLevel="0" collapsed="false">
      <c r="A6" s="19" t="s">
        <v>272</v>
      </c>
      <c r="B6" s="8" t="n">
        <v>20</v>
      </c>
      <c r="C6" s="8" t="n">
        <v>35</v>
      </c>
      <c r="D6" s="8" t="n">
        <v>77</v>
      </c>
      <c r="E6" s="5"/>
    </row>
    <row r="7" customFormat="false" ht="39" hidden="false" customHeight="true" outlineLevel="0" collapsed="false">
      <c r="A7" s="19" t="s">
        <v>273</v>
      </c>
      <c r="B7" s="8" t="n">
        <v>25</v>
      </c>
      <c r="C7" s="8" t="n">
        <v>35</v>
      </c>
      <c r="D7" s="8" t="n">
        <v>328</v>
      </c>
      <c r="E7" s="5"/>
    </row>
    <row r="8" customFormat="false" ht="39" hidden="false" customHeight="true" outlineLevel="0" collapsed="false">
      <c r="A8" s="19" t="s">
        <v>275</v>
      </c>
      <c r="B8" s="8" t="n">
        <v>22</v>
      </c>
      <c r="C8" s="8" t="n">
        <v>25</v>
      </c>
      <c r="D8" s="8" t="n">
        <v>928</v>
      </c>
      <c r="E8" s="5"/>
    </row>
    <row r="9" customFormat="false" ht="39" hidden="false" customHeight="true" outlineLevel="0" collapsed="false">
      <c r="A9" s="19" t="s">
        <v>277</v>
      </c>
      <c r="B9" s="8"/>
      <c r="C9" s="8" t="n">
        <v>35</v>
      </c>
      <c r="D9" s="8" t="n">
        <v>533</v>
      </c>
      <c r="E9" s="5" t="s">
        <v>914</v>
      </c>
    </row>
    <row r="10" customFormat="false" ht="39" hidden="false" customHeight="true" outlineLevel="0" collapsed="false">
      <c r="A10" s="19" t="s">
        <v>279</v>
      </c>
      <c r="B10" s="8" t="n">
        <v>20</v>
      </c>
      <c r="C10" s="8" t="n">
        <v>25</v>
      </c>
      <c r="D10" s="8" t="n">
        <v>330</v>
      </c>
      <c r="E10" s="5"/>
    </row>
    <row r="11" customFormat="false" ht="39" hidden="false" customHeight="true" outlineLevel="0" collapsed="false">
      <c r="A11" s="19" t="s">
        <v>280</v>
      </c>
      <c r="B11" s="8" t="n">
        <v>20</v>
      </c>
      <c r="C11" s="8" t="n">
        <v>25</v>
      </c>
      <c r="D11" s="8" t="n">
        <v>308</v>
      </c>
      <c r="E11" s="5"/>
    </row>
    <row r="12" customFormat="false" ht="39" hidden="false" customHeight="true" outlineLevel="0" collapsed="false">
      <c r="A12" s="19" t="s">
        <v>281</v>
      </c>
      <c r="B12" s="8" t="n">
        <v>15</v>
      </c>
      <c r="C12" s="8" t="n">
        <v>25</v>
      </c>
      <c r="D12" s="8" t="n">
        <v>226</v>
      </c>
      <c r="E12" s="5"/>
    </row>
    <row r="13" customFormat="false" ht="39" hidden="false" customHeight="true" outlineLevel="0" collapsed="false">
      <c r="A13" s="19" t="s">
        <v>282</v>
      </c>
      <c r="B13" s="8"/>
      <c r="C13" s="8"/>
      <c r="D13" s="8"/>
      <c r="E13" s="5" t="s">
        <v>915</v>
      </c>
    </row>
    <row r="14" customFormat="false" ht="39" hidden="false" customHeight="true" outlineLevel="0" collapsed="false">
      <c r="A14" s="19" t="s">
        <v>283</v>
      </c>
      <c r="B14" s="8"/>
      <c r="C14" s="8"/>
      <c r="D14" s="8"/>
      <c r="E14" s="5" t="s">
        <v>915</v>
      </c>
    </row>
    <row r="15" customFormat="false" ht="39" hidden="false" customHeight="true" outlineLevel="0" collapsed="false">
      <c r="A15" s="19" t="s">
        <v>284</v>
      </c>
      <c r="B15" s="8" t="n">
        <v>20</v>
      </c>
      <c r="C15" s="8" t="n">
        <v>25</v>
      </c>
      <c r="D15" s="8" t="n">
        <v>330</v>
      </c>
      <c r="E15" s="5"/>
    </row>
    <row r="16" customFormat="false" ht="39" hidden="false" customHeight="true" outlineLevel="0" collapsed="false">
      <c r="A16" s="19" t="s">
        <v>285</v>
      </c>
      <c r="B16" s="8" t="n">
        <v>22</v>
      </c>
      <c r="C16" s="8" t="n">
        <v>25</v>
      </c>
      <c r="D16" s="8" t="n">
        <v>303</v>
      </c>
      <c r="E16" s="5"/>
    </row>
    <row r="17" customFormat="false" ht="39" hidden="false" customHeight="true" outlineLevel="0" collapsed="false">
      <c r="A17" s="19" t="s">
        <v>286</v>
      </c>
      <c r="B17" s="8" t="n">
        <v>20</v>
      </c>
      <c r="C17" s="8" t="n">
        <v>25</v>
      </c>
      <c r="D17" s="8" t="n">
        <v>350</v>
      </c>
      <c r="E17" s="5"/>
    </row>
    <row r="18" customFormat="false" ht="39" hidden="false" customHeight="true" outlineLevel="0" collapsed="false">
      <c r="A18" s="19" t="s">
        <v>287</v>
      </c>
      <c r="B18" s="8" t="n">
        <v>25</v>
      </c>
      <c r="C18" s="8" t="n">
        <v>35</v>
      </c>
      <c r="D18" s="8" t="n">
        <v>350</v>
      </c>
      <c r="E18" s="5"/>
    </row>
    <row r="19" customFormat="false" ht="39" hidden="false" customHeight="true" outlineLevel="0" collapsed="false">
      <c r="A19" s="19" t="s">
        <v>289</v>
      </c>
      <c r="B19" s="8" t="n">
        <v>20</v>
      </c>
      <c r="C19" s="8" t="n">
        <v>35</v>
      </c>
      <c r="D19" s="8" t="n">
        <v>70</v>
      </c>
      <c r="E19" s="5"/>
    </row>
    <row r="20" customFormat="false" ht="39" hidden="false" customHeight="true" outlineLevel="0" collapsed="false">
      <c r="A20" s="19" t="s">
        <v>290</v>
      </c>
      <c r="B20" s="8" t="n">
        <v>20</v>
      </c>
      <c r="C20" s="8" t="n">
        <v>35</v>
      </c>
      <c r="D20" s="8" t="n">
        <v>70</v>
      </c>
      <c r="E20" s="5"/>
    </row>
    <row r="21" customFormat="false" ht="39" hidden="false" customHeight="true" outlineLevel="0" collapsed="false">
      <c r="A21" s="19" t="s">
        <v>291</v>
      </c>
      <c r="B21" s="8" t="n">
        <v>20</v>
      </c>
      <c r="C21" s="8" t="n">
        <v>35</v>
      </c>
      <c r="D21" s="8" t="n">
        <v>336</v>
      </c>
      <c r="E21" s="5"/>
    </row>
    <row r="22" customFormat="false" ht="39" hidden="false" customHeight="true" outlineLevel="0" collapsed="false">
      <c r="A22" s="19" t="s">
        <v>293</v>
      </c>
      <c r="B22" s="8" t="n">
        <v>22</v>
      </c>
      <c r="C22" s="8" t="n">
        <v>35</v>
      </c>
      <c r="D22" s="8" t="n">
        <v>236</v>
      </c>
      <c r="E22" s="5"/>
    </row>
    <row r="23" customFormat="false" ht="39" hidden="false" customHeight="true" outlineLevel="0" collapsed="false">
      <c r="A23" s="19" t="s">
        <v>295</v>
      </c>
      <c r="B23" s="8" t="n">
        <v>25</v>
      </c>
      <c r="C23" s="8" t="n">
        <v>35</v>
      </c>
      <c r="D23" s="8" t="n">
        <v>803</v>
      </c>
      <c r="E23" s="5"/>
    </row>
    <row r="24" customFormat="false" ht="39" hidden="false" customHeight="true" outlineLevel="0" collapsed="false">
      <c r="A24" s="19" t="s">
        <v>297</v>
      </c>
      <c r="B24" s="8" t="n">
        <v>20</v>
      </c>
      <c r="C24" s="8" t="n">
        <v>25</v>
      </c>
      <c r="D24" s="8" t="n">
        <v>403</v>
      </c>
      <c r="E24" s="5"/>
    </row>
    <row r="25" customFormat="false" ht="39" hidden="false" customHeight="true" outlineLevel="0" collapsed="false">
      <c r="A25" s="19" t="s">
        <v>299</v>
      </c>
      <c r="B25" s="8" t="n">
        <v>15</v>
      </c>
      <c r="C25" s="8" t="n">
        <v>25</v>
      </c>
      <c r="D25" s="8" t="n">
        <v>149</v>
      </c>
      <c r="E25" s="5"/>
    </row>
    <row r="26" customFormat="false" ht="39" hidden="false" customHeight="true" outlineLevel="0" collapsed="false">
      <c r="A26" s="19" t="s">
        <v>300</v>
      </c>
      <c r="B26" s="8"/>
      <c r="C26" s="8"/>
      <c r="D26" s="8"/>
      <c r="E26" s="5" t="s">
        <v>915</v>
      </c>
    </row>
    <row r="27" customFormat="false" ht="39" hidden="false" customHeight="true" outlineLevel="0" collapsed="false">
      <c r="A27" s="19" t="s">
        <v>301</v>
      </c>
      <c r="B27" s="8" t="n">
        <v>25</v>
      </c>
      <c r="C27" s="8" t="n">
        <v>40</v>
      </c>
      <c r="D27" s="8" t="n">
        <v>875</v>
      </c>
      <c r="E27" s="5"/>
    </row>
    <row r="28" customFormat="false" ht="39" hidden="false" customHeight="true" outlineLevel="0" collapsed="false">
      <c r="A28" s="19" t="s">
        <v>303</v>
      </c>
      <c r="B28" s="8" t="n">
        <v>20</v>
      </c>
      <c r="C28" s="8" t="n">
        <v>25</v>
      </c>
      <c r="D28" s="8" t="n">
        <v>239</v>
      </c>
      <c r="E28" s="5"/>
    </row>
    <row r="29" customFormat="false" ht="39" hidden="false" customHeight="true" outlineLevel="0" collapsed="false">
      <c r="A29" s="19" t="s">
        <v>304</v>
      </c>
      <c r="B29" s="8" t="n">
        <v>20</v>
      </c>
      <c r="C29" s="8" t="n">
        <v>35</v>
      </c>
      <c r="D29" s="8" t="n">
        <v>696</v>
      </c>
      <c r="E29" s="5"/>
    </row>
    <row r="30" customFormat="false" ht="39" hidden="false" customHeight="true" outlineLevel="0" collapsed="false">
      <c r="A30" s="19" t="s">
        <v>306</v>
      </c>
      <c r="B30" s="8" t="n">
        <v>20</v>
      </c>
      <c r="C30" s="8" t="n">
        <v>25</v>
      </c>
      <c r="D30" s="8" t="n">
        <v>313</v>
      </c>
      <c r="E30" s="5"/>
    </row>
    <row r="31" customFormat="false" ht="39" hidden="false" customHeight="true" outlineLevel="0" collapsed="false">
      <c r="A31" s="19" t="s">
        <v>307</v>
      </c>
      <c r="B31" s="8" t="n">
        <v>20</v>
      </c>
      <c r="C31" s="8" t="n">
        <v>25</v>
      </c>
      <c r="D31" s="8" t="n">
        <v>353</v>
      </c>
      <c r="E31" s="5"/>
    </row>
    <row r="32" customFormat="false" ht="39" hidden="false" customHeight="true" outlineLevel="0" collapsed="false">
      <c r="A32" s="19" t="s">
        <v>308</v>
      </c>
      <c r="B32" s="8" t="n">
        <v>25</v>
      </c>
      <c r="C32" s="8" t="n">
        <v>35</v>
      </c>
      <c r="D32" s="8" t="n">
        <v>748</v>
      </c>
      <c r="E32" s="5"/>
    </row>
    <row r="33" customFormat="false" ht="39" hidden="false" customHeight="true" outlineLevel="0" collapsed="false">
      <c r="A33" s="19" t="s">
        <v>310</v>
      </c>
      <c r="B33" s="8" t="n">
        <v>20</v>
      </c>
      <c r="C33" s="8" t="n">
        <v>25</v>
      </c>
      <c r="D33" s="8" t="n">
        <v>305</v>
      </c>
      <c r="E33" s="5"/>
    </row>
    <row r="34" customFormat="false" ht="39" hidden="false" customHeight="true" outlineLevel="0" collapsed="false">
      <c r="A34" s="19" t="s">
        <v>311</v>
      </c>
      <c r="B34" s="8" t="n">
        <v>20</v>
      </c>
      <c r="C34" s="8" t="n">
        <v>35</v>
      </c>
      <c r="D34" s="8" t="n">
        <v>482</v>
      </c>
      <c r="E34" s="5"/>
    </row>
    <row r="35" customFormat="false" ht="15" hidden="false" customHeight="false" outlineLevel="0" collapsed="false">
      <c r="A35" s="24"/>
      <c r="B35" s="24"/>
      <c r="C35" s="24"/>
      <c r="D35" s="24"/>
      <c r="E35" s="24"/>
    </row>
    <row r="36" customFormat="false" ht="39" hidden="false" customHeight="true" outlineLevel="0" collapsed="false">
      <c r="A36" s="25" t="s">
        <v>916</v>
      </c>
      <c r="B36" s="24"/>
      <c r="C36" s="24"/>
      <c r="D36" s="24"/>
      <c r="E36" s="2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2026-10-28T21:22:52Z</dcterms:created>
  <dc:creator>openpyxl</dc:creator>
  <dc:description/>
  <dc:language>en-US</dc:language>
  <cp:lastModifiedBy/>
  <dcterms:modified xsi:type="dcterms:W3CDTF">2026-10-28T21:22:53Z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