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11" customWidth="1" min="26" max="26"/>
    <col width="8" customWidth="1" min="27" max="27"/>
    <col width="10" customWidth="1" min="28" max="28"/>
    <col width="10" customWidth="1" min="29" max="29"/>
    <col width="8" customWidth="1" min="30" max="30"/>
    <col width="8" customWidth="1" min="31" max="31"/>
    <col width="7" customWidth="1" min="32" max="32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  <c r="AC2" s="18" t="n"/>
      <c r="AD2" s="18" t="n"/>
      <c r="AE2" s="18" t="n"/>
      <c r="AF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tipo</t>
        </is>
      </c>
      <c r="AA3" s="19" t="inlineStr">
        <is>
          <t>hf losa</t>
        </is>
      </c>
      <c r="AB3" s="19" t="inlineStr">
        <is>
          <t>b ef tramo</t>
        </is>
      </c>
      <c r="AC3" s="19" t="inlineStr">
        <is>
          <t>b ef apoyo</t>
        </is>
      </c>
      <c r="AD3" s="19" t="inlineStr">
        <is>
          <t>B trib.</t>
        </is>
      </c>
      <c r="AE3" s="19" t="inlineStr">
        <is>
          <t>h muro</t>
        </is>
      </c>
      <c r="AF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(Datos!$B$10*(VLOOKUP($A$4,Datos!$A$14:$E$15,2,0)*AD4+Datos!$B$7*J4*L4/10000+Datos!$B$16*AE4)+Datos!$B$11*VLOOKUP($A$4,Datos!$A$14:$E$15,3,0)*AD4)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L4-AF4</f>
        <v/>
      </c>
      <c r="L4" s="24" t="n">
        <v>70</v>
      </c>
      <c r="M4" s="25">
        <f>IF(NOT(ISNUMBER(H4)),"---",IF(H4&lt;=0,"---",IF(H4*100/(Datos!$B$8*AB4*K4^2*Datos!$B$5)&gt;=0.5,"REVISAR",MAX((1-SQRT(1-2*H4*100/(Datos!$B$8*AB4*K4^2*Datos!$B$5)))*AB4*K4*Datos!$B$5/Datos!$B$6,0.0033*J4*K4))))</f>
        <v/>
      </c>
      <c r="N4" s="24" t="n">
        <v>2</v>
      </c>
      <c r="O4" s="24" t="n">
        <v>25</v>
      </c>
      <c r="P4" s="25">
        <f>IF(NOT(ISNUMBER(I4)),"---",IF(I4&lt;=0,"---",IF(I4*100/(Datos!$B$8*AC4*K4^2*Datos!$B$5)&gt;=0.5,"REVISAR",MAX((1-SQRT(1-2*I4*100/(Datos!$B$8*AC4*K4^2*Datos!$B$5)))*AC4*K4*Datos!$B$5/Datos!$B$6,0.0033*J4*K4))))</f>
        <v/>
      </c>
      <c r="Q4" s="24" t="n">
        <v>4</v>
      </c>
      <c r="R4" s="24" t="n">
        <v>20</v>
      </c>
      <c r="S4" s="25">
        <f>F4/(J4*0.85*K4)</f>
        <v/>
      </c>
      <c r="T4" s="25">
        <f>G4/(J4*0.85*K4)</f>
        <v/>
      </c>
      <c r="U4" s="24" t="n">
        <v>8</v>
      </c>
      <c r="V4" s="24" t="n">
        <v>15</v>
      </c>
      <c r="W4" s="7">
        <f>IF(OR(M4="REVISAR",P4="REVISAR"),"SECCION INSUF.",IF(NOT(AND(M4&lt;&gt;"REVISAR",P4&lt;&gt;"REVISAR",IF(ISNUMBER(M4),N4*PI()*(O4/10)^2/4&gt;=M4,TRUE),IF(ISNUMBER(P4),Q4*PI()*(R4/10)^2/4&gt;=P4,TRUE),IF(ISNUMBER(M4),M4&lt;=0.0163*AB4*K4,TRUE),IF(ISNUMBER(P4),P4&lt;=0.0163*AC4*K4,TRUE))),"NO VERIFICA FLEX.",IF(NOT(F4&lt;=Datos!$B$9*(0.53*SQRT(Datos!$B$5)*J4*K4+2*PI()*(U4/10)^2/4*Datos!$B$6*K4/V4)),"NO VERIF. CORTE",IF(NOT(L4&gt;=C4*100/VLOOKUP(Y4,Datos!$A$19:$E$23,5,0)),"VERIFICAR FLECHA","VERIFICA"))))</f>
        <v/>
      </c>
      <c r="X4" s="26" t="inlineStr">
        <is>
          <t>Armadura en 2 capas (rec. 6 cm). Viga de borde INVERTIDA: sobresale 70 cm sobre el fondo de losa. Verificar torsion, no incluida en esta planilla.</t>
        </is>
      </c>
      <c r="Y4" s="24" t="inlineStr">
        <is>
          <t>Continua</t>
        </is>
      </c>
      <c r="Z4" s="24" t="inlineStr">
        <is>
          <t>Invertida</t>
        </is>
      </c>
      <c r="AA4" s="24" t="n">
        <v>12</v>
      </c>
      <c r="AB4" s="7">
        <f>IF(Z4="Colgante",MIN(C4*100/4,J4+16*AA4),J4)</f>
        <v/>
      </c>
      <c r="AC4" s="7">
        <f>IF(Z4="Invertida",MIN(C4*100/4,J4+16*AA4),J4)</f>
        <v/>
      </c>
      <c r="AD4" s="24" t="n">
        <v>2</v>
      </c>
      <c r="AE4" s="24" t="n">
        <v>2.6</v>
      </c>
      <c r="AF4" s="24" t="n">
        <v>6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(Datos!$B$10*(VLOOKUP($A$4,Datos!$A$14:$E$15,2,0)*AD5+Datos!$B$7*J5*L5/10000+Datos!$B$16*AE5)+Datos!$B$11*VLOOKUP($A$4,Datos!$A$14:$E$15,3,0)*AD5)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L5-AF5</f>
        <v/>
      </c>
      <c r="L5" s="24" t="n">
        <v>70</v>
      </c>
      <c r="M5" s="25">
        <f>IF(NOT(ISNUMBER(H5)),"---",IF(H5&lt;=0,"---",IF(H5*100/(Datos!$B$8*AB5*K5^2*Datos!$B$5)&gt;=0.5,"REVISAR",MAX((1-SQRT(1-2*H5*100/(Datos!$B$8*AB5*K5^2*Datos!$B$5)))*AB5*K5*Datos!$B$5/Datos!$B$6,0.0033*J5*K5))))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IF(NOT(ISNUMBER(I5)),"---",IF(I5&lt;=0,"---",IF(I5*100/(Datos!$B$8*AC5*K5^2*Datos!$B$5)&gt;=0.5,"REVISAR",MAX((1-SQRT(1-2*I5*100/(Datos!$B$8*AC5*K5^2*Datos!$B$5)))*AC5*K5*Datos!$B$5/Datos!$B$6,0.0033*J5*K5))))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IF(OR(M5="REVISAR",P5="REVISAR"),"SECCION INSUF.",IF(NOT(AND(M5&lt;&gt;"REVISAR",P5&lt;&gt;"REVISAR",IF(ISNUMBER(M5),N5*PI()*(O5/10)^2/4&gt;=M5,TRUE),IF(ISNUMBER(P5),Q5*PI()*(R5/10)^2/4&gt;=P5,TRUE),IF(ISNUMBER(M5),M5&lt;=0.0163*AB5*K5,TRUE),IF(ISNUMBER(P5),P5&lt;=0.0163*AC5*K5,TRUE))),"NO VERIFICA FLEX.",IF(NOT(F5&lt;=Datos!$B$9*(0.53*SQRT(Datos!$B$5)*J5*K5+2*PI()*(U5/10)^2/4*Datos!$B$6*K5/V5)),"NO VERIF. CORTE",IF(NOT(L5&gt;=C5*100/VLOOKUP(Y5,Datos!$A$19:$E$23,5,0)),"VERIFICAR FLECHA","VERIFICA"))))</f>
        <v/>
      </c>
      <c r="X5" s="26" t="inlineStr">
        <is>
          <t>Viga de borde INVERTIDA: sobresale 70 cm sobre el fondo de losa. Verificar torsion, no incluida en esta planilla.</t>
        </is>
      </c>
      <c r="Y5" s="24" t="inlineStr">
        <is>
          <t>Continua</t>
        </is>
      </c>
      <c r="Z5" s="24" t="inlineStr">
        <is>
          <t>Invertida</t>
        </is>
      </c>
      <c r="AA5" s="24" t="n">
        <v>12</v>
      </c>
      <c r="AB5" s="7">
        <f>IF(Z5="Colgante",MIN(C5*100/4,J5+16*AA5),J5)</f>
        <v/>
      </c>
      <c r="AC5" s="7">
        <f>IF(Z5="Invertida",MIN(C5*100/4,J5+16*AA5),J5)</f>
        <v/>
      </c>
      <c r="AD5" s="24" t="n">
        <v>2</v>
      </c>
      <c r="AE5" s="24" t="n">
        <v>2.6</v>
      </c>
      <c r="AF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(Datos!$B$10*(VLOOKUP($A$4,Datos!$A$14:$E$15,2,0)*AD6+Datos!$B$7*J6*L6/10000+Datos!$B$16*AE6)+Datos!$B$11*VLOOKUP($A$4,Datos!$A$14:$E$15,3,0)*AD6)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L6-AF6</f>
        <v/>
      </c>
      <c r="L6" s="24" t="n">
        <v>60</v>
      </c>
      <c r="M6" s="25">
        <f>IF(NOT(ISNUMBER(H6)),"---",IF(H6&lt;=0,"---",IF(H6*100/(Datos!$B$8*AB6*K6^2*Datos!$B$5)&gt;=0.5,"REVISAR",MAX((1-SQRT(1-2*H6*100/(Datos!$B$8*AB6*K6^2*Datos!$B$5)))*AB6*K6*Datos!$B$5/Datos!$B$6,0.0033*J6*K6))))</f>
        <v/>
      </c>
      <c r="N6" s="24" t="n">
        <v>2</v>
      </c>
      <c r="O6" s="24" t="n">
        <v>20</v>
      </c>
      <c r="P6" s="25">
        <f>IF(NOT(ISNUMBER(I6)),"---",IF(I6&lt;=0,"---",IF(I6*100/(Datos!$B$8*AC6*K6^2*Datos!$B$5)&gt;=0.5,"REVISAR",MAX((1-SQRT(1-2*I6*100/(Datos!$B$8*AC6*K6^2*Datos!$B$5)))*AC6*K6*Datos!$B$5/Datos!$B$6,0.0033*J6*K6))))</f>
        <v/>
      </c>
      <c r="Q6" s="24" t="n">
        <v>2</v>
      </c>
      <c r="R6" s="24" t="n">
        <v>25</v>
      </c>
      <c r="S6" s="25">
        <f>F6/(J6*0.85*K6)</f>
        <v/>
      </c>
      <c r="T6" s="25">
        <f>G6/(J6*0.85*K6)</f>
        <v/>
      </c>
      <c r="U6" s="24" t="n">
        <v>6</v>
      </c>
      <c r="V6" s="24" t="n">
        <v>15</v>
      </c>
      <c r="W6" s="7">
        <f>IF(OR(M6="REVISAR",P6="REVISAR"),"SECCION INSUF.",IF(NOT(AND(M6&lt;&gt;"REVISAR",P6&lt;&gt;"REVISAR",IF(ISNUMBER(M6),N6*PI()*(O6/10)^2/4&gt;=M6,TRUE),IF(ISNUMBER(P6),Q6*PI()*(R6/10)^2/4&gt;=P6,TRUE),IF(ISNUMBER(M6),M6&lt;=0.0163*AB6*K6,TRUE),IF(ISNUMBER(P6),P6&lt;=0.0163*AC6*K6,TRUE))),"NO VERIFICA FLEX.",IF(NOT(F6&lt;=Datos!$B$9*(0.53*SQRT(Datos!$B$5)*J6*K6+2*PI()*(U6/10)^2/4*Datos!$B$6*K6/V6)),"NO VERIF. CORTE",IF(NOT(L6&gt;=C6*100/VLOOKUP(Y6,Datos!$A$19:$E$23,5,0)),"VERIFICAR FLECHA","VERIFICA"))))</f>
        <v/>
      </c>
      <c r="X6" s="26" t="inlineStr">
        <is>
          <t>Ancho tributario relevado: solo recibe L02, voladizo de 0,80 m, que entrega su carga entera. Con B=0,80 la viga VERIFICA. El voladizo ademas le transmite torsion, no verificada aqui.</t>
        </is>
      </c>
      <c r="Y6" s="24" t="inlineStr">
        <is>
          <t>Continua</t>
        </is>
      </c>
      <c r="Z6" s="24" t="inlineStr">
        <is>
          <t>Colgante</t>
        </is>
      </c>
      <c r="AA6" s="24" t="n">
        <v>12</v>
      </c>
      <c r="AB6" s="7">
        <f>IF(Z6="Colgante",MIN(C6*100/4,J6+16*AA6),J6)</f>
        <v/>
      </c>
      <c r="AC6" s="7">
        <f>IF(Z6="Invertida",MIN(C6*100/4,J6+16*AA6),J6)</f>
        <v/>
      </c>
      <c r="AD6" s="24" t="n">
        <v>0.8</v>
      </c>
      <c r="AE6" s="24" t="n">
        <v>2.6</v>
      </c>
      <c r="AF6" s="24" t="n">
        <v>3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(Datos!$B$10*(VLOOKUP($A$4,Datos!$A$14:$E$15,2,0)*AD7+Datos!$B$7*J7*L7/10000+Datos!$B$16*AE7)+Datos!$B$11*VLOOKUP($A$4,Datos!$A$14:$E$15,3,0)*AD7)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L7-AF7</f>
        <v/>
      </c>
      <c r="L7" s="24" t="n">
        <v>70</v>
      </c>
      <c r="M7" s="25">
        <f>IF(NOT(ISNUMBER(H7)),"---",IF(H7&lt;=0,"---",IF(H7*100/(Datos!$B$8*AB7*K7^2*Datos!$B$5)&gt;=0.5,"REVISAR",MAX((1-SQRT(1-2*H7*100/(Datos!$B$8*AB7*K7^2*Datos!$B$5)))*AB7*K7*Datos!$B$5/Datos!$B$6,0.0033*J7*K7))))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IF(NOT(ISNUMBER(I7)),"---",IF(I7&lt;=0,"---",IF(I7*100/(Datos!$B$8*AC7*K7^2*Datos!$B$5)&gt;=0.5,"REVISAR",MAX((1-SQRT(1-2*I7*100/(Datos!$B$8*AC7*K7^2*Datos!$B$5)))*AC7*K7*Datos!$B$5/Datos!$B$6,0.0033*J7*K7))))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IF(OR(M7="REVISAR",P7="REVISAR"),"SECCION INSUF.",IF(NOT(AND(M7&lt;&gt;"REVISAR",P7&lt;&gt;"REVISAR",IF(ISNUMBER(M7),N7*PI()*(O7/10)^2/4&gt;=M7,TRUE),IF(ISNUMBER(P7),Q7*PI()*(R7/10)^2/4&gt;=P7,TRUE),IF(ISNUMBER(M7),M7&lt;=0.0163*AB7*K7,TRUE),IF(ISNUMBER(P7),P7&lt;=0.0163*AC7*K7,TRUE))),"NO VERIFICA FLEX.",IF(NOT(F7&lt;=Datos!$B$9*(0.53*SQRT(Datos!$B$5)*J7*K7+2*PI()*(U7/10)^2/4*Datos!$B$6*K7/V7)),"NO VERIF. CORTE",IF(NOT(L7&gt;=C7*100/VLOOKUP(Y7,Datos!$A$19:$E$23,5,0)),"VERIFICAR FLECHA","VERIFICA"))))</f>
        <v/>
      </c>
      <c r="X7" s="7" t="n"/>
      <c r="Y7" s="24" t="inlineStr">
        <is>
          <t>Continua</t>
        </is>
      </c>
      <c r="Z7" s="24" t="inlineStr">
        <is>
          <t>Colgante</t>
        </is>
      </c>
      <c r="AA7" s="24" t="n">
        <v>12</v>
      </c>
      <c r="AB7" s="7">
        <f>IF(Z7="Colgante",MIN(C7*100/4,J7+16*AA7),J7)</f>
        <v/>
      </c>
      <c r="AC7" s="7">
        <f>IF(Z7="Invertida",MIN(C7*100/4,J7+16*AA7),J7)</f>
        <v/>
      </c>
      <c r="AD7" s="24" t="n">
        <v>2</v>
      </c>
      <c r="AE7" s="24" t="n">
        <v>2.6</v>
      </c>
      <c r="AF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(Datos!$B$10*(VLOOKUP($A$4,Datos!$A$14:$E$15,2,0)*AD8+Datos!$B$7*J8*L8/10000+Datos!$B$16*AE8)+Datos!$B$11*VLOOKUP($A$4,Datos!$A$14:$E$15,3,0)*AD8)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L8-AF8</f>
        <v/>
      </c>
      <c r="L8" s="24" t="n">
        <v>70</v>
      </c>
      <c r="M8" s="25">
        <f>IF(NOT(ISNUMBER(H8)),"---",IF(H8&lt;=0,"---",IF(H8*100/(Datos!$B$8*AB8*K8^2*Datos!$B$5)&gt;=0.5,"REVISAR",MAX((1-SQRT(1-2*H8*100/(Datos!$B$8*AB8*K8^2*Datos!$B$5)))*AB8*K8*Datos!$B$5/Datos!$B$6,0.0033*J8*K8))))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IF(NOT(ISNUMBER(I8)),"---",IF(I8&lt;=0,"---",IF(I8*100/(Datos!$B$8*AC8*K8^2*Datos!$B$5)&gt;=0.5,"REVISAR",MAX((1-SQRT(1-2*I8*100/(Datos!$B$8*AC8*K8^2*Datos!$B$5)))*AC8*K8*Datos!$B$5/Datos!$B$6,0.0033*J8*K8))))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IF(OR(M8="REVISAR",P8="REVISAR"),"SECCION INSUF.",IF(NOT(AND(M8&lt;&gt;"REVISAR",P8&lt;&gt;"REVISAR",IF(ISNUMBER(M8),N8*PI()*(O8/10)^2/4&gt;=M8,TRUE),IF(ISNUMBER(P8),Q8*PI()*(R8/10)^2/4&gt;=P8,TRUE),IF(ISNUMBER(M8),M8&lt;=0.0163*AB8*K8,TRUE),IF(ISNUMBER(P8),P8&lt;=0.0163*AC8*K8,TRUE))),"NO VERIFICA FLEX.",IF(NOT(F8&lt;=Datos!$B$9*(0.53*SQRT(Datos!$B$5)*J8*K8+2*PI()*(U8/10)^2/4*Datos!$B$6*K8/V8)),"NO VERIF. CORTE",IF(NOT(L8&gt;=C8*100/VLOOKUP(Y8,Datos!$A$19:$E$23,5,0)),"VERIFICAR FLECHA","VERIFICA"))))</f>
        <v/>
      </c>
      <c r="X8" s="7" t="n"/>
      <c r="Y8" s="24" t="inlineStr">
        <is>
          <t>Continua</t>
        </is>
      </c>
      <c r="Z8" s="24" t="inlineStr">
        <is>
          <t>Colgante</t>
        </is>
      </c>
      <c r="AA8" s="24" t="n">
        <v>12</v>
      </c>
      <c r="AB8" s="7">
        <f>IF(Z8="Colgante",MIN(C8*100/4,J8+16*AA8),J8)</f>
        <v/>
      </c>
      <c r="AC8" s="7">
        <f>IF(Z8="Invertida",MIN(C8*100/4,J8+16*AA8),J8)</f>
        <v/>
      </c>
      <c r="AD8" s="24" t="n">
        <v>2</v>
      </c>
      <c r="AE8" s="24" t="n">
        <v>2.6</v>
      </c>
      <c r="AF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(Datos!$B$10*(VLOOKUP($A$4,Datos!$A$14:$E$15,2,0)*AD9+Datos!$B$7*J9*L9/10000+Datos!$B$16*AE9)+Datos!$B$11*VLOOKUP($A$4,Datos!$A$14:$E$15,3,0)*AD9)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L9-AF9</f>
        <v/>
      </c>
      <c r="L9" s="24" t="n">
        <v>70</v>
      </c>
      <c r="M9" s="25">
        <f>IF(NOT(ISNUMBER(H9)),"---",IF(H9&lt;=0,"---",IF(H9*100/(Datos!$B$8*AB9*K9^2*Datos!$B$5)&gt;=0.5,"REVISAR",MAX((1-SQRT(1-2*H9*100/(Datos!$B$8*AB9*K9^2*Datos!$B$5)))*AB9*K9*Datos!$B$5/Datos!$B$6,0.0033*J9*K9))))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IF(NOT(ISNUMBER(I9)),"---",IF(I9&lt;=0,"---",IF(I9*100/(Datos!$B$8*AC9*K9^2*Datos!$B$5)&gt;=0.5,"REVISAR",MAX((1-SQRT(1-2*I9*100/(Datos!$B$8*AC9*K9^2*Datos!$B$5)))*AC9*K9*Datos!$B$5/Datos!$B$6,0.0033*J9*K9))))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IF(OR(M9="REVISAR",P9="REVISAR"),"SECCION INSUF.",IF(NOT(AND(M9&lt;&gt;"REVISAR",P9&lt;&gt;"REVISAR",IF(ISNUMBER(M9),N9*PI()*(O9/10)^2/4&gt;=M9,TRUE),IF(ISNUMBER(P9),Q9*PI()*(R9/10)^2/4&gt;=P9,TRUE),IF(ISNUMBER(M9),M9&lt;=0.0163*AB9*K9,TRUE),IF(ISNUMBER(P9),P9&lt;=0.0163*AC9*K9,TRUE))),"NO VERIFICA FLEX.",IF(NOT(F9&lt;=Datos!$B$9*(0.53*SQRT(Datos!$B$5)*J9*K9+2*PI()*(U9/10)^2/4*Datos!$B$6*K9/V9)),"NO VERIF. CORTE",IF(NOT(L9&gt;=C9*100/VLOOKUP(Y9,Datos!$A$19:$E$23,5,0)),"VERIFICAR FLECHA","VERIFICA"))))</f>
        <v/>
      </c>
      <c r="X9" s="7" t="n"/>
      <c r="Y9" s="24" t="inlineStr">
        <is>
          <t>Continua</t>
        </is>
      </c>
      <c r="Z9" s="24" t="inlineStr">
        <is>
          <t>Colgante</t>
        </is>
      </c>
      <c r="AA9" s="24" t="n">
        <v>12</v>
      </c>
      <c r="AB9" s="7">
        <f>IF(Z9="Colgante",MIN(C9*100/4,J9+16*AA9),J9)</f>
        <v/>
      </c>
      <c r="AC9" s="7">
        <f>IF(Z9="Invertida",MIN(C9*100/4,J9+16*AA9),J9)</f>
        <v/>
      </c>
      <c r="AD9" s="24" t="n">
        <v>2</v>
      </c>
      <c r="AE9" s="24" t="n">
        <v>2.6</v>
      </c>
      <c r="AF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(Datos!$B$10*(VLOOKUP($A$4,Datos!$A$14:$E$15,2,0)*AD10+Datos!$B$7*J10*L10/10000+Datos!$B$16*AE10)+Datos!$B$11*VLOOKUP($A$4,Datos!$A$14:$E$15,3,0)*AD10)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L10-AF10</f>
        <v/>
      </c>
      <c r="L10" s="24" t="n">
        <v>70</v>
      </c>
      <c r="M10" s="25">
        <f>IF(NOT(ISNUMBER(H10)),"---",IF(H10&lt;=0,"---",IF(H10*100/(Datos!$B$8*AB10*K10^2*Datos!$B$5)&gt;=0.5,"REVISAR",MAX((1-SQRT(1-2*H10*100/(Datos!$B$8*AB10*K10^2*Datos!$B$5)))*AB10*K10*Datos!$B$5/Datos!$B$6,0.0033*J10*K10))))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IF(NOT(ISNUMBER(I10)),"---",IF(I10&lt;=0,"---",IF(I10*100/(Datos!$B$8*AC10*K10^2*Datos!$B$5)&gt;=0.5,"REVISAR",MAX((1-SQRT(1-2*I10*100/(Datos!$B$8*AC10*K10^2*Datos!$B$5)))*AC10*K10*Datos!$B$5/Datos!$B$6,0.0033*J10*K10))))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IF(OR(M10="REVISAR",P10="REVISAR"),"SECCION INSUF.",IF(NOT(AND(M10&lt;&gt;"REVISAR",P10&lt;&gt;"REVISAR",IF(ISNUMBER(M10),N10*PI()*(O10/10)^2/4&gt;=M10,TRUE),IF(ISNUMBER(P10),Q10*PI()*(R10/10)^2/4&gt;=P10,TRUE),IF(ISNUMBER(M10),M10&lt;=0.0163*AB10*K10,TRUE),IF(ISNUMBER(P10),P10&lt;=0.0163*AC10*K10,TRUE))),"NO VERIFICA FLEX.",IF(NOT(F10&lt;=Datos!$B$9*(0.53*SQRT(Datos!$B$5)*J10*K10+2*PI()*(U10/10)^2/4*Datos!$B$6*K10/V10)),"NO VERIF. CORTE",IF(NOT(L10&gt;=C10*100/VLOOKUP(Y10,Datos!$A$19:$E$23,5,0)),"VERIFICAR FLECHA","VERIFICA"))))</f>
        <v/>
      </c>
      <c r="X10" s="26" t="inlineStr">
        <is>
          <t>Viga de borde INVERTIDA: sobresale 70 cm sobre el fondo de losa. Verificar torsion, no incluida en esta planilla.</t>
        </is>
      </c>
      <c r="Y10" s="24" t="inlineStr">
        <is>
          <t>Continua</t>
        </is>
      </c>
      <c r="Z10" s="24" t="inlineStr">
        <is>
          <t>Invertida</t>
        </is>
      </c>
      <c r="AA10" s="24" t="n">
        <v>12</v>
      </c>
      <c r="AB10" s="7">
        <f>IF(Z10="Colgante",MIN(C10*100/4,J10+16*AA10),J10)</f>
        <v/>
      </c>
      <c r="AC10" s="7">
        <f>IF(Z10="Invertida",MIN(C10*100/4,J10+16*AA10),J10)</f>
        <v/>
      </c>
      <c r="AD10" s="24" t="n">
        <v>2</v>
      </c>
      <c r="AE10" s="24" t="n">
        <v>2.6</v>
      </c>
      <c r="AF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(Datos!$B$10*(VLOOKUP($A$4,Datos!$A$14:$E$15,2,0)*AD11+Datos!$B$7*J11*L11/10000+Datos!$B$16*AE11)+Datos!$B$11*VLOOKUP($A$4,Datos!$A$14:$E$15,3,0)*AD11)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L11-AF11</f>
        <v/>
      </c>
      <c r="L11" s="24" t="n">
        <v>70</v>
      </c>
      <c r="M11" s="25">
        <f>IF(NOT(ISNUMBER(H11)),"---",IF(H11&lt;=0,"---",IF(H11*100/(Datos!$B$8*AB11*K11^2*Datos!$B$5)&gt;=0.5,"REVISAR",MAX((1-SQRT(1-2*H11*100/(Datos!$B$8*AB11*K11^2*Datos!$B$5)))*AB11*K11*Datos!$B$5/Datos!$B$6,0.0033*J11*K11))))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IF(NOT(ISNUMBER(I11)),"---",IF(I11&lt;=0,"---",IF(I11*100/(Datos!$B$8*AC11*K11^2*Datos!$B$5)&gt;=0.5,"REVISAR",MAX((1-SQRT(1-2*I11*100/(Datos!$B$8*AC11*K11^2*Datos!$B$5)))*AC11*K11*Datos!$B$5/Datos!$B$6,0.0033*J11*K11))))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IF(OR(M11="REVISAR",P11="REVISAR"),"SECCION INSUF.",IF(NOT(AND(M11&lt;&gt;"REVISAR",P11&lt;&gt;"REVISAR",IF(ISNUMBER(M11),N11*PI()*(O11/10)^2/4&gt;=M11,TRUE),IF(ISNUMBER(P11),Q11*PI()*(R11/10)^2/4&gt;=P11,TRUE),IF(ISNUMBER(M11),M11&lt;=0.0163*AB11*K11,TRUE),IF(ISNUMBER(P11),P11&lt;=0.0163*AC11*K11,TRUE))),"NO VERIFICA FLEX.",IF(NOT(F11&lt;=Datos!$B$9*(0.53*SQRT(Datos!$B$5)*J11*K11+2*PI()*(U11/10)^2/4*Datos!$B$6*K11/V11)),"NO VERIF. CORTE",IF(NOT(L11&gt;=C11*100/VLOOKUP(Y11,Datos!$A$19:$E$23,5,0)),"VERIFICAR FLECHA","VERIFICA"))))</f>
        <v/>
      </c>
      <c r="X11" s="26" t="inlineStr">
        <is>
          <t>Viga de borde INVERTIDA: sobresale 70 cm sobre el fondo de losa. Verificar torsion, no incluida en esta planilla.</t>
        </is>
      </c>
      <c r="Y11" s="24" t="inlineStr">
        <is>
          <t>Continua</t>
        </is>
      </c>
      <c r="Z11" s="24" t="inlineStr">
        <is>
          <t>Invertida</t>
        </is>
      </c>
      <c r="AA11" s="24" t="n">
        <v>12</v>
      </c>
      <c r="AB11" s="7">
        <f>IF(Z11="Colgante",MIN(C11*100/4,J11+16*AA11),J11)</f>
        <v/>
      </c>
      <c r="AC11" s="7">
        <f>IF(Z11="Invertida",MIN(C11*100/4,J11+16*AA11),J11)</f>
        <v/>
      </c>
      <c r="AD11" s="24" t="n">
        <v>2</v>
      </c>
      <c r="AE11" s="24" t="n">
        <v>2.6</v>
      </c>
      <c r="AF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(Datos!$B$10*(VLOOKUP($A$4,Datos!$A$14:$E$15,2,0)*AD12+Datos!$B$7*J12*L12/10000+Datos!$B$16*AE12)+Datos!$B$11*VLOOKUP($A$4,Datos!$A$14:$E$15,3,0)*AD12)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L12-AF12</f>
        <v/>
      </c>
      <c r="L12" s="24" t="n">
        <v>70</v>
      </c>
      <c r="M12" s="25">
        <f>IF(NOT(ISNUMBER(H12)),"---",IF(H12&lt;=0,"---",IF(H12*100/(Datos!$B$8*AB12*K12^2*Datos!$B$5)&gt;=0.5,"REVISAR",MAX((1-SQRT(1-2*H12*100/(Datos!$B$8*AB12*K12^2*Datos!$B$5)))*AB12*K12*Datos!$B$5/Datos!$B$6,0.0033*J12*K12))))</f>
        <v/>
      </c>
      <c r="N12" s="24" t="n">
        <v>2</v>
      </c>
      <c r="O12" s="24" t="n">
        <v>25</v>
      </c>
      <c r="P12" s="25">
        <f>IF(NOT(ISNUMBER(I12)),"---",IF(I12&lt;=0,"---",IF(I12*100/(Datos!$B$8*AC12*K12^2*Datos!$B$5)&gt;=0.5,"REVISAR",MAX((1-SQRT(1-2*I12*100/(Datos!$B$8*AC12*K12^2*Datos!$B$5)))*AC12*K12*Datos!$B$5/Datos!$B$6,0.0033*J12*K12))))</f>
        <v/>
      </c>
      <c r="Q12" s="24" t="n">
        <v>4</v>
      </c>
      <c r="R12" s="24" t="n">
        <v>20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10</v>
      </c>
      <c r="W12" s="7">
        <f>IF(OR(M12="REVISAR",P12="REVISAR"),"SECCION INSUF.",IF(NOT(AND(M12&lt;&gt;"REVISAR",P12&lt;&gt;"REVISAR",IF(ISNUMBER(M12),N12*PI()*(O12/10)^2/4&gt;=M12,TRUE),IF(ISNUMBER(P12),Q12*PI()*(R12/10)^2/4&gt;=P12,TRUE),IF(ISNUMBER(M12),M12&lt;=0.0163*AB12*K12,TRUE),IF(ISNUMBER(P12),P12&lt;=0.0163*AC12*K12,TRUE))),"NO VERIFICA FLEX.",IF(NOT(F12&lt;=Datos!$B$9*(0.53*SQRT(Datos!$B$5)*J12*K12+2*PI()*(U12/10)^2/4*Datos!$B$6*K12/V12)),"NO VERIF. CORTE",IF(NOT(L12&gt;=C12*100/VLOOKUP(Y12,Datos!$A$19:$E$23,5,0)),"VERIFICAR FLECHA","VERIFICA"))))</f>
        <v/>
      </c>
      <c r="X12" s="26" t="inlineStr">
        <is>
          <t>Armadura en 2 capas (rec. 6 cm). Empotrada-apoyada: columna 30x15 a la izquierda, tabique a la derecha. Viga de borde INVERTIDA: sobresale 70 cm sobre el fondo de losa. Verificar torsion, no incluida en esta planilla.</t>
        </is>
      </c>
      <c r="Y12" s="24" t="inlineStr">
        <is>
          <t>Empotrada-apoyada</t>
        </is>
      </c>
      <c r="Z12" s="24" t="inlineStr">
        <is>
          <t>Invertida</t>
        </is>
      </c>
      <c r="AA12" s="24" t="n">
        <v>12</v>
      </c>
      <c r="AB12" s="7">
        <f>IF(Z12="Colgante",MIN(C12*100/4,J12+16*AA12),J12)</f>
        <v/>
      </c>
      <c r="AC12" s="7">
        <f>IF(Z12="Invertida",MIN(C12*100/4,J12+16*AA12),J12)</f>
        <v/>
      </c>
      <c r="AD12" s="24" t="n">
        <v>2</v>
      </c>
      <c r="AE12" s="24" t="n">
        <v>2.6</v>
      </c>
      <c r="AF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(Datos!$B$10*(VLOOKUP($A$4,Datos!$A$14:$E$15,2,0)*AD13+Datos!$B$7*J13*L13/10000+Datos!$B$16*AE13)+Datos!$B$11*VLOOKUP($A$4,Datos!$A$14:$E$15,3,0)*AD13)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L13-AF13</f>
        <v/>
      </c>
      <c r="L13" s="24" t="n">
        <v>70</v>
      </c>
      <c r="M13" s="25">
        <f>IF(NOT(ISNUMBER(H13)),"---",IF(H13&lt;=0,"---",IF(H13*100/(Datos!$B$8*AB13*K13^2*Datos!$B$5)&gt;=0.5,"REVISAR",MAX((1-SQRT(1-2*H13*100/(Datos!$B$8*AB13*K13^2*Datos!$B$5)))*AB13*K13*Datos!$B$5/Datos!$B$6,0.0033*J13*K13))))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IF(NOT(ISNUMBER(I13)),"---",IF(I13&lt;=0,"---",IF(I13*100/(Datos!$B$8*AC13*K13^2*Datos!$B$5)&gt;=0.5,"REVISAR",MAX((1-SQRT(1-2*I13*100/(Datos!$B$8*AC13*K13^2*Datos!$B$5)))*AC13*K13*Datos!$B$5/Datos!$B$6,0.0033*J13*K13))))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IF(OR(M13="REVISAR",P13="REVISAR"),"SECCION INSUF.",IF(NOT(AND(M13&lt;&gt;"REVISAR",P13&lt;&gt;"REVISAR",IF(ISNUMBER(M13),N13*PI()*(O13/10)^2/4&gt;=M13,TRUE),IF(ISNUMBER(P13),Q13*PI()*(R13/10)^2/4&gt;=P13,TRUE),IF(ISNUMBER(M13),M13&lt;=0.0163*AB13*K13,TRUE),IF(ISNUMBER(P13),P13&lt;=0.0163*AC13*K13,TRUE))),"NO VERIFICA FLEX.",IF(NOT(F13&lt;=Datos!$B$9*(0.53*SQRT(Datos!$B$5)*J13*K13+2*PI()*(U13/10)^2/4*Datos!$B$6*K13/V13)),"NO VERIF. CORTE",IF(NOT(L13&gt;=C13*100/VLOOKUP(Y13,Datos!$A$19:$E$23,5,0)),"VERIFICAR FLECHA","VERIFICA"))))</f>
        <v/>
      </c>
      <c r="X13" s="7" t="n"/>
      <c r="Y13" s="24" t="inlineStr">
        <is>
          <t>Continua</t>
        </is>
      </c>
      <c r="Z13" s="24" t="inlineStr">
        <is>
          <t>Colgante</t>
        </is>
      </c>
      <c r="AA13" s="24" t="n">
        <v>12</v>
      </c>
      <c r="AB13" s="7">
        <f>IF(Z13="Colgante",MIN(C13*100/4,J13+16*AA13),J13)</f>
        <v/>
      </c>
      <c r="AC13" s="7">
        <f>IF(Z13="Invertida",MIN(C13*100/4,J13+16*AA13),J13)</f>
        <v/>
      </c>
      <c r="AD13" s="24" t="n">
        <v>2</v>
      </c>
      <c r="AE13" s="24" t="n">
        <v>2.6</v>
      </c>
      <c r="AF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(Datos!$B$10*(VLOOKUP($A$4,Datos!$A$14:$E$15,2,0)*AD14+Datos!$B$7*J14*L14/10000+Datos!$B$16*AE14)+Datos!$B$11*VLOOKUP($A$4,Datos!$A$14:$E$15,3,0)*AD14)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L14-AF14</f>
        <v/>
      </c>
      <c r="L14" s="24" t="n">
        <v>70</v>
      </c>
      <c r="M14" s="25">
        <f>IF(NOT(ISNUMBER(H14)),"---",IF(H14&lt;=0,"---",IF(H14*100/(Datos!$B$8*AB14*K14^2*Datos!$B$5)&gt;=0.5,"REVISAR",MAX((1-SQRT(1-2*H14*100/(Datos!$B$8*AB14*K14^2*Datos!$B$5)))*AB14*K14*Datos!$B$5/Datos!$B$6,0.0033*J14*K14))))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IF(NOT(ISNUMBER(I14)),"---",IF(I14&lt;=0,"---",IF(I14*100/(Datos!$B$8*AC14*K14^2*Datos!$B$5)&gt;=0.5,"REVISAR",MAX((1-SQRT(1-2*I14*100/(Datos!$B$8*AC14*K14^2*Datos!$B$5)))*AC14*K14*Datos!$B$5/Datos!$B$6,0.0033*J14*K14))))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IF(OR(M14="REVISAR",P14="REVISAR"),"SECCION INSUF.",IF(NOT(AND(M14&lt;&gt;"REVISAR",P14&lt;&gt;"REVISAR",IF(ISNUMBER(M14),N14*PI()*(O14/10)^2/4&gt;=M14,TRUE),IF(ISNUMBER(P14),Q14*PI()*(R14/10)^2/4&gt;=P14,TRUE),IF(ISNUMBER(M14),M14&lt;=0.0163*AB14*K14,TRUE),IF(ISNUMBER(P14),P14&lt;=0.0163*AC14*K14,TRUE))),"NO VERIFICA FLEX.",IF(NOT(F14&lt;=Datos!$B$9*(0.53*SQRT(Datos!$B$5)*J14*K14+2*PI()*(U14/10)^2/4*Datos!$B$6*K14/V14)),"NO VERIF. CORTE",IF(NOT(L14&gt;=C14*100/VLOOKUP(Y14,Datos!$A$19:$E$23,5,0)),"VERIFICAR FLECHA","VERIFICA"))))</f>
        <v/>
      </c>
      <c r="X14" s="7" t="n"/>
      <c r="Y14" s="24" t="inlineStr">
        <is>
          <t>Continua</t>
        </is>
      </c>
      <c r="Z14" s="24" t="inlineStr">
        <is>
          <t>Colgante</t>
        </is>
      </c>
      <c r="AA14" s="24" t="n">
        <v>12</v>
      </c>
      <c r="AB14" s="7">
        <f>IF(Z14="Colgante",MIN(C14*100/4,J14+16*AA14),J14)</f>
        <v/>
      </c>
      <c r="AC14" s="7">
        <f>IF(Z14="Invertida",MIN(C14*100/4,J14+16*AA14),J14)</f>
        <v/>
      </c>
      <c r="AD14" s="24" t="n">
        <v>2</v>
      </c>
      <c r="AE14" s="24" t="n">
        <v>2.6</v>
      </c>
      <c r="AF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(Datos!$B$10*(VLOOKUP($A$4,Datos!$A$14:$E$15,2,0)*AD15+Datos!$B$7*J15*L15/10000+Datos!$B$16*AE15)+Datos!$B$11*VLOOKUP($A$4,Datos!$A$14:$E$15,3,0)*AD15)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L15-AF15</f>
        <v/>
      </c>
      <c r="L15" s="24" t="n">
        <v>70</v>
      </c>
      <c r="M15" s="25">
        <f>IF(NOT(ISNUMBER(H15)),"---",IF(H15&lt;=0,"---",IF(H15*100/(Datos!$B$8*AB15*K15^2*Datos!$B$5)&gt;=0.5,"REVISAR",MAX((1-SQRT(1-2*H15*100/(Datos!$B$8*AB15*K15^2*Datos!$B$5)))*AB15*K15*Datos!$B$5/Datos!$B$6,0.0033*J15*K15))))</f>
        <v/>
      </c>
      <c r="N15" s="24" t="n">
        <v>2</v>
      </c>
      <c r="O15" s="24" t="n">
        <v>16</v>
      </c>
      <c r="P15" s="25">
        <f>IF(NOT(ISNUMBER(I15)),"---",IF(I15&lt;=0,"---",IF(I15*100/(Datos!$B$8*AC15*K15^2*Datos!$B$5)&gt;=0.5,"REVISAR",MAX((1-SQRT(1-2*I15*100/(Datos!$B$8*AC15*K15^2*Datos!$B$5)))*AC15*K15*Datos!$B$5/Datos!$B$6,0.0033*J15*K15))))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IF(OR(M15="REVISAR",P15="REVISAR"),"SECCION INSUF.",IF(NOT(AND(M15&lt;&gt;"REVISAR",P15&lt;&gt;"REVISAR",IF(ISNUMBER(M15),N15*PI()*(O15/10)^2/4&gt;=M15,TRUE),IF(ISNUMBER(P15),Q15*PI()*(R15/10)^2/4&gt;=P15,TRUE),IF(ISNUMBER(M15),M15&lt;=0.0163*AB15*K15,TRUE),IF(ISNUMBER(P15),P15&lt;=0.0163*AC15*K15,TRUE))),"NO VERIFICA FLEX.",IF(NOT(F15&lt;=Datos!$B$9*(0.53*SQRT(Datos!$B$5)*J15*K15+2*PI()*(U15/10)^2/4*Datos!$B$6*K15/V15)),"NO VERIF. CORTE",IF(NOT(L15&gt;=C15*100/VLOOKUP(Y15,Datos!$A$19:$E$23,5,0)),"VERIFICAR FLECHA","VERIFICA"))))</f>
        <v/>
      </c>
      <c r="X15" s="7" t="n"/>
      <c r="Y15" s="24" t="inlineStr">
        <is>
          <t>Simplemente apoyada</t>
        </is>
      </c>
      <c r="Z15" s="24" t="inlineStr">
        <is>
          <t>Colgante</t>
        </is>
      </c>
      <c r="AA15" s="24" t="n">
        <v>12</v>
      </c>
      <c r="AB15" s="7">
        <f>IF(Z15="Colgante",MIN(C15*100/4,J15+16*AA15),J15)</f>
        <v/>
      </c>
      <c r="AC15" s="7">
        <f>IF(Z15="Invertida",MIN(C15*100/4,J15+16*AA15),J15)</f>
        <v/>
      </c>
      <c r="AD15" s="24" t="n">
        <v>2</v>
      </c>
      <c r="AE15" s="24" t="n">
        <v>2.6</v>
      </c>
      <c r="AF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(Datos!$B$10*(VLOOKUP($A$4,Datos!$A$14:$E$15,2,0)*AD16+Datos!$B$7*J16*L16/10000+Datos!$B$16*AE16)+Datos!$B$11*VLOOKUP($A$4,Datos!$A$14:$E$15,3,0)*AD16)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L16-AF16</f>
        <v/>
      </c>
      <c r="L16" s="24" t="n">
        <v>70</v>
      </c>
      <c r="M16" s="25">
        <f>IF(NOT(ISNUMBER(H16)),"---",IF(H16&lt;=0,"---",IF(H16*100/(Datos!$B$8*AB16*K16^2*Datos!$B$5)&gt;=0.5,"REVISAR",MAX((1-SQRT(1-2*H16*100/(Datos!$B$8*AB16*K16^2*Datos!$B$5)))*AB16*K16*Datos!$B$5/Datos!$B$6,0.0033*J16*K16))))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IF(NOT(ISNUMBER(I16)),"---",IF(I16&lt;=0,"---",IF(I16*100/(Datos!$B$8*AC16*K16^2*Datos!$B$5)&gt;=0.5,"REVISAR",MAX((1-SQRT(1-2*I16*100/(Datos!$B$8*AC16*K16^2*Datos!$B$5)))*AC16*K16*Datos!$B$5/Datos!$B$6,0.0033*J16*K16))))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IF(OR(M16="REVISAR",P16="REVISAR"),"SECCION INSUF.",IF(NOT(AND(M16&lt;&gt;"REVISAR",P16&lt;&gt;"REVISAR",IF(ISNUMBER(M16),N16*PI()*(O16/10)^2/4&gt;=M16,TRUE),IF(ISNUMBER(P16),Q16*PI()*(R16/10)^2/4&gt;=P16,TRUE),IF(ISNUMBER(M16),M16&lt;=0.0163*AB16*K16,TRUE),IF(ISNUMBER(P16),P16&lt;=0.0163*AC16*K16,TRUE))),"NO VERIFICA FLEX.",IF(NOT(F16&lt;=Datos!$B$9*(0.53*SQRT(Datos!$B$5)*J16*K16+2*PI()*(U16/10)^2/4*Datos!$B$6*K16/V16)),"NO VERIF. CORTE",IF(NOT(L16&gt;=C16*100/VLOOKUP(Y16,Datos!$A$19:$E$23,5,0)),"VERIFICAR FLECHA","VERIFICA"))))</f>
        <v/>
      </c>
      <c r="X16" s="7" t="n"/>
      <c r="Y16" s="24" t="inlineStr">
        <is>
          <t>Continua</t>
        </is>
      </c>
      <c r="Z16" s="24" t="inlineStr">
        <is>
          <t>Colgante</t>
        </is>
      </c>
      <c r="AA16" s="24" t="n">
        <v>12</v>
      </c>
      <c r="AB16" s="7">
        <f>IF(Z16="Colgante",MIN(C16*100/4,J16+16*AA16),J16)</f>
        <v/>
      </c>
      <c r="AC16" s="7">
        <f>IF(Z16="Invertida",MIN(C16*100/4,J16+16*AA16),J16)</f>
        <v/>
      </c>
      <c r="AD16" s="24" t="n">
        <v>2</v>
      </c>
      <c r="AE16" s="24" t="n">
        <v>2.6</v>
      </c>
      <c r="AF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(Datos!$B$10*(VLOOKUP($A$4,Datos!$A$14:$E$15,2,0)*AD17+Datos!$B$7*J17*L17/10000+Datos!$B$16*AE17)+Datos!$B$11*VLOOKUP($A$4,Datos!$A$14:$E$15,3,0)*AD17)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L17-AF17</f>
        <v/>
      </c>
      <c r="L17" s="24" t="n">
        <v>70</v>
      </c>
      <c r="M17" s="25">
        <f>IF(NOT(ISNUMBER(H17)),"---",IF(H17&lt;=0,"---",IF(H17*100/(Datos!$B$8*AB17*K17^2*Datos!$B$5)&gt;=0.5,"REVISAR",MAX((1-SQRT(1-2*H17*100/(Datos!$B$8*AB17*K17^2*Datos!$B$5)))*AB17*K17*Datos!$B$5/Datos!$B$6,0.0033*J17*K17))))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IF(NOT(ISNUMBER(I17)),"---",IF(I17&lt;=0,"---",IF(I17*100/(Datos!$B$8*AC17*K17^2*Datos!$B$5)&gt;=0.5,"REVISAR",MAX((1-SQRT(1-2*I17*100/(Datos!$B$8*AC17*K17^2*Datos!$B$5)))*AC17*K17*Datos!$B$5/Datos!$B$6,0.0033*J17*K17))))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IF(OR(M17="REVISAR",P17="REVISAR"),"SECCION INSUF.",IF(NOT(AND(M17&lt;&gt;"REVISAR",P17&lt;&gt;"REVISAR",IF(ISNUMBER(M17),N17*PI()*(O17/10)^2/4&gt;=M17,TRUE),IF(ISNUMBER(P17),Q17*PI()*(R17/10)^2/4&gt;=P17,TRUE),IF(ISNUMBER(M17),M17&lt;=0.0163*AB17*K17,TRUE),IF(ISNUMBER(P17),P17&lt;=0.0163*AC17*K17,TRUE))),"NO VERIFICA FLEX.",IF(NOT(F17&lt;=Datos!$B$9*(0.53*SQRT(Datos!$B$5)*J17*K17+2*PI()*(U17/10)^2/4*Datos!$B$6*K17/V17)),"NO VERIF. CORTE",IF(NOT(L17&gt;=C17*100/VLOOKUP(Y17,Datos!$A$19:$E$23,5,0)),"VERIFICAR FLECHA","VERIFICA"))))</f>
        <v/>
      </c>
      <c r="X17" s="7" t="n"/>
      <c r="Y17" s="24" t="inlineStr">
        <is>
          <t>Continua</t>
        </is>
      </c>
      <c r="Z17" s="24" t="inlineStr">
        <is>
          <t>Colgante</t>
        </is>
      </c>
      <c r="AA17" s="24" t="n">
        <v>12</v>
      </c>
      <c r="AB17" s="7">
        <f>IF(Z17="Colgante",MIN(C17*100/4,J17+16*AA17),J17)</f>
        <v/>
      </c>
      <c r="AC17" s="7">
        <f>IF(Z17="Invertida",MIN(C17*100/4,J17+16*AA17),J17)</f>
        <v/>
      </c>
      <c r="AD17" s="24" t="n">
        <v>2</v>
      </c>
      <c r="AE17" s="24" t="n">
        <v>2.6</v>
      </c>
      <c r="AF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(Datos!$B$10*(VLOOKUP($A$4,Datos!$A$14:$E$15,2,0)*AD18+Datos!$B$7*J18*L18/10000+Datos!$B$16*AE18)+Datos!$B$11*VLOOKUP($A$4,Datos!$A$14:$E$15,3,0)*AD18)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L18-AF18</f>
        <v/>
      </c>
      <c r="L18" s="24" t="n">
        <v>70</v>
      </c>
      <c r="M18" s="25">
        <f>IF(NOT(ISNUMBER(H18)),"---",IF(H18&lt;=0,"---",IF(H18*100/(Datos!$B$8*AB18*K18^2*Datos!$B$5)&gt;=0.5,"REVISAR",MAX((1-SQRT(1-2*H18*100/(Datos!$B$8*AB18*K18^2*Datos!$B$5)))*AB18*K18*Datos!$B$5/Datos!$B$6,0.0033*J18*K18))))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IF(NOT(ISNUMBER(I18)),"---",IF(I18&lt;=0,"---",IF(I18*100/(Datos!$B$8*AC18*K18^2*Datos!$B$5)&gt;=0.5,"REVISAR",MAX((1-SQRT(1-2*I18*100/(Datos!$B$8*AC18*K18^2*Datos!$B$5)))*AC18*K18*Datos!$B$5/Datos!$B$6,0.0033*J18*K18))))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IF(OR(M18="REVISAR",P18="REVISAR"),"SECCION INSUF.",IF(NOT(AND(M18&lt;&gt;"REVISAR",P18&lt;&gt;"REVISAR",IF(ISNUMBER(M18),N18*PI()*(O18/10)^2/4&gt;=M18,TRUE),IF(ISNUMBER(P18),Q18*PI()*(R18/10)^2/4&gt;=P18,TRUE),IF(ISNUMBER(M18),M18&lt;=0.0163*AB18*K18,TRUE),IF(ISNUMBER(P18),P18&lt;=0.0163*AC18*K18,TRUE))),"NO VERIFICA FLEX.",IF(NOT(F18&lt;=Datos!$B$9*(0.53*SQRT(Datos!$B$5)*J18*K18+2*PI()*(U18/10)^2/4*Datos!$B$6*K18/V18)),"NO VERIF. CORTE",IF(NOT(L18&gt;=C18*100/VLOOKUP(Y18,Datos!$A$19:$E$23,5,0)),"VERIFICAR FLECHA","VERIFICA"))))</f>
        <v/>
      </c>
      <c r="X18" s="7" t="n"/>
      <c r="Y18" s="24" t="inlineStr">
        <is>
          <t>Continua</t>
        </is>
      </c>
      <c r="Z18" s="24" t="inlineStr">
        <is>
          <t>Colgante</t>
        </is>
      </c>
      <c r="AA18" s="24" t="n">
        <v>12</v>
      </c>
      <c r="AB18" s="7">
        <f>IF(Z18="Colgante",MIN(C18*100/4,J18+16*AA18),J18)</f>
        <v/>
      </c>
      <c r="AC18" s="7">
        <f>IF(Z18="Invertida",MIN(C18*100/4,J18+16*AA18),J18)</f>
        <v/>
      </c>
      <c r="AD18" s="24" t="n">
        <v>2</v>
      </c>
      <c r="AE18" s="24" t="n">
        <v>2.6</v>
      </c>
      <c r="AF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(Datos!$B$10*(VLOOKUP($A$4,Datos!$A$14:$E$15,2,0)*AD19+Datos!$B$7*J19*L19/10000+Datos!$B$16*AE19)+Datos!$B$11*VLOOKUP($A$4,Datos!$A$14:$E$15,3,0)*AD19)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L19-AF19</f>
        <v/>
      </c>
      <c r="L19" s="24" t="n">
        <v>70</v>
      </c>
      <c r="M19" s="25">
        <f>IF(NOT(ISNUMBER(H19)),"---",IF(H19&lt;=0,"---",IF(H19*100/(Datos!$B$8*AB19*K19^2*Datos!$B$5)&gt;=0.5,"REVISAR",MAX((1-SQRT(1-2*H19*100/(Datos!$B$8*AB19*K19^2*Datos!$B$5)))*AB19*K19*Datos!$B$5/Datos!$B$6,0.0033*J19*K19))))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IF(NOT(ISNUMBER(I19)),"---",IF(I19&lt;=0,"---",IF(I19*100/(Datos!$B$8*AC19*K19^2*Datos!$B$5)&gt;=0.5,"REVISAR",MAX((1-SQRT(1-2*I19*100/(Datos!$B$8*AC19*K19^2*Datos!$B$5)))*AC19*K19*Datos!$B$5/Datos!$B$6,0.0033*J19*K19))))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10</v>
      </c>
      <c r="W19" s="7">
        <f>IF(OR(M19="REVISAR",P19="REVISAR"),"SECCION INSUF.",IF(NOT(AND(M19&lt;&gt;"REVISAR",P19&lt;&gt;"REVISAR",IF(ISNUMBER(M19),N19*PI()*(O19/10)^2/4&gt;=M19,TRUE),IF(ISNUMBER(P19),Q19*PI()*(R19/10)^2/4&gt;=P19,TRUE),IF(ISNUMBER(M19),M19&lt;=0.0163*AB19*K19,TRUE),IF(ISNUMBER(P19),P19&lt;=0.0163*AC19*K19,TRUE))),"NO VERIFICA FLEX.",IF(NOT(F19&lt;=Datos!$B$9*(0.53*SQRT(Datos!$B$5)*J19*K19+2*PI()*(U19/10)^2/4*Datos!$B$6*K19/V19)),"NO VERIF. CORTE",IF(NOT(L19&gt;=C19*100/VLOOKUP(Y19,Datos!$A$19:$E$23,5,0)),"VERIFICAR FLECHA","VERIFICA"))))</f>
        <v/>
      </c>
      <c r="X19" s="26" t="inlineStr">
        <is>
          <t>El plano rotula 'VI 111'; se interpreta 11a por el orden a-b-c. Sin apoyo intermedio, empotrada en tabiques. Viga de borde INVERTIDA: sobresale 70 cm sobre el fondo de losa. Verificar torsion, no incluida en esta planilla.</t>
        </is>
      </c>
      <c r="Y19" s="24" t="inlineStr">
        <is>
          <t>Empotrada-apoyada</t>
        </is>
      </c>
      <c r="Z19" s="24" t="inlineStr">
        <is>
          <t>Invertida</t>
        </is>
      </c>
      <c r="AA19" s="24" t="n">
        <v>12</v>
      </c>
      <c r="AB19" s="7">
        <f>IF(Z19="Colgante",MIN(C19*100/4,J19+16*AA19),J19)</f>
        <v/>
      </c>
      <c r="AC19" s="7">
        <f>IF(Z19="Invertida",MIN(C19*100/4,J19+16*AA19),J19)</f>
        <v/>
      </c>
      <c r="AD19" s="24" t="n">
        <v>2</v>
      </c>
      <c r="AE19" s="24" t="n">
        <v>2.6</v>
      </c>
      <c r="AF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(Datos!$B$10*(VLOOKUP($A$4,Datos!$A$14:$E$15,2,0)*AD20+Datos!$B$7*J20*L20/10000+Datos!$B$16*AE20)+Datos!$B$11*VLOOKUP($A$4,Datos!$A$14:$E$15,3,0)*AD20)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L20-AF20</f>
        <v/>
      </c>
      <c r="L20" s="24" t="n">
        <v>70</v>
      </c>
      <c r="M20" s="25">
        <f>IF(NOT(ISNUMBER(H20)),"---",IF(H20&lt;=0,"---",IF(H20*100/(Datos!$B$8*AB20*K20^2*Datos!$B$5)&gt;=0.5,"REVISAR",MAX((1-SQRT(1-2*H20*100/(Datos!$B$8*AB20*K20^2*Datos!$B$5)))*AB20*K20*Datos!$B$5/Datos!$B$6,0.0033*J20*K20))))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IF(NOT(ISNUMBER(I20)),"---",IF(I20&lt;=0,"---",IF(I20*100/(Datos!$B$8*AC20*K20^2*Datos!$B$5)&gt;=0.5,"REVISAR",MAX((1-SQRT(1-2*I20*100/(Datos!$B$8*AC20*K20^2*Datos!$B$5)))*AC20*K20*Datos!$B$5/Datos!$B$6,0.0033*J20*K20))))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IF(OR(M20="REVISAR",P20="REVISAR"),"SECCION INSUF.",IF(NOT(AND(M20&lt;&gt;"REVISAR",P20&lt;&gt;"REVISAR",IF(ISNUMBER(M20),N20*PI()*(O20/10)^2/4&gt;=M20,TRUE),IF(ISNUMBER(P20),Q20*PI()*(R20/10)^2/4&gt;=P20,TRUE),IF(ISNUMBER(M20),M20&lt;=0.0163*AB20*K20,TRUE),IF(ISNUMBER(P20),P20&lt;=0.0163*AC20*K20,TRUE))),"NO VERIFICA FLEX.",IF(NOT(F20&lt;=Datos!$B$9*(0.53*SQRT(Datos!$B$5)*J20*K20+2*PI()*(U20/10)^2/4*Datos!$B$6*K20/V20)),"NO VERIF. CORTE",IF(NOT(L20&gt;=C20*100/VLOOKUP(Y20,Datos!$A$19:$E$23,5,0)),"VERIFICAR FLECHA","VERIFICA"))))</f>
        <v/>
      </c>
      <c r="X20" s="26" t="inlineStr">
        <is>
          <t>Viga de borde INVERTIDA: sobresale 70 cm sobre el fondo de losa. Verificar torsion, no incluida en esta planilla.</t>
        </is>
      </c>
      <c r="Y20" s="24" t="inlineStr">
        <is>
          <t>Continua</t>
        </is>
      </c>
      <c r="Z20" s="24" t="inlineStr">
        <is>
          <t>Invertida</t>
        </is>
      </c>
      <c r="AA20" s="24" t="n">
        <v>12</v>
      </c>
      <c r="AB20" s="7">
        <f>IF(Z20="Colgante",MIN(C20*100/4,J20+16*AA20),J20)</f>
        <v/>
      </c>
      <c r="AC20" s="7">
        <f>IF(Z20="Invertida",MIN(C20*100/4,J20+16*AA20),J20)</f>
        <v/>
      </c>
      <c r="AD20" s="24" t="n">
        <v>2</v>
      </c>
      <c r="AE20" s="24" t="n">
        <v>2.6</v>
      </c>
      <c r="AF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(Datos!$B$10*(VLOOKUP($A$4,Datos!$A$14:$E$15,2,0)*AD21+Datos!$B$7*J21*L21/10000+Datos!$B$16*AE21)+Datos!$B$11*VLOOKUP($A$4,Datos!$A$14:$E$15,3,0)*AD21)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L21-AF21</f>
        <v/>
      </c>
      <c r="L21" s="24" t="n">
        <v>70</v>
      </c>
      <c r="M21" s="25">
        <f>IF(NOT(ISNUMBER(H21)),"---",IF(H21&lt;=0,"---",IF(H21*100/(Datos!$B$8*AB21*K21^2*Datos!$B$5)&gt;=0.5,"REVISAR",MAX((1-SQRT(1-2*H21*100/(Datos!$B$8*AB21*K21^2*Datos!$B$5)))*AB21*K21*Datos!$B$5/Datos!$B$6,0.0033*J21*K21))))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IF(NOT(ISNUMBER(I21)),"---",IF(I21&lt;=0,"---",IF(I21*100/(Datos!$B$8*AC21*K21^2*Datos!$B$5)&gt;=0.5,"REVISAR",MAX((1-SQRT(1-2*I21*100/(Datos!$B$8*AC21*K21^2*Datos!$B$5)))*AC21*K21*Datos!$B$5/Datos!$B$6,0.0033*J21*K21))))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IF(OR(M21="REVISAR",P21="REVISAR"),"SECCION INSUF.",IF(NOT(AND(M21&lt;&gt;"REVISAR",P21&lt;&gt;"REVISAR",IF(ISNUMBER(M21),N21*PI()*(O21/10)^2/4&gt;=M21,TRUE),IF(ISNUMBER(P21),Q21*PI()*(R21/10)^2/4&gt;=P21,TRUE),IF(ISNUMBER(M21),M21&lt;=0.0163*AB21*K21,TRUE),IF(ISNUMBER(P21),P21&lt;=0.0163*AC21*K21,TRUE))),"NO VERIFICA FLEX.",IF(NOT(F21&lt;=Datos!$B$9*(0.53*SQRT(Datos!$B$5)*J21*K21+2*PI()*(U21/10)^2/4*Datos!$B$6*K21/V21)),"NO VERIF. CORTE",IF(NOT(L21&gt;=C21*100/VLOOKUP(Y21,Datos!$A$19:$E$23,5,0)),"VERIFICAR FLECHA","VERIFICA"))))</f>
        <v/>
      </c>
      <c r="X21" s="26" t="inlineStr">
        <is>
          <t>Viga de borde INVERTIDA: sobresale 70 cm sobre el fondo de losa. Verificar torsion, no incluida en esta planilla.</t>
        </is>
      </c>
      <c r="Y21" s="24" t="inlineStr">
        <is>
          <t>Continua</t>
        </is>
      </c>
      <c r="Z21" s="24" t="inlineStr">
        <is>
          <t>Invertida</t>
        </is>
      </c>
      <c r="AA21" s="24" t="n">
        <v>12</v>
      </c>
      <c r="AB21" s="7">
        <f>IF(Z21="Colgante",MIN(C21*100/4,J21+16*AA21),J21)</f>
        <v/>
      </c>
      <c r="AC21" s="7">
        <f>IF(Z21="Invertida",MIN(C21*100/4,J21+16*AA21),J21)</f>
        <v/>
      </c>
      <c r="AD21" s="24" t="n">
        <v>2</v>
      </c>
      <c r="AE21" s="24" t="n">
        <v>2.6</v>
      </c>
      <c r="AF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(Datos!$B$10*(VLOOKUP($A$4,Datos!$A$14:$E$15,2,0)*AD22+Datos!$B$7*J22*L22/10000+Datos!$B$16*AE22)+Datos!$B$11*VLOOKUP($A$4,Datos!$A$14:$E$15,3,0)*AD22)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L22-AF22</f>
        <v/>
      </c>
      <c r="L22" s="24" t="n">
        <v>13</v>
      </c>
      <c r="M22" s="25">
        <f>IF(NOT(ISNUMBER(H22)),"---",IF(H22&lt;=0,"---",IF(H22*100/(Datos!$B$8*AB22*K22^2*Datos!$B$5)&gt;=0.5,"REVISAR",MAX((1-SQRT(1-2*H22*100/(Datos!$B$8*AB22*K22^2*Datos!$B$5)))*AB22*K22*Datos!$B$5/Datos!$B$6,0.0033*J22*K22))))</f>
        <v/>
      </c>
      <c r="N22" s="24" t="n">
        <v>8</v>
      </c>
      <c r="O22" s="24" t="n">
        <v>12</v>
      </c>
      <c r="P22" s="25">
        <f>IF(NOT(ISNUMBER(I22)),"---",IF(I22&lt;=0,"---",IF(I22*100/(Datos!$B$8*AC22*K22^2*Datos!$B$5)&gt;=0.5,"REVISAR",MAX((1-SQRT(1-2*I22*100/(Datos!$B$8*AC22*K22^2*Datos!$B$5)))*AC22*K22*Datos!$B$5/Datos!$B$6,0.0033*J22*K22))))</f>
        <v/>
      </c>
      <c r="Q22" s="24" t="n">
        <v>5</v>
      </c>
      <c r="R22" s="24" t="n">
        <v>6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IF(OR(M22="REVISAR",P22="REVISAR"),"SECCION INSUF.",IF(NOT(AND(M22&lt;&gt;"REVISAR",P22&lt;&gt;"REVISAR",IF(ISNUMBER(M22),N22*PI()*(O22/10)^2/4&gt;=M22,TRUE),IF(ISNUMBER(P22),Q22*PI()*(R22/10)^2/4&gt;=P22,TRUE),IF(ISNUMBER(M22),M22&lt;=0.0163*AB22*K22,TRUE),IF(ISNUMBER(P22),P22&lt;=0.0163*AC22*K22,TRUE))),"NO VERIFICA FLEX.",IF(NOT(F22&lt;=Datos!$B$9*(0.53*SQRT(Datos!$B$5)*J22*K22+2*PI()*(U22/10)^2/4*Datos!$B$6*K22/V22)),"NO VERIF. CORTE",IF(NOT(L22&gt;=C22*100/VLOOKUP(Y22,Datos!$A$19:$E$23,5,0)),"VERIFICAR FLECHA","VERIFICA"))))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inlineStr">
        <is>
          <t>Colgante</t>
        </is>
      </c>
      <c r="AA22" s="24" t="n">
        <v>12</v>
      </c>
      <c r="AB22" s="7">
        <f>IF(Z22="Colgante",MIN(C22*100/4,J22+16*AA22),J22)</f>
        <v/>
      </c>
      <c r="AC22" s="7">
        <f>IF(Z22="Invertida",MIN(C22*100/4,J22+16*AA22),J22)</f>
        <v/>
      </c>
      <c r="AD22" s="24" t="n">
        <v>2.08</v>
      </c>
      <c r="AE22" s="24" t="n">
        <v>2.6</v>
      </c>
      <c r="AF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(Datos!$B$10*(VLOOKUP($A$4,Datos!$A$14:$E$15,2,0)*AD23+Datos!$B$7*J23*L23/10000+Datos!$B$16*AE23)+Datos!$B$11*VLOOKUP($A$4,Datos!$A$14:$E$15,3,0)*AD23)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L23-AF23</f>
        <v/>
      </c>
      <c r="L23" s="24" t="n">
        <v>13</v>
      </c>
      <c r="M23" s="25">
        <f>IF(NOT(ISNUMBER(H23)),"---",IF(H23&lt;=0,"---",IF(H23*100/(Datos!$B$8*AB23*K23^2*Datos!$B$5)&gt;=0.5,"REVISAR",MAX((1-SQRT(1-2*H23*100/(Datos!$B$8*AB23*K23^2*Datos!$B$5)))*AB23*K23*Datos!$B$5/Datos!$B$6,0.0033*J23*K23))))</f>
        <v/>
      </c>
      <c r="N23" s="24" t="n">
        <v>5</v>
      </c>
      <c r="O23" s="24" t="n">
        <v>6</v>
      </c>
      <c r="P23" s="25">
        <f>IF(NOT(ISNUMBER(I23)),"---",IF(I23&lt;=0,"---",IF(I23*100/(Datos!$B$8*AC23*K23^2*Datos!$B$5)&gt;=0.5,"REVISAR",MAX((1-SQRT(1-2*I23*100/(Datos!$B$8*AC23*K23^2*Datos!$B$5)))*AC23*K23*Datos!$B$5/Datos!$B$6,0.0033*J23*K23))))</f>
        <v/>
      </c>
      <c r="Q23" s="24" t="n">
        <v>7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IF(OR(M23="REVISAR",P23="REVISAR"),"SECCION INSUF.",IF(NOT(AND(M23&lt;&gt;"REVISAR",P23&lt;&gt;"REVISAR",IF(ISNUMBER(M23),N23*PI()*(O23/10)^2/4&gt;=M23,TRUE),IF(ISNUMBER(P23),Q23*PI()*(R23/10)^2/4&gt;=P23,TRUE),IF(ISNUMBER(M23),M23&lt;=0.0163*AB23*K23,TRUE),IF(ISNUMBER(P23),P23&lt;=0.0163*AC23*K23,TRUE))),"NO VERIFICA FLEX.",IF(NOT(F23&lt;=Datos!$B$9*(0.53*SQRT(Datos!$B$5)*J23*K23+2*PI()*(U23/10)^2/4*Datos!$B$6*K23/V23)),"NO VERIF. CORTE",IF(NOT(L23&gt;=C23*100/VLOOKUP(Y23,Datos!$A$19:$E$23,5,0)),"VERIFICAR FLECHA","VERIFICA"))))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inlineStr">
        <is>
          <t>Colgante</t>
        </is>
      </c>
      <c r="AA23" s="24" t="n">
        <v>12</v>
      </c>
      <c r="AB23" s="7">
        <f>IF(Z23="Colgante",MIN(C23*100/4,J23+16*AA23),J23)</f>
        <v/>
      </c>
      <c r="AC23" s="7">
        <f>IF(Z23="Invertida",MIN(C23*100/4,J23+16*AA23),J23)</f>
        <v/>
      </c>
      <c r="AD23" s="24" t="n">
        <v>0.6</v>
      </c>
      <c r="AE23" s="24" t="n">
        <v>2.6</v>
      </c>
      <c r="AF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(Datos!$B$10*(VLOOKUP($A$4,Datos!$A$14:$E$15,2,0)*AD24+Datos!$B$7*J24*L24/10000+Datos!$B$16*AE24)+Datos!$B$11*VLOOKUP($A$4,Datos!$A$14:$E$15,3,0)*AD24)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L24-AF24</f>
        <v/>
      </c>
      <c r="L24" s="33" t="n">
        <v>45</v>
      </c>
      <c r="M24" s="34">
        <f>IF(NOT(ISNUMBER(H24)),"---",IF(H24&lt;=0,"---",IF(H24*100/(Datos!$B$8*AB24*K24^2*Datos!$B$5)&gt;=0.5,"REVISAR",MAX((1-SQRT(1-2*H24*100/(Datos!$B$8*AB24*K24^2*Datos!$B$5)))*AB24*K24*Datos!$B$5/Datos!$B$6,0.0033*J24*K24))))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IF(NOT(ISNUMBER(I24)),"---",IF(I24&lt;=0,"---",IF(I24*100/(Datos!$B$8*AC24*K24^2*Datos!$B$5)&gt;=0.5,"REVISAR",MAX((1-SQRT(1-2*I24*100/(Datos!$B$8*AC24*K24^2*Datos!$B$5)))*AC24*K24*Datos!$B$5/Datos!$B$6,0.0033*J24*K24))))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IF(OR(M24="REVISAR",P24="REVISAR"),"SECCION INSUF.",IF(NOT(AND(M24&lt;&gt;"REVISAR",P24&lt;&gt;"REVISAR",IF(ISNUMBER(M24),N24*PI()*(O24/10)^2/4&gt;=M24,TRUE),IF(ISNUMBER(P24),Q24*PI()*(R24/10)^2/4&gt;=P24,TRUE),IF(ISNUMBER(M24),M24&lt;=0.0163*AB24*K24,TRUE),IF(ISNUMBER(P24),P24&lt;=0.0163*AC24*K24,TRUE))),"NO VERIFICA FLEX.",IF(NOT(F24&lt;=Datos!$B$9*(0.53*SQRT(Datos!$B$5)*J24*K24+2*PI()*(U24/10)^2/4*Datos!$B$6*K24/V24)),"NO VERIF. CORTE",IF(NOT(L24&gt;=C24*100/VLOOKUP(Y24,Datos!$A$19:$E$23,5,0)),"VERIFICAR FLECHA","VERIFICA"))))</f>
        <v/>
      </c>
      <c r="X24" s="32" t="n"/>
      <c r="Y24" s="33" t="inlineStr">
        <is>
          <t>Simplemente apoyada</t>
        </is>
      </c>
      <c r="Z24" s="33" t="inlineStr">
        <is>
          <t>Colgante</t>
        </is>
      </c>
      <c r="AA24" s="33" t="n">
        <v>12</v>
      </c>
      <c r="AB24" s="32">
        <f>IF(Z24="Colgante",MIN(C24*100/4,J24+16*AA24),J24)</f>
        <v/>
      </c>
      <c r="AC24" s="32">
        <f>IF(Z24="Invertida",MIN(C24*100/4,J24+16*AA24),J24)</f>
        <v/>
      </c>
      <c r="AD24" s="33" t="n">
        <v>0.6</v>
      </c>
      <c r="AE24" s="33" t="n">
        <v>2.6</v>
      </c>
      <c r="AF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(Datos!$B$10*(VLOOKUP($A$25,Datos!$A$14:$E$15,2,0)*AD25+Datos!$B$7*J25*L25/10000+Datos!$B$16*AE25)+Datos!$B$11*VLOOKUP($A$25,Datos!$A$14:$E$15,3,0)*AD25)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L25-AF25</f>
        <v/>
      </c>
      <c r="L25" s="24" t="n">
        <v>70</v>
      </c>
      <c r="M25" s="25">
        <f>IF(NOT(ISNUMBER(H25)),"---",IF(H25&lt;=0,"---",IF(H25*100/(Datos!$B$8*AB25*K25^2*Datos!$B$5)&gt;=0.5,"REVISAR",MAX((1-SQRT(1-2*H25*100/(Datos!$B$8*AB25*K25^2*Datos!$B$5)))*AB25*K25*Datos!$B$5/Datos!$B$6,0.0033*J25*K25))))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IF(NOT(ISNUMBER(I25)),"---",IF(I25&lt;=0,"---",IF(I25*100/(Datos!$B$8*AC25*K25^2*Datos!$B$5)&gt;=0.5,"REVISAR",MAX((1-SQRT(1-2*I25*100/(Datos!$B$8*AC25*K25^2*Datos!$B$5)))*AC25*K25*Datos!$B$5/Datos!$B$6,0.0033*J25*K25))))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IF(OR(M25="REVISAR",P25="REVISAR"),"SECCION INSUF.",IF(NOT(AND(M25&lt;&gt;"REVISAR",P25&lt;&gt;"REVISAR",IF(ISNUMBER(M25),N25*PI()*(O25/10)^2/4&gt;=M25,TRUE),IF(ISNUMBER(P25),Q25*PI()*(R25/10)^2/4&gt;=P25,TRUE),IF(ISNUMBER(M25),M25&lt;=0.0163*AB25*K25,TRUE),IF(ISNUMBER(P25),P25&lt;=0.0163*AC25*K25,TRUE))),"NO VERIFICA FLEX.",IF(NOT(F25&lt;=Datos!$B$9*(0.53*SQRT(Datos!$B$5)*J25*K25+2*PI()*(U25/10)^2/4*Datos!$B$6*K25/V25)),"NO VERIF. CORTE",IF(NOT(L25&gt;=C25*100/VLOOKUP(Y25,Datos!$A$19:$E$23,5,0)),"VERIFICAR FLECHA","VERIFICA"))))</f>
        <v/>
      </c>
      <c r="X25" s="7" t="n"/>
      <c r="Y25" s="24" t="inlineStr">
        <is>
          <t>Continua</t>
        </is>
      </c>
      <c r="Z25" s="24" t="inlineStr">
        <is>
          <t>Colgante</t>
        </is>
      </c>
      <c r="AA25" s="24" t="n">
        <v>12</v>
      </c>
      <c r="AB25" s="7">
        <f>IF(Z25="Colgante",MIN(C25*100/4,J25+16*AA25),J25)</f>
        <v/>
      </c>
      <c r="AC25" s="7">
        <f>IF(Z25="Invertida",MIN(C25*100/4,J25+16*AA25),J25)</f>
        <v/>
      </c>
      <c r="AD25" s="24" t="n">
        <v>2</v>
      </c>
      <c r="AE25" s="24" t="n">
        <v>1</v>
      </c>
      <c r="AF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(Datos!$B$10*(VLOOKUP($A$25,Datos!$A$14:$E$15,2,0)*AD26+Datos!$B$7*J26*L26/10000+Datos!$B$16*AE26)+Datos!$B$11*VLOOKUP($A$25,Datos!$A$14:$E$15,3,0)*AD26)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L26-AF26</f>
        <v/>
      </c>
      <c r="L26" s="24" t="n">
        <v>50</v>
      </c>
      <c r="M26" s="25">
        <f>IF(NOT(ISNUMBER(H26)),"---",IF(H26&lt;=0,"---",IF(H26*100/(Datos!$B$8*AB26*K26^2*Datos!$B$5)&gt;=0.5,"REVISAR",MAX((1-SQRT(1-2*H26*100/(Datos!$B$8*AB26*K26^2*Datos!$B$5)))*AB26*K26*Datos!$B$5/Datos!$B$6,0.0033*J26*K26))))</f>
        <v/>
      </c>
      <c r="N26" s="24" t="n">
        <v>3</v>
      </c>
      <c r="O26" s="24" t="n">
        <v>12</v>
      </c>
      <c r="P26" s="25">
        <f>IF(NOT(ISNUMBER(I26)),"---",IF(I26&lt;=0,"---",IF(I26*100/(Datos!$B$8*AC26*K26^2*Datos!$B$5)&gt;=0.5,"REVISAR",MAX((1-SQRT(1-2*I26*100/(Datos!$B$8*AC26*K26^2*Datos!$B$5)))*AC26*K26*Datos!$B$5/Datos!$B$6,0.0033*J26*K26))))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20</v>
      </c>
      <c r="W26" s="7">
        <f>IF(OR(M26="REVISAR",P26="REVISAR"),"SECCION INSUF.",IF(NOT(AND(M26&lt;&gt;"REVISAR",P26&lt;&gt;"REVISAR",IF(ISNUMBER(M26),N26*PI()*(O26/10)^2/4&gt;=M26,TRUE),IF(ISNUMBER(P26),Q26*PI()*(R26/10)^2/4&gt;=P26,TRUE),IF(ISNUMBER(M26),M26&lt;=0.0163*AB26*K26,TRUE),IF(ISNUMBER(P26),P26&lt;=0.0163*AC26*K26,TRUE))),"NO VERIFICA FLEX.",IF(NOT(F26&lt;=Datos!$B$9*(0.53*SQRT(Datos!$B$5)*J26*K26+2*PI()*(U26/10)^2/4*Datos!$B$6*K26/V26)),"NO VERIF. CORTE",IF(NOT(L26&gt;=C26*100/VLOOKUP(Y26,Datos!$A$19:$E$23,5,0)),"VERIFICAR FLECHA","VERIFICA"))))</f>
        <v/>
      </c>
      <c r="X26" s="7" t="n"/>
      <c r="Y26" s="24" t="inlineStr">
        <is>
          <t>Continua</t>
        </is>
      </c>
      <c r="Z26" s="24" t="inlineStr">
        <is>
          <t>Colgante</t>
        </is>
      </c>
      <c r="AA26" s="24" t="n">
        <v>12</v>
      </c>
      <c r="AB26" s="7">
        <f>IF(Z26="Colgante",MIN(C26*100/4,J26+16*AA26),J26)</f>
        <v/>
      </c>
      <c r="AC26" s="7">
        <f>IF(Z26="Invertida",MIN(C26*100/4,J26+16*AA26),J26)</f>
        <v/>
      </c>
      <c r="AD26" s="24" t="n">
        <v>2</v>
      </c>
      <c r="AE26" s="24" t="n">
        <v>1</v>
      </c>
      <c r="AF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(Datos!$B$10*(VLOOKUP($A$25,Datos!$A$14:$E$15,2,0)*AD27+Datos!$B$7*J27*L27/10000+Datos!$B$16*AE27)+Datos!$B$11*VLOOKUP($A$25,Datos!$A$14:$E$15,3,0)*AD27)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L27-AF27</f>
        <v/>
      </c>
      <c r="L27" s="24" t="n">
        <v>50</v>
      </c>
      <c r="M27" s="25">
        <f>IF(NOT(ISNUMBER(H27)),"---",IF(H27&lt;=0,"---",IF(H27*100/(Datos!$B$8*AB27*K27^2*Datos!$B$5)&gt;=0.5,"REVISAR",MAX((1-SQRT(1-2*H27*100/(Datos!$B$8*AB27*K27^2*Datos!$B$5)))*AB27*K27*Datos!$B$5/Datos!$B$6,0.0033*J27*K27))))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IF(NOT(ISNUMBER(I27)),"---",IF(I27&lt;=0,"---",IF(I27*100/(Datos!$B$8*AC27*K27^2*Datos!$B$5)&gt;=0.5,"REVISAR",MAX((1-SQRT(1-2*I27*100/(Datos!$B$8*AC27*K27^2*Datos!$B$5)))*AC27*K27*Datos!$B$5/Datos!$B$6,0.0033*J27*K27))))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IF(OR(M27="REVISAR",P27="REVISAR"),"SECCION INSUF.",IF(NOT(AND(M27&lt;&gt;"REVISAR",P27&lt;&gt;"REVISAR",IF(ISNUMBER(M27),N27*PI()*(O27/10)^2/4&gt;=M27,TRUE),IF(ISNUMBER(P27),Q27*PI()*(R27/10)^2/4&gt;=P27,TRUE),IF(ISNUMBER(M27),M27&lt;=0.0163*AB27*K27,TRUE),IF(ISNUMBER(P27),P27&lt;=0.0163*AC27*K27,TRUE))),"NO VERIFICA FLEX.",IF(NOT(F27&lt;=Datos!$B$9*(0.53*SQRT(Datos!$B$5)*J27*K27+2*PI()*(U27/10)^2/4*Datos!$B$6*K27/V27)),"NO VERIF. CORTE",IF(NOT(L27&gt;=C27*100/VLOOKUP(Y27,Datos!$A$19:$E$23,5,0)),"VERIFICAR FLECHA","VERIFICA"))))</f>
        <v/>
      </c>
      <c r="X27" s="7" t="n"/>
      <c r="Y27" s="24" t="inlineStr">
        <is>
          <t>Continua</t>
        </is>
      </c>
      <c r="Z27" s="24" t="inlineStr">
        <is>
          <t>Colgante</t>
        </is>
      </c>
      <c r="AA27" s="24" t="n">
        <v>12</v>
      </c>
      <c r="AB27" s="7">
        <f>IF(Z27="Colgante",MIN(C27*100/4,J27+16*AA27),J27)</f>
        <v/>
      </c>
      <c r="AC27" s="7">
        <f>IF(Z27="Invertida",MIN(C27*100/4,J27+16*AA27),J27)</f>
        <v/>
      </c>
      <c r="AD27" s="24" t="n">
        <v>2</v>
      </c>
      <c r="AE27" s="24" t="n">
        <v>1</v>
      </c>
      <c r="AF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(Datos!$B$10*(VLOOKUP($A$25,Datos!$A$14:$E$15,2,0)*AD28+Datos!$B$7*J28*L28/10000+Datos!$B$16*AE28)+Datos!$B$11*VLOOKUP($A$25,Datos!$A$14:$E$15,3,0)*AD28)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L28-AF28</f>
        <v/>
      </c>
      <c r="L28" s="24" t="n">
        <v>70</v>
      </c>
      <c r="M28" s="25">
        <f>IF(NOT(ISNUMBER(H28)),"---",IF(H28&lt;=0,"---",IF(H28*100/(Datos!$B$8*AB28*K28^2*Datos!$B$5)&gt;=0.5,"REVISAR",MAX((1-SQRT(1-2*H28*100/(Datos!$B$8*AB28*K28^2*Datos!$B$5)))*AB28*K28*Datos!$B$5/Datos!$B$6,0.0033*J28*K28))))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IF(NOT(ISNUMBER(I28)),"---",IF(I28&lt;=0,"---",IF(I28*100/(Datos!$B$8*AC28*K28^2*Datos!$B$5)&gt;=0.5,"REVISAR",MAX((1-SQRT(1-2*I28*100/(Datos!$B$8*AC28*K28^2*Datos!$B$5)))*AC28*K28*Datos!$B$5/Datos!$B$6,0.0033*J28*K28))))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IF(OR(M28="REVISAR",P28="REVISAR"),"SECCION INSUF.",IF(NOT(AND(M28&lt;&gt;"REVISAR",P28&lt;&gt;"REVISAR",IF(ISNUMBER(M28),N28*PI()*(O28/10)^2/4&gt;=M28,TRUE),IF(ISNUMBER(P28),Q28*PI()*(R28/10)^2/4&gt;=P28,TRUE),IF(ISNUMBER(M28),M28&lt;=0.0163*AB28*K28,TRUE),IF(ISNUMBER(P28),P28&lt;=0.0163*AC28*K28,TRUE))),"NO VERIFICA FLEX.",IF(NOT(F28&lt;=Datos!$B$9*(0.53*SQRT(Datos!$B$5)*J28*K28+2*PI()*(U28/10)^2/4*Datos!$B$6*K28/V28)),"NO VERIF. CORTE",IF(NOT(L28&gt;=C28*100/VLOOKUP(Y28,Datos!$A$19:$E$23,5,0)),"VERIFICAR FLECHA","VERIFICA"))))</f>
        <v/>
      </c>
      <c r="X28" s="7" t="n"/>
      <c r="Y28" s="24" t="inlineStr">
        <is>
          <t>Continua</t>
        </is>
      </c>
      <c r="Z28" s="24" t="inlineStr">
        <is>
          <t>Colgante</t>
        </is>
      </c>
      <c r="AA28" s="24" t="n">
        <v>12</v>
      </c>
      <c r="AB28" s="7">
        <f>IF(Z28="Colgante",MIN(C28*100/4,J28+16*AA28),J28)</f>
        <v/>
      </c>
      <c r="AC28" s="7">
        <f>IF(Z28="Invertida",MIN(C28*100/4,J28+16*AA28),J28)</f>
        <v/>
      </c>
      <c r="AD28" s="24" t="n">
        <v>2</v>
      </c>
      <c r="AE28" s="24" t="n">
        <v>1</v>
      </c>
      <c r="AF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(Datos!$B$10*(VLOOKUP($A$25,Datos!$A$14:$E$15,2,0)*AD29+Datos!$B$7*J29*L29/10000+Datos!$B$16*AE29)+Datos!$B$11*VLOOKUP($A$25,Datos!$A$14:$E$15,3,0)*AD29)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L29-AF29</f>
        <v/>
      </c>
      <c r="L29" s="24" t="n">
        <v>70</v>
      </c>
      <c r="M29" s="25">
        <f>IF(NOT(ISNUMBER(H29)),"---",IF(H29&lt;=0,"---",IF(H29*100/(Datos!$B$8*AB29*K29^2*Datos!$B$5)&gt;=0.5,"REVISAR",MAX((1-SQRT(1-2*H29*100/(Datos!$B$8*AB29*K29^2*Datos!$B$5)))*AB29*K29*Datos!$B$5/Datos!$B$6,0.0033*J29*K29))))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IF(NOT(ISNUMBER(I29)),"---",IF(I29&lt;=0,"---",IF(I29*100/(Datos!$B$8*AC29*K29^2*Datos!$B$5)&gt;=0.5,"REVISAR",MAX((1-SQRT(1-2*I29*100/(Datos!$B$8*AC29*K29^2*Datos!$B$5)))*AC29*K29*Datos!$B$5/Datos!$B$6,0.0033*J29*K29))))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IF(OR(M29="REVISAR",P29="REVISAR"),"SECCION INSUF.",IF(NOT(AND(M29&lt;&gt;"REVISAR",P29&lt;&gt;"REVISAR",IF(ISNUMBER(M29),N29*PI()*(O29/10)^2/4&gt;=M29,TRUE),IF(ISNUMBER(P29),Q29*PI()*(R29/10)^2/4&gt;=P29,TRUE),IF(ISNUMBER(M29),M29&lt;=0.0163*AB29*K29,TRUE),IF(ISNUMBER(P29),P29&lt;=0.0163*AC29*K29,TRUE))),"NO VERIFICA FLEX.",IF(NOT(F29&lt;=Datos!$B$9*(0.53*SQRT(Datos!$B$5)*J29*K29+2*PI()*(U29/10)^2/4*Datos!$B$6*K29/V29)),"NO VERIF. CORTE",IF(NOT(L29&gt;=C29*100/VLOOKUP(Y29,Datos!$A$19:$E$23,5,0)),"VERIFICAR FLECHA","VERIFICA"))))</f>
        <v/>
      </c>
      <c r="X29" s="26" t="inlineStr">
        <is>
          <t>Viga de borde INVERTIDA: sobresale 70 cm sobre el fondo de losa. Verificar torsion, no incluida en esta planilla.</t>
        </is>
      </c>
      <c r="Y29" s="24" t="inlineStr">
        <is>
          <t>Continua</t>
        </is>
      </c>
      <c r="Z29" s="24" t="inlineStr">
        <is>
          <t>Invertida</t>
        </is>
      </c>
      <c r="AA29" s="24" t="n">
        <v>12</v>
      </c>
      <c r="AB29" s="7">
        <f>IF(Z29="Colgante",MIN(C29*100/4,J29+16*AA29),J29)</f>
        <v/>
      </c>
      <c r="AC29" s="7">
        <f>IF(Z29="Invertida",MIN(C29*100/4,J29+16*AA29),J29)</f>
        <v/>
      </c>
      <c r="AD29" s="24" t="n">
        <v>2</v>
      </c>
      <c r="AE29" s="24" t="n">
        <v>1</v>
      </c>
      <c r="AF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(Datos!$B$10*(VLOOKUP($A$25,Datos!$A$14:$E$15,2,0)*AD30+Datos!$B$7*J30*L30/10000+Datos!$B$16*AE30)+Datos!$B$11*VLOOKUP($A$25,Datos!$A$14:$E$15,3,0)*AD30)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L30-AF30</f>
        <v/>
      </c>
      <c r="L30" s="24" t="n">
        <v>70</v>
      </c>
      <c r="M30" s="25">
        <f>IF(NOT(ISNUMBER(H30)),"---",IF(H30&lt;=0,"---",IF(H30*100/(Datos!$B$8*AB30*K30^2*Datos!$B$5)&gt;=0.5,"REVISAR",MAX((1-SQRT(1-2*H30*100/(Datos!$B$8*AB30*K30^2*Datos!$B$5)))*AB30*K30*Datos!$B$5/Datos!$B$6,0.0033*J30*K30))))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IF(NOT(ISNUMBER(I30)),"---",IF(I30&lt;=0,"---",IF(I30*100/(Datos!$B$8*AC30*K30^2*Datos!$B$5)&gt;=0.5,"REVISAR",MAX((1-SQRT(1-2*I30*100/(Datos!$B$8*AC30*K30^2*Datos!$B$5)))*AC30*K30*Datos!$B$5/Datos!$B$6,0.0033*J30*K30))))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IF(OR(M30="REVISAR",P30="REVISAR"),"SECCION INSUF.",IF(NOT(AND(M30&lt;&gt;"REVISAR",P30&lt;&gt;"REVISAR",IF(ISNUMBER(M30),N30*PI()*(O30/10)^2/4&gt;=M30,TRUE),IF(ISNUMBER(P30),Q30*PI()*(R30/10)^2/4&gt;=P30,TRUE),IF(ISNUMBER(M30),M30&lt;=0.0163*AB30*K30,TRUE),IF(ISNUMBER(P30),P30&lt;=0.0163*AC30*K30,TRUE))),"NO VERIFICA FLEX.",IF(NOT(F30&lt;=Datos!$B$9*(0.53*SQRT(Datos!$B$5)*J30*K30+2*PI()*(U30/10)^2/4*Datos!$B$6*K30/V30)),"NO VERIF. CORTE",IF(NOT(L30&gt;=C30*100/VLOOKUP(Y30,Datos!$A$19:$E$23,5,0)),"VERIFICAR FLECHA","VERIFICA"))))</f>
        <v/>
      </c>
      <c r="X30" s="26" t="inlineStr">
        <is>
          <t>Viga de borde INVERTIDA: sobresale 70 cm sobre el fondo de losa. Verificar torsion, no incluida en esta planilla.</t>
        </is>
      </c>
      <c r="Y30" s="24" t="inlineStr">
        <is>
          <t>Continua</t>
        </is>
      </c>
      <c r="Z30" s="24" t="inlineStr">
        <is>
          <t>Invertida</t>
        </is>
      </c>
      <c r="AA30" s="24" t="n">
        <v>12</v>
      </c>
      <c r="AB30" s="7">
        <f>IF(Z30="Colgante",MIN(C30*100/4,J30+16*AA30),J30)</f>
        <v/>
      </c>
      <c r="AC30" s="7">
        <f>IF(Z30="Invertida",MIN(C30*100/4,J30+16*AA30),J30)</f>
        <v/>
      </c>
      <c r="AD30" s="24" t="n">
        <v>2</v>
      </c>
      <c r="AE30" s="24" t="n">
        <v>1</v>
      </c>
      <c r="AF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(Datos!$B$10*(VLOOKUP($A$25,Datos!$A$14:$E$15,2,0)*AD31+Datos!$B$7*J31*L31/10000+Datos!$B$16*AE31)+Datos!$B$11*VLOOKUP($A$25,Datos!$A$14:$E$15,3,0)*AD31)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L31-AF31</f>
        <v/>
      </c>
      <c r="L31" s="24" t="n">
        <v>70</v>
      </c>
      <c r="M31" s="25">
        <f>IF(NOT(ISNUMBER(H31)),"---",IF(H31&lt;=0,"---",IF(H31*100/(Datos!$B$8*AB31*K31^2*Datos!$B$5)&gt;=0.5,"REVISAR",MAX((1-SQRT(1-2*H31*100/(Datos!$B$8*AB31*K31^2*Datos!$B$5)))*AB31*K31*Datos!$B$5/Datos!$B$6,0.0033*J31*K31))))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IF(NOT(ISNUMBER(I31)),"---",IF(I31&lt;=0,"---",IF(I31*100/(Datos!$B$8*AC31*K31^2*Datos!$B$5)&gt;=0.5,"REVISAR",MAX((1-SQRT(1-2*I31*100/(Datos!$B$8*AC31*K31^2*Datos!$B$5)))*AC31*K31*Datos!$B$5/Datos!$B$6,0.0033*J31*K31))))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IF(OR(M31="REVISAR",P31="REVISAR"),"SECCION INSUF.",IF(NOT(AND(M31&lt;&gt;"REVISAR",P31&lt;&gt;"REVISAR",IF(ISNUMBER(M31),N31*PI()*(O31/10)^2/4&gt;=M31,TRUE),IF(ISNUMBER(P31),Q31*PI()*(R31/10)^2/4&gt;=P31,TRUE),IF(ISNUMBER(M31),M31&lt;=0.0163*AB31*K31,TRUE),IF(ISNUMBER(P31),P31&lt;=0.0163*AC31*K31,TRUE))),"NO VERIFICA FLEX.",IF(NOT(F31&lt;=Datos!$B$9*(0.53*SQRT(Datos!$B$5)*J31*K31+2*PI()*(U31/10)^2/4*Datos!$B$6*K31/V31)),"NO VERIF. CORTE",IF(NOT(L31&gt;=C31*100/VLOOKUP(Y31,Datos!$A$19:$E$23,5,0)),"VERIFICAR FLECHA","VERIFICA"))))</f>
        <v/>
      </c>
      <c r="X31" s="7" t="n"/>
      <c r="Y31" s="24" t="inlineStr">
        <is>
          <t>Continua</t>
        </is>
      </c>
      <c r="Z31" s="24" t="inlineStr">
        <is>
          <t>Colgante</t>
        </is>
      </c>
      <c r="AA31" s="24" t="n">
        <v>12</v>
      </c>
      <c r="AB31" s="7">
        <f>IF(Z31="Colgante",MIN(C31*100/4,J31+16*AA31),J31)</f>
        <v/>
      </c>
      <c r="AC31" s="7">
        <f>IF(Z31="Invertida",MIN(C31*100/4,J31+16*AA31),J31)</f>
        <v/>
      </c>
      <c r="AD31" s="24" t="n">
        <v>2</v>
      </c>
      <c r="AE31" s="24" t="n">
        <v>1</v>
      </c>
      <c r="AF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(Datos!$B$10*(VLOOKUP($A$25,Datos!$A$14:$E$15,2,0)*AD32+Datos!$B$7*J32*L32/10000+Datos!$B$16*AE32)+Datos!$B$11*VLOOKUP($A$25,Datos!$A$14:$E$15,3,0)*AD32)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L32-AF32</f>
        <v/>
      </c>
      <c r="L32" s="24" t="n">
        <v>70</v>
      </c>
      <c r="M32" s="25">
        <f>IF(NOT(ISNUMBER(H32)),"---",IF(H32&lt;=0,"---",IF(H32*100/(Datos!$B$8*AB32*K32^2*Datos!$B$5)&gt;=0.5,"REVISAR",MAX((1-SQRT(1-2*H32*100/(Datos!$B$8*AB32*K32^2*Datos!$B$5)))*AB32*K32*Datos!$B$5/Datos!$B$6,0.0033*J32*K32))))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IF(NOT(ISNUMBER(I32)),"---",IF(I32&lt;=0,"---",IF(I32*100/(Datos!$B$8*AC32*K32^2*Datos!$B$5)&gt;=0.5,"REVISAR",MAX((1-SQRT(1-2*I32*100/(Datos!$B$8*AC32*K32^2*Datos!$B$5)))*AC32*K32*Datos!$B$5/Datos!$B$6,0.0033*J32*K32))))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IF(OR(M32="REVISAR",P32="REVISAR"),"SECCION INSUF.",IF(NOT(AND(M32&lt;&gt;"REVISAR",P32&lt;&gt;"REVISAR",IF(ISNUMBER(M32),N32*PI()*(O32/10)^2/4&gt;=M32,TRUE),IF(ISNUMBER(P32),Q32*PI()*(R32/10)^2/4&gt;=P32,TRUE),IF(ISNUMBER(M32),M32&lt;=0.0163*AB32*K32,TRUE),IF(ISNUMBER(P32),P32&lt;=0.0163*AC32*K32,TRUE))),"NO VERIFICA FLEX.",IF(NOT(F32&lt;=Datos!$B$9*(0.53*SQRT(Datos!$B$5)*J32*K32+2*PI()*(U32/10)^2/4*Datos!$B$6*K32/V32)),"NO VERIF. CORTE",IF(NOT(L32&gt;=C32*100/VLOOKUP(Y32,Datos!$A$19:$E$23,5,0)),"VERIFICAR FLECHA","VERIFICA"))))</f>
        <v/>
      </c>
      <c r="X32" s="7" t="n"/>
      <c r="Y32" s="24" t="inlineStr">
        <is>
          <t>Continua</t>
        </is>
      </c>
      <c r="Z32" s="24" t="inlineStr">
        <is>
          <t>Colgante</t>
        </is>
      </c>
      <c r="AA32" s="24" t="n">
        <v>12</v>
      </c>
      <c r="AB32" s="7">
        <f>IF(Z32="Colgante",MIN(C32*100/4,J32+16*AA32),J32)</f>
        <v/>
      </c>
      <c r="AC32" s="7">
        <f>IF(Z32="Invertida",MIN(C32*100/4,J32+16*AA32),J32)</f>
        <v/>
      </c>
      <c r="AD32" s="24" t="n">
        <v>2</v>
      </c>
      <c r="AE32" s="24" t="n">
        <v>1</v>
      </c>
      <c r="AF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(Datos!$B$10*(VLOOKUP($A$25,Datos!$A$14:$E$15,2,0)*AD33+Datos!$B$7*J33*L33/10000+Datos!$B$16*AE33)+Datos!$B$11*VLOOKUP($A$25,Datos!$A$14:$E$15,3,0)*AD33)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L33-AF33</f>
        <v/>
      </c>
      <c r="L33" s="33" t="n">
        <v>70</v>
      </c>
      <c r="M33" s="34">
        <f>IF(NOT(ISNUMBER(H33)),"---",IF(H33&lt;=0,"---",IF(H33*100/(Datos!$B$8*AB33*K33^2*Datos!$B$5)&gt;=0.5,"REVISAR",MAX((1-SQRT(1-2*H33*100/(Datos!$B$8*AB33*K33^2*Datos!$B$5)))*AB33*K33*Datos!$B$5/Datos!$B$6,0.0033*J33*K33))))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IF(NOT(ISNUMBER(I33)),"---",IF(I33&lt;=0,"---",IF(I33*100/(Datos!$B$8*AC33*K33^2*Datos!$B$5)&gt;=0.5,"REVISAR",MAX((1-SQRT(1-2*I33*100/(Datos!$B$8*AC33*K33^2*Datos!$B$5)))*AC33*K33*Datos!$B$5/Datos!$B$6,0.0033*J33*K33))))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IF(OR(M33="REVISAR",P33="REVISAR"),"SECCION INSUF.",IF(NOT(AND(M33&lt;&gt;"REVISAR",P33&lt;&gt;"REVISAR",IF(ISNUMBER(M33),N33*PI()*(O33/10)^2/4&gt;=M33,TRUE),IF(ISNUMBER(P33),Q33*PI()*(R33/10)^2/4&gt;=P33,TRUE),IF(ISNUMBER(M33),M33&lt;=0.0163*AB33*K33,TRUE),IF(ISNUMBER(P33),P33&lt;=0.0163*AC33*K33,TRUE))),"NO VERIFICA FLEX.",IF(NOT(F33&lt;=Datos!$B$9*(0.53*SQRT(Datos!$B$5)*J33*K33+2*PI()*(U33/10)^2/4*Datos!$B$6*K33/V33)),"NO VERIF. CORTE",IF(NOT(L33&gt;=C33*100/VLOOKUP(Y33,Datos!$A$19:$E$23,5,0)),"VERIFICAR FLECHA","VERIFICA"))))</f>
        <v/>
      </c>
      <c r="X33" s="32" t="n"/>
      <c r="Y33" s="33" t="inlineStr">
        <is>
          <t>Simplemente apoyada</t>
        </is>
      </c>
      <c r="Z33" s="33" t="inlineStr">
        <is>
          <t>Colgante</t>
        </is>
      </c>
      <c r="AA33" s="33" t="n">
        <v>12</v>
      </c>
      <c r="AB33" s="32">
        <f>IF(Z33="Colgante",MIN(C33*100/4,J33+16*AA33),J33)</f>
        <v/>
      </c>
      <c r="AC33" s="32">
        <f>IF(Z33="Invertida",MIN(C33*100/4,J33+16*AA33),J33)</f>
        <v/>
      </c>
      <c r="AD33" s="33" t="n">
        <v>2</v>
      </c>
      <c r="AE33" s="33" t="n">
        <v>1</v>
      </c>
      <c r="AF33" s="33" t="n">
        <v>3</v>
      </c>
    </row>
  </sheetData>
  <mergeCells count="18">
    <mergeCell ref="F2:G2"/>
    <mergeCell ref="A4:A24"/>
    <mergeCell ref="J2:L2"/>
    <mergeCell ref="D2:E2"/>
    <mergeCell ref="A25:A33"/>
    <mergeCell ref="A1:AF1"/>
    <mergeCell ref="P2:R2"/>
    <mergeCell ref="S2:U2"/>
    <mergeCell ref="I2:I3"/>
    <mergeCell ref="V2"/>
    <mergeCell ref="B2:B3"/>
    <mergeCell ref="A2:A3"/>
    <mergeCell ref="Y2:AF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3">
    <dataValidation sqref="Y4:Y33" showDropDown="0" showInputMessage="0" showErrorMessage="0" allowBlank="1" type="list">
      <formula1>=Datos!$A$19:$A$23</formula1>
    </dataValidation>
    <dataValidation sqref="Z4:Z33" showDropDown="0" showInputMessage="0" showErrorMessage="0" allowBlank="1" type="list">
      <formula1>"Invertida,Colgante"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VIGAS INVERTIDAS</t>
        </is>
      </c>
      <c r="B34" s="36" t="inlineStr">
        <is>
          <t>Las vigas de BORDE son invertidas: sobresalen 70 cm por encima del fondo de</t>
        </is>
      </c>
    </row>
    <row r="35">
      <c r="A35" s="36" t="inlineStr"/>
      <c r="B35" s="37" t="inlineStr">
        <is>
          <t>losa (cotas N.F.L +3,50 / N.S.V +4,20 y N.F.L +6,80 / N.S.V +7,50 del plano).</t>
        </is>
      </c>
    </row>
    <row r="36">
      <c r="A36" s="36" t="inlineStr"/>
      <c r="B36" s="37" t="inlineStr">
        <is>
          <t>Son VI 01a, VI 01b, VI 07a, VI 07b, VI 07c, VI 11a, VI 11b, VI 11c, VI 15a y VI 15b,</t>
        </is>
      </c>
    </row>
    <row r="37">
      <c r="A37" s="36" t="inlineStr"/>
      <c r="B37" s="37" t="inlineStr">
        <is>
          <t>identificadas por coincidir su eje con el contorno del edificio.</t>
        </is>
      </c>
    </row>
    <row r="38">
      <c r="A38" s="36" t="inlineStr"/>
      <c r="B38" s="37" t="inlineStr">
        <is>
          <t>Esto define donde la losa aporta ala comprimida:</t>
        </is>
      </c>
    </row>
    <row r="39">
      <c r="A39" s="36" t="inlineStr"/>
      <c r="B39" s="37" t="inlineStr">
        <is>
          <t xml:space="preserve">  viga COLGANTE  -&gt; la losa esta arriba  -&gt; ala util en el TRAMO (momento positivo)</t>
        </is>
      </c>
    </row>
    <row r="40">
      <c r="A40" s="36" t="inlineStr"/>
      <c r="B40" s="37" t="inlineStr">
        <is>
          <t xml:space="preserve">  viga INVERTIDA -&gt; la losa esta abajo   -&gt; ala util en el APOYO (momento negativo)</t>
        </is>
      </c>
    </row>
    <row r="41">
      <c r="A41" s="36" t="inlineStr"/>
      <c r="B41" s="37" t="inlineStr">
        <is>
          <t>En la zona con ala se adopta b efectivo = min(L/4 ; b + 16 hf); en la otra, la</t>
        </is>
      </c>
    </row>
    <row r="42">
      <c r="A42" s="36" t="inlineStr"/>
      <c r="B42" s="37" t="inlineStr">
        <is>
          <t>seccion es rectangular de ancho b. Las columnas b ef tramo y b ef apoyo lo muestran.</t>
        </is>
      </c>
    </row>
    <row r="43">
      <c r="A43" s="36" t="inlineStr"/>
      <c r="B43" s="37" t="inlineStr">
        <is>
          <t>PENDIENTE: una viga invertida de borde recibe la reaccion de la losa excentrica</t>
        </is>
      </c>
    </row>
    <row r="44">
      <c r="A44" s="36" t="inlineStr"/>
      <c r="B44" s="37" t="inlineStr">
        <is>
          <t>respecto de su eje y queda sometida a TORSION. Esta planilla no la verifica.</t>
        </is>
      </c>
    </row>
    <row r="45">
      <c r="A45" s="36" t="inlineStr"/>
      <c r="B45" s="37" t="inlineStr"/>
    </row>
    <row r="46">
      <c r="A46" s="36" t="inlineStr">
        <is>
          <t>7. RESULTADO</t>
        </is>
      </c>
      <c r="B46" s="36" t="inlineStr">
        <is>
          <t>30 vigas: 21 del entrepiso PA y 9 de la losa de techo. 28 verifican.</t>
        </is>
      </c>
    </row>
    <row r="47">
      <c r="A47" s="36" t="inlineStr"/>
      <c r="B47" s="37" t="inlineStr">
        <is>
          <t>VI 02 quedo resuelta: con el ancho tributario relevado (solo el voladizo L02 de</t>
        </is>
      </c>
    </row>
    <row r="48">
      <c r="A48" s="36" t="inlineStr"/>
      <c r="B48" s="37" t="inlineStr">
        <is>
          <t xml:space="preserve">   0,80 m) la carga baja de 2999 a 1823 kg/m y la viga verifica con 9,94 cm2.</t>
        </is>
      </c>
    </row>
    <row r="49">
      <c r="A49" s="36" t="inlineStr"/>
      <c r="B49" s="37" t="inlineStr">
        <is>
          <t>VCH 03a (40x13, 3,71 m) es el unico punto abierto. Recibe L03, B = 2,08 m, y no</t>
        </is>
      </c>
    </row>
    <row r="50">
      <c r="A50" s="36" t="inlineStr"/>
      <c r="B50" s="37" t="inlineStr">
        <is>
          <t xml:space="preserve">   verifica: haria falta un espesor de 18 cm. Tampoco verifica con B = 0,60 m, asi</t>
        </is>
      </c>
    </row>
    <row r="51">
      <c r="A51" s="36" t="inlineStr"/>
      <c r="B51" s="37" t="inlineStr">
        <is>
          <t xml:space="preserve">   que el problema no es la hipotesis de carga sino la relacion luz/espesor. Una viga</t>
        </is>
      </c>
    </row>
    <row r="52">
      <c r="A52" s="36" t="inlineStr"/>
      <c r="B52" s="37" t="inlineStr">
        <is>
          <t xml:space="preserve">   chata del mismo espesor que la losa no puede ser apoyo lineal de un pano de 4,15 m.</t>
        </is>
      </c>
    </row>
    <row r="53">
      <c r="A53" s="36" t="inlineStr"/>
      <c r="B53" s="37" t="inlineStr">
        <is>
          <t xml:space="preserve">   Revisar si tiene un muro debajo que acorte su luz libre.</t>
        </is>
      </c>
    </row>
    <row r="54">
      <c r="A54" s="36" t="inlineStr"/>
      <c r="B54" s="37" t="inlineStr">
        <is>
          <t>VCH 03a (40x13, 3,71 m): excede la cuantia maxima y no llega a la altura minima por</t>
        </is>
      </c>
    </row>
    <row r="55">
      <c r="A55" s="36" t="inlineStr"/>
      <c r="B55" s="37" t="inlineStr">
        <is>
          <t xml:space="preserve">   flecha. Revisar el ancho tributario: si solo recibe el muro y no losa, baja mucho.</t>
        </is>
      </c>
    </row>
    <row r="56">
      <c r="A56" s="36" t="inlineStr"/>
      <c r="B56" s="37" t="inlineStr"/>
    </row>
    <row r="57">
      <c r="A57" s="36" t="inlineStr">
        <is>
          <t>8. ALCANCE</t>
        </is>
      </c>
      <c r="B57" s="37" t="inlineStr">
        <is>
          <t>No se incluyen las 31 vigas de fundacion (VF01 a VF18c): su calculo depende de las</t>
        </is>
      </c>
    </row>
    <row r="58">
      <c r="A58" s="36" t="inlineStr"/>
      <c r="B58" s="37" t="inlineStr">
        <is>
          <t>cargas que bajan por las columnas y corresponde hacerlo despues. Tampoco losas ni columnas.</t>
        </is>
      </c>
    </row>
    <row r="59">
      <c r="A59" s="36" t="inlineStr"/>
      <c r="B59" s="37" t="inlineStr"/>
    </row>
    <row r="60">
      <c r="A60" s="36" t="inlineStr">
        <is>
          <t>LIMITACIONES</t>
        </is>
      </c>
      <c r="B60" s="36" t="inlineStr">
        <is>
          <t>El ancho tributario B esta relevado solo en</t>
        </is>
      </c>
    </row>
    <row r="61">
      <c r="A61" s="36" t="inlineStr"/>
      <c r="B61" s="37" t="inlineStr">
        <is>
          <t>VI 02 (0,80 m) y VCH 03a (2,08 m). En las demas sigue adoptado en 2,00 m, a falta</t>
        </is>
      </c>
    </row>
    <row r="62">
      <c r="A62" s="36" t="inlineStr"/>
      <c r="B62" s="37" t="inlineStr">
        <is>
          <t>hipotesis mas influyente del calculo: ajustarla viga por viga en la columna B trib.</t>
        </is>
      </c>
    </row>
    <row r="63">
      <c r="A63" s="36" t="inlineStr"/>
      <c r="B63" s="37" t="inlineStr">
        <is>
          <t>El esquema se asigno por criterio: continua si integra una serie a-b-c o si supera 5,5 m.</t>
        </is>
      </c>
    </row>
    <row r="64">
      <c r="A64" s="36" t="inlineStr"/>
      <c r="B64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2026-10-20T21:05:40Z</dcterms:created>
  <dcterms:modified xmlns:dcterms="http://purl.org/dc/terms/" xmlns:xsi="http://www.w3.org/2001/XMLSchema-instance" xsi:type="dcterms:W3CDTF">2026-10-20T21:05:40Z</dcterms:modified>
</cp:coreProperties>
</file>