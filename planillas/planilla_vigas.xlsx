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11" customWidth="1" min="30" max="30"/>
    <col width="8" customWidth="1" min="31" max="31"/>
    <col width="8" customWidth="1" min="32" max="32"/>
    <col width="8" customWidth="1" min="33" max="33"/>
    <col width="7" customWidth="1" min="34" max="34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P punt. (kg)</t>
        </is>
      </c>
      <c r="AE3" s="19" t="inlineStr">
        <is>
          <t>a (m)</t>
        </is>
      </c>
      <c r="AF3" s="19" t="inlineStr">
        <is>
          <t>B trib.</t>
        </is>
      </c>
      <c r="AG3" s="19" t="inlineStr">
        <is>
          <t>h muro</t>
        </is>
      </c>
      <c r="AH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(Datos!$B$10*(VLOOKUP($A$4,Datos!$A$14:$E$15,2,0)*AF4+Datos!$B$7*J4*L4/10000+Datos!$B$16*AG4)+Datos!$B$11*VLOOKUP($A$4,Datos!$A$14:$E$15,3,0)*AF4)</f>
        <v/>
      </c>
      <c r="E4" s="7" t="n"/>
      <c r="F4" s="23">
        <f>VLOOKUP(Y4,Datos!$A$19:$E$23,4,0)*D4*C4+IF(OR(AD4="",AE4=""),0,AD4*MAX(AE4,C4-AE4)/C4)</f>
        <v/>
      </c>
      <c r="G4" s="23">
        <f>F4</f>
        <v/>
      </c>
      <c r="H4" s="23">
        <f>VLOOKUP(Y4,Datos!$A$19:$E$23,2,0)*D4*C4^2+0.75*1000*IF(OR(AD4="",AE4=""),0,AD4*AE4*(C4-AE4)/C4/1000)</f>
        <v/>
      </c>
      <c r="I4" s="23">
        <f>IF(VLOOKUP(Y4,Datos!$A$19:$E$23,3,0)=0,"---",VLOOKUP(Y4,Datos!$A$19:$E$23,3,0)*D4*C4^2+0.50*1000*IF(OR(AD4="",AE4=""),0,AD4*AE4*(C4-AE4)/C4/1000))</f>
        <v/>
      </c>
      <c r="J4" s="24" t="n">
        <v>15</v>
      </c>
      <c r="K4" s="7">
        <f>L4-AH4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/>
      <c r="AE4" s="24" t="n"/>
      <c r="AF4" s="24" t="n">
        <v>0</v>
      </c>
      <c r="AG4" s="24" t="n">
        <v>2.6</v>
      </c>
      <c r="AH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(Datos!$B$10*(VLOOKUP($A$4,Datos!$A$14:$E$15,2,0)*AF5+Datos!$B$7*J5*L5/10000+Datos!$B$16*AG5)+Datos!$B$11*VLOOKUP($A$4,Datos!$A$14:$E$15,3,0)*AF5)</f>
        <v/>
      </c>
      <c r="E5" s="7" t="n"/>
      <c r="F5" s="23">
        <f>VLOOKUP(Y5,Datos!$A$19:$E$23,4,0)*D5*C5+IF(OR(AD5="",AE5=""),0,AD5*MAX(AE5,C5-AE5)/C5)</f>
        <v/>
      </c>
      <c r="G5" s="23">
        <f>F5</f>
        <v/>
      </c>
      <c r="H5" s="23">
        <f>VLOOKUP(Y5,Datos!$A$19:$E$23,2,0)*D5*C5^2+0.75*1000*IF(OR(AD5="",AE5=""),0,AD5*AE5*(C5-AE5)/C5/1000)</f>
        <v/>
      </c>
      <c r="I5" s="23">
        <f>IF(VLOOKUP(Y5,Datos!$A$19:$E$23,3,0)=0,"---",VLOOKUP(Y5,Datos!$A$19:$E$23,3,0)*D5*C5^2+0.50*1000*IF(OR(AD5="",AE5=""),0,AD5*AE5*(C5-AE5)/C5/1000))</f>
        <v/>
      </c>
      <c r="J5" s="24" t="n">
        <v>15</v>
      </c>
      <c r="K5" s="7">
        <f>L5-AH5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/>
      <c r="AE5" s="24" t="n"/>
      <c r="AF5" s="24" t="n">
        <v>0</v>
      </c>
      <c r="AG5" s="24" t="n">
        <v>2.6</v>
      </c>
      <c r="AH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(Datos!$B$10*(VLOOKUP($A$4,Datos!$A$14:$E$15,2,0)*AF6+Datos!$B$7*J6*L6/10000+Datos!$B$16*AG6)+Datos!$B$11*VLOOKUP($A$4,Datos!$A$14:$E$15,3,0)*AF6)</f>
        <v/>
      </c>
      <c r="E6" s="7" t="n"/>
      <c r="F6" s="23">
        <f>VLOOKUP(Y6,Datos!$A$19:$E$23,4,0)*D6*C6+IF(OR(AD6="",AE6=""),0,AD6*MAX(AE6,C6-AE6)/C6)</f>
        <v/>
      </c>
      <c r="G6" s="23">
        <f>F6</f>
        <v/>
      </c>
      <c r="H6" s="23">
        <f>VLOOKUP(Y6,Datos!$A$19:$E$23,2,0)*D6*C6^2+0.75*1000*IF(OR(AD6="",AE6=""),0,AD6*AE6*(C6-AE6)/C6/1000)</f>
        <v/>
      </c>
      <c r="I6" s="23">
        <f>IF(VLOOKUP(Y6,Datos!$A$19:$E$23,3,0)=0,"---",VLOOKUP(Y6,Datos!$A$19:$E$23,3,0)*D6*C6^2+0.50*1000*IF(OR(AD6="",AE6=""),0,AD6*AE6*(C6-AE6)/C6/1000))</f>
        <v/>
      </c>
      <c r="J6" s="24" t="n">
        <v>15</v>
      </c>
      <c r="K6" s="7">
        <f>L6-AH6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/>
      <c r="AE6" s="24" t="n"/>
      <c r="AF6" s="24" t="n">
        <v>2.689</v>
      </c>
      <c r="AG6" s="24" t="n">
        <v>2.6</v>
      </c>
      <c r="AH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(Datos!$B$10*(VLOOKUP($A$4,Datos!$A$14:$E$15,2,0)*AF7+Datos!$B$7*J7*L7/10000+Datos!$B$16*AG7)+Datos!$B$11*VLOOKUP($A$4,Datos!$A$14:$E$15,3,0)*AF7)</f>
        <v/>
      </c>
      <c r="E7" s="7" t="n"/>
      <c r="F7" s="23">
        <f>VLOOKUP(Y7,Datos!$A$19:$E$23,4,0)*D7*C7+IF(OR(AD7="",AE7=""),0,AD7*MAX(AE7,C7-AE7)/C7)</f>
        <v/>
      </c>
      <c r="G7" s="23">
        <f>F7</f>
        <v/>
      </c>
      <c r="H7" s="23">
        <f>VLOOKUP(Y7,Datos!$A$19:$E$23,2,0)*D7*C7^2+0.75*1000*IF(OR(AD7="",AE7=""),0,AD7*AE7*(C7-AE7)/C7/1000)</f>
        <v/>
      </c>
      <c r="I7" s="23">
        <f>IF(VLOOKUP(Y7,Datos!$A$19:$E$23,3,0)=0,"---",VLOOKUP(Y7,Datos!$A$19:$E$23,3,0)*D7*C7^2+0.50*1000*IF(OR(AD7="",AE7=""),0,AD7*AE7*(C7-AE7)/C7/1000))</f>
        <v/>
      </c>
      <c r="J7" s="24" t="n">
        <v>15</v>
      </c>
      <c r="K7" s="7">
        <f>L7-AH7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/>
      <c r="AE7" s="24" t="n"/>
      <c r="AF7" s="24" t="n">
        <v>2.1</v>
      </c>
      <c r="AG7" s="24" t="n">
        <v>2.6</v>
      </c>
      <c r="AH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(Datos!$B$10*(VLOOKUP($A$4,Datos!$A$14:$E$15,2,0)*AF8+Datos!$B$7*J8*L8/10000+Datos!$B$16*AG8)+Datos!$B$11*VLOOKUP($A$4,Datos!$A$14:$E$15,3,0)*AF8)</f>
        <v/>
      </c>
      <c r="E8" s="7" t="n"/>
      <c r="F8" s="23">
        <f>VLOOKUP(Y8,Datos!$A$19:$E$23,4,0)*D8*C8+IF(OR(AD8="",AE8=""),0,AD8*MAX(AE8,C8-AE8)/C8)</f>
        <v/>
      </c>
      <c r="G8" s="23">
        <f>F8</f>
        <v/>
      </c>
      <c r="H8" s="23">
        <f>VLOOKUP(Y8,Datos!$A$19:$E$23,2,0)*D8*C8^2+0.75*1000*IF(OR(AD8="",AE8=""),0,AD8*AE8*(C8-AE8)/C8/1000)</f>
        <v/>
      </c>
      <c r="I8" s="23">
        <f>IF(VLOOKUP(Y8,Datos!$A$19:$E$23,3,0)=0,"---",VLOOKUP(Y8,Datos!$A$19:$E$23,3,0)*D8*C8^2+0.50*1000*IF(OR(AD8="",AE8=""),0,AD8*AE8*(C8-AE8)/C8/1000))</f>
        <v/>
      </c>
      <c r="J8" s="24" t="n">
        <v>15</v>
      </c>
      <c r="K8" s="7">
        <f>L8-AH8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26" t="inlineStr">
        <is>
          <t>VI 09 le descarga 6.332 kg a 1,80 m del apoyo, practicamente al medio de sus 3,75 m. Esta viga no recibe losa, de modo que la puntual es casi toda su carga. Se superpone el momento isostatico P a b / L repartido 0,75 al tramo y 0,50 al apoyo, y la reaccion isostatica al corte.</t>
        </is>
      </c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6332</v>
      </c>
      <c r="AE8" s="24" t="n">
        <v>1.8</v>
      </c>
      <c r="AF8" s="24" t="n">
        <v>0</v>
      </c>
      <c r="AG8" s="24" t="n">
        <v>2.6</v>
      </c>
      <c r="AH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(Datos!$B$10*(VLOOKUP($A$4,Datos!$A$14:$E$15,2,0)*AF9+Datos!$B$7*J9*L9/10000+Datos!$B$16*AG9)+Datos!$B$11*VLOOKUP($A$4,Datos!$A$14:$E$15,3,0)*AF9)</f>
        <v/>
      </c>
      <c r="E9" s="7" t="n"/>
      <c r="F9" s="23">
        <f>VLOOKUP(Y9,Datos!$A$19:$E$23,4,0)*D9*C9+IF(OR(AD9="",AE9=""),0,AD9*MAX(AE9,C9-AE9)/C9)</f>
        <v/>
      </c>
      <c r="G9" s="23">
        <f>F9</f>
        <v/>
      </c>
      <c r="H9" s="23">
        <f>VLOOKUP(Y9,Datos!$A$19:$E$23,2,0)*D9*C9^2+0.75*1000*IF(OR(AD9="",AE9=""),0,AD9*AE9*(C9-AE9)/C9/1000)</f>
        <v/>
      </c>
      <c r="I9" s="23">
        <f>IF(VLOOKUP(Y9,Datos!$A$19:$E$23,3,0)=0,"---",VLOOKUP(Y9,Datos!$A$19:$E$23,3,0)*D9*C9^2+0.50*1000*IF(OR(AD9="",AE9=""),0,AD9*AE9*(C9-AE9)/C9/1000))</f>
        <v/>
      </c>
      <c r="J9" s="24" t="n">
        <v>15</v>
      </c>
      <c r="K9" s="7">
        <f>L9-AH9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/>
      <c r="AE9" s="24" t="n"/>
      <c r="AF9" s="24" t="n">
        <v>1.549</v>
      </c>
      <c r="AG9" s="24" t="n">
        <v>2.6</v>
      </c>
      <c r="AH9" s="24" t="n">
        <v>3</v>
      </c>
    </row>
    <row r="10" ht="46" customHeight="1">
      <c r="A10" s="27" t="n"/>
      <c r="B10" s="21" t="inlineStr">
        <is>
          <t>VI 06</t>
        </is>
      </c>
      <c r="C10" s="22" t="n">
        <v>6.53</v>
      </c>
      <c r="D10" s="23">
        <f>(Datos!$B$10*(VLOOKUP($A$4,Datos!$A$14:$E$15,2,0)*AF10+Datos!$B$7*J10*L10/10000+Datos!$B$16*AG10)+Datos!$B$11*VLOOKUP($A$4,Datos!$A$14:$E$15,3,0)*AF10)</f>
        <v/>
      </c>
      <c r="E10" s="7" t="n"/>
      <c r="F10" s="23">
        <f>VLOOKUP(Y10,Datos!$A$19:$E$23,4,0)*D10*C10+IF(OR(AD10="",AE10=""),0,AD10*MAX(AE10,C10-AE10)/C10)</f>
        <v/>
      </c>
      <c r="G10" s="23">
        <f>F10</f>
        <v/>
      </c>
      <c r="H10" s="23">
        <f>VLOOKUP(Y10,Datos!$A$19:$E$23,2,0)*D10*C10^2+0.75*1000*IF(OR(AD10="",AE10=""),0,AD10*AE10*(C10-AE10)/C10/1000)</f>
        <v/>
      </c>
      <c r="I10" s="23">
        <f>IF(VLOOKUP(Y10,Datos!$A$19:$E$23,3,0)=0,"---",VLOOKUP(Y10,Datos!$A$19:$E$23,3,0)*D10*C10^2+0.50*1000*IF(OR(AD10="",AE10=""),0,AD10*AE10*(C10-AE10)/C10/1000))</f>
        <v/>
      </c>
      <c r="J10" s="24" t="n">
        <v>15</v>
      </c>
      <c r="K10" s="7">
        <f>L10-AH10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2</v>
      </c>
      <c r="R10" s="24" t="n">
        <v>20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Longitud total 14,00 m. Sobre su eje hay cuatro columnas: trabaja como viga continua de tres tramos de 4,10, 4,32 y 6,53 m. Se calcula con el mayor. Es el cuarto borde de la losa cruzada L07. Longitud total 14,00 m. Sobre su eje hay cuatro columnas: trabaja como viga continua de tres tramos de 4,10, 4,32 y 6,53 m. Se calcula con el mayor. Es el cuarto borde de la losa cruzada L07. PENDIENTE: recibe las puntuales de VI 09 (6,3 t) y VI 08b (6,0 t) y todavia no estan cargadas, porque falta saber en que tramo y a que distancia caen. Con ambas al medio del tramo mayor el momento de tramo pasaria de 7.920 a 22.963 kgm.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/>
      <c r="AE10" s="24" t="n"/>
      <c r="AF10" s="24" t="n">
        <v>1.549</v>
      </c>
      <c r="AG10" s="24" t="n">
        <v>2.6</v>
      </c>
      <c r="AH10" s="24" t="n">
        <v>3</v>
      </c>
    </row>
    <row r="11" ht="46" customHeight="1">
      <c r="A11" s="27" t="n"/>
      <c r="B11" s="21" t="inlineStr">
        <is>
          <t>VI 07a</t>
        </is>
      </c>
      <c r="C11" s="22" t="n">
        <v>3.37</v>
      </c>
      <c r="D11" s="23">
        <f>(Datos!$B$10*(VLOOKUP($A$4,Datos!$A$14:$E$15,2,0)*AF11+Datos!$B$7*J11*L11/10000+Datos!$B$16*AG11)+Datos!$B$11*VLOOKUP($A$4,Datos!$A$14:$E$15,3,0)*AF11)</f>
        <v/>
      </c>
      <c r="E11" s="7" t="n"/>
      <c r="F11" s="23">
        <f>VLOOKUP(Y11,Datos!$A$19:$E$23,4,0)*D11*C11+IF(OR(AD11="",AE11=""),0,AD11*MAX(AE11,C11-AE11)/C11)</f>
        <v/>
      </c>
      <c r="G11" s="23">
        <f>F11</f>
        <v/>
      </c>
      <c r="H11" s="23">
        <f>VLOOKUP(Y11,Datos!$A$19:$E$23,2,0)*D11*C11^2+0.75*1000*IF(OR(AD11="",AE11=""),0,AD11*AE11*(C11-AE11)/C11/1000)</f>
        <v/>
      </c>
      <c r="I11" s="23">
        <f>IF(VLOOKUP(Y11,Datos!$A$19:$E$23,3,0)=0,"---",VLOOKUP(Y11,Datos!$A$19:$E$23,3,0)*D11*C11^2+0.50*1000*IF(OR(AD11="",AE11=""),0,AD11*AE11*(C11-AE11)/C11/1000))</f>
        <v/>
      </c>
      <c r="J11" s="24" t="n">
        <v>15</v>
      </c>
      <c r="K11" s="7">
        <f>L11-AH11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/>
      <c r="AE11" s="24" t="n"/>
      <c r="AF11" s="24" t="n">
        <v>0.78</v>
      </c>
      <c r="AG11" s="24" t="n">
        <v>2.6</v>
      </c>
      <c r="AH11" s="24" t="n">
        <v>3</v>
      </c>
    </row>
    <row r="12" ht="46" customHeight="1">
      <c r="A12" s="27" t="n"/>
      <c r="B12" s="21" t="inlineStr">
        <is>
          <t>VI 07b</t>
        </is>
      </c>
      <c r="C12" s="22" t="n">
        <v>4.03</v>
      </c>
      <c r="D12" s="23">
        <f>(Datos!$B$10*(VLOOKUP($A$4,Datos!$A$14:$E$15,2,0)*AF12+Datos!$B$7*J12*L12/10000+Datos!$B$16*AG12)+Datos!$B$11*VLOOKUP($A$4,Datos!$A$14:$E$15,3,0)*AF12)</f>
        <v/>
      </c>
      <c r="E12" s="7" t="n"/>
      <c r="F12" s="23">
        <f>VLOOKUP(Y12,Datos!$A$19:$E$23,4,0)*D12*C12+IF(OR(AD12="",AE12=""),0,AD12*MAX(AE12,C12-AE12)/C12)</f>
        <v/>
      </c>
      <c r="G12" s="23">
        <f>F12</f>
        <v/>
      </c>
      <c r="H12" s="23">
        <f>VLOOKUP(Y12,Datos!$A$19:$E$23,2,0)*D12*C12^2+0.75*1000*IF(OR(AD12="",AE12=""),0,AD12*AE12*(C12-AE12)/C12/1000)</f>
        <v/>
      </c>
      <c r="I12" s="23">
        <f>IF(VLOOKUP(Y12,Datos!$A$19:$E$23,3,0)=0,"---",VLOOKUP(Y12,Datos!$A$19:$E$23,3,0)*D12*C12^2+0.50*1000*IF(OR(AD12="",AE12=""),0,AD12*AE12*(C12-AE12)/C12/1000))</f>
        <v/>
      </c>
      <c r="J12" s="24" t="n">
        <v>15</v>
      </c>
      <c r="K12" s="7">
        <f>L12-AH12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3</v>
      </c>
      <c r="O12" s="24" t="n">
        <v>12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3</v>
      </c>
      <c r="R12" s="24" t="n">
        <v>12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30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Viga de borde: recibe la reaccion de la losa excentrica y queda sometida a TORSION, no verificada en esta planilla.</t>
        </is>
      </c>
      <c r="Y12" s="24" t="inlineStr">
        <is>
          <t>Continua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/>
      <c r="AE12" s="24" t="n"/>
      <c r="AF12" s="24" t="n">
        <v>0</v>
      </c>
      <c r="AG12" s="24" t="n">
        <v>2.6</v>
      </c>
      <c r="AH12" s="24" t="n">
        <v>3</v>
      </c>
    </row>
    <row r="13" ht="46" customHeight="1">
      <c r="A13" s="27" t="n"/>
      <c r="B13" s="21" t="inlineStr">
        <is>
          <t>VI 07c</t>
        </is>
      </c>
      <c r="C13" s="22" t="n">
        <v>8.6</v>
      </c>
      <c r="D13" s="23">
        <f>(Datos!$B$10*(VLOOKUP($A$4,Datos!$A$14:$E$15,2,0)*AF13+Datos!$B$7*J13*L13/10000+Datos!$B$16*AG13)+Datos!$B$11*VLOOKUP($A$4,Datos!$A$14:$E$15,3,0)*AF13)</f>
        <v/>
      </c>
      <c r="E13" s="7" t="n"/>
      <c r="F13" s="23">
        <f>VLOOKUP(Y13,Datos!$A$19:$E$23,4,0)*D13*C13+IF(OR(AD13="",AE13=""),0,AD13*MAX(AE13,C13-AE13)/C13)</f>
        <v/>
      </c>
      <c r="G13" s="23">
        <f>F13</f>
        <v/>
      </c>
      <c r="H13" s="23">
        <f>VLOOKUP(Y13,Datos!$A$19:$E$23,2,0)*D13*C13^2+0.75*1000*IF(OR(AD13="",AE13=""),0,AD13*AE13*(C13-AE13)/C13/1000)</f>
        <v/>
      </c>
      <c r="I13" s="23">
        <f>IF(VLOOKUP(Y13,Datos!$A$19:$E$23,3,0)=0,"---",VLOOKUP(Y13,Datos!$A$19:$E$23,3,0)*D13*C13^2+0.50*1000*IF(OR(AD13="",AE13=""),0,AD13*AE13*(C13-AE13)/C13/1000))</f>
        <v/>
      </c>
      <c r="J13" s="24" t="n">
        <v>15</v>
      </c>
      <c r="K13" s="7">
        <f>L13-AH13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25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4</v>
      </c>
      <c r="R13" s="24" t="n">
        <v>25</v>
      </c>
      <c r="S13" s="25">
        <f>F13/(J13*0.85*K13)</f>
        <v/>
      </c>
      <c r="T13" s="25">
        <f>G13/(J13*0.85*K13)</f>
        <v/>
      </c>
      <c r="U13" s="24" t="n">
        <v>10</v>
      </c>
      <c r="V13" s="24" t="n">
        <v>15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26" t="inlineStr">
        <is>
          <t>Armadura en 2 capas (rec. 6 cm). Apoya en columna COL 02 de 15x30 y en el tabique T05b. La viga chata VCH 05 le descarga 1.735 kg a 3,60 m del apoyo. Se superpone el momento isostatico P a b / L repartido 0,75 al tramo y 0,50 al apoyo, y la reaccion isostatica al corte. Viga de borde: recibe la reaccion de la losa excentrica y queda sometida a TORSION, no verificada en esta planilla.</t>
        </is>
      </c>
      <c r="Y13" s="24" t="inlineStr">
        <is>
          <t>Empotrada-apoyada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1735</v>
      </c>
      <c r="AE13" s="24" t="n">
        <v>3.6</v>
      </c>
      <c r="AF13" s="24" t="n">
        <v>3.71</v>
      </c>
      <c r="AG13" s="24" t="n">
        <v>2.6</v>
      </c>
      <c r="AH13" s="24" t="n">
        <v>6</v>
      </c>
    </row>
    <row r="14" ht="46" customHeight="1">
      <c r="A14" s="27" t="n"/>
      <c r="B14" s="21" t="inlineStr">
        <is>
          <t>VI 08a</t>
        </is>
      </c>
      <c r="C14" s="22" t="n">
        <v>3.65</v>
      </c>
      <c r="D14" s="23">
        <f>(Datos!$B$10*(VLOOKUP($A$4,Datos!$A$14:$E$15,2,0)*AF14+Datos!$B$7*J14*L14/10000+Datos!$B$16*AG14)+Datos!$B$11*VLOOKUP($A$4,Datos!$A$14:$E$15,3,0)*AF14)</f>
        <v/>
      </c>
      <c r="E14" s="7" t="n"/>
      <c r="F14" s="23">
        <f>VLOOKUP(Y14,Datos!$A$19:$E$23,4,0)*D14*C14+IF(OR(AD14="",AE14=""),0,AD14*MAX(AE14,C14-AE14)/C14)</f>
        <v/>
      </c>
      <c r="G14" s="23">
        <f>F14</f>
        <v/>
      </c>
      <c r="H14" s="23">
        <f>VLOOKUP(Y14,Datos!$A$19:$E$23,2,0)*D14*C14^2+0.75*1000*IF(OR(AD14="",AE14=""),0,AD14*AE14*(C14-AE14)/C14/1000)</f>
        <v/>
      </c>
      <c r="I14" s="23">
        <f>IF(VLOOKUP(Y14,Datos!$A$19:$E$23,3,0)=0,"---",VLOOKUP(Y14,Datos!$A$19:$E$23,3,0)*D14*C14^2+0.50*1000*IF(OR(AD14="",AE14=""),0,AD14*AE14*(C14-AE14)/C14/1000))</f>
        <v/>
      </c>
      <c r="J14" s="24" t="n">
        <v>15</v>
      </c>
      <c r="K14" s="7">
        <f>L14-AH14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/>
      <c r="AE14" s="24" t="n"/>
      <c r="AF14" s="24" t="n">
        <v>1.065</v>
      </c>
      <c r="AG14" s="24" t="n">
        <v>2.6</v>
      </c>
      <c r="AH14" s="24" t="n">
        <v>3</v>
      </c>
    </row>
    <row r="15" ht="46" customHeight="1">
      <c r="A15" s="27" t="n"/>
      <c r="B15" s="21" t="inlineStr">
        <is>
          <t>VI 08b</t>
        </is>
      </c>
      <c r="C15" s="22" t="n">
        <v>4.87</v>
      </c>
      <c r="D15" s="23">
        <f>(Datos!$B$10*(VLOOKUP($A$4,Datos!$A$14:$E$15,2,0)*AF15+Datos!$B$7*J15*L15/10000+Datos!$B$16*AG15)+Datos!$B$11*VLOOKUP($A$4,Datos!$A$14:$E$15,3,0)*AF15)</f>
        <v/>
      </c>
      <c r="E15" s="7" t="n"/>
      <c r="F15" s="23">
        <f>VLOOKUP(Y15,Datos!$A$19:$E$23,4,0)*D15*C15+IF(OR(AD15="",AE15=""),0,AD15*MAX(AE15,C15-AE15)/C15)</f>
        <v/>
      </c>
      <c r="G15" s="23">
        <f>F15</f>
        <v/>
      </c>
      <c r="H15" s="23">
        <f>VLOOKUP(Y15,Datos!$A$19:$E$23,2,0)*D15*C15^2+0.75*1000*IF(OR(AD15="",AE15=""),0,AD15*AE15*(C15-AE15)/C15/1000)</f>
        <v/>
      </c>
      <c r="I15" s="23">
        <f>IF(VLOOKUP(Y15,Datos!$A$19:$E$23,3,0)=0,"---",VLOOKUP(Y15,Datos!$A$19:$E$23,3,0)*D15*C15^2+0.50*1000*IF(OR(AD15="",AE15=""),0,AD15*AE15*(C15-AE15)/C15/1000))</f>
        <v/>
      </c>
      <c r="J15" s="24" t="n">
        <v>15</v>
      </c>
      <c r="K15" s="7">
        <f>L15-AH15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n">
        <v>3</v>
      </c>
      <c r="R15" s="24" t="n">
        <v>12</v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26" t="inlineStr">
        <is>
          <t>Descarga en la COL 04 de 20x20 y en VI 06.</t>
        </is>
      </c>
      <c r="Y15" s="24" t="inlineStr">
        <is>
          <t>Continua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/>
      <c r="AE15" s="24" t="n"/>
      <c r="AF15" s="24" t="n">
        <v>1.065</v>
      </c>
      <c r="AG15" s="24" t="n">
        <v>2.6</v>
      </c>
      <c r="AH15" s="24" t="n">
        <v>3</v>
      </c>
    </row>
    <row r="16" ht="46" customHeight="1">
      <c r="A16" s="27" t="n"/>
      <c r="B16" s="21" t="inlineStr">
        <is>
          <t>VI 09</t>
        </is>
      </c>
      <c r="C16" s="22" t="n">
        <v>4.87</v>
      </c>
      <c r="D16" s="23">
        <f>(Datos!$B$10*(VLOOKUP($A$4,Datos!$A$14:$E$15,2,0)*AF16+Datos!$B$7*J16*L16/10000+Datos!$B$16*AG16)+Datos!$B$11*VLOOKUP($A$4,Datos!$A$14:$E$15,3,0)*AF16)</f>
        <v/>
      </c>
      <c r="E16" s="7" t="n"/>
      <c r="F16" s="23">
        <f>VLOOKUP(Y16,Datos!$A$19:$E$23,4,0)*D16*C16+IF(OR(AD16="",AE16=""),0,AD16*MAX(AE16,C16-AE16)/C16)</f>
        <v/>
      </c>
      <c r="G16" s="23">
        <f>F16</f>
        <v/>
      </c>
      <c r="H16" s="23">
        <f>VLOOKUP(Y16,Datos!$A$19:$E$23,2,0)*D16*C16^2+0.75*1000*IF(OR(AD16="",AE16=""),0,AD16*AE16*(C16-AE16)/C16/1000)</f>
        <v/>
      </c>
      <c r="I16" s="23">
        <f>IF(VLOOKUP(Y16,Datos!$A$19:$E$23,3,0)=0,"---",VLOOKUP(Y16,Datos!$A$19:$E$23,3,0)*D16*C16^2+0.50*1000*IF(OR(AD16="",AE16=""),0,AD16*AE16*(C16-AE16)/C16/1000))</f>
        <v/>
      </c>
      <c r="J16" s="24" t="n">
        <v>15</v>
      </c>
      <c r="K16" s="7">
        <f>L16-AH16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inlineStr">
        <is>
          <t>---</t>
        </is>
      </c>
      <c r="R16" s="24" t="inlineStr">
        <is>
          <t>---</t>
        </is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26" t="inlineStr">
        <is>
          <t>Viga secundaria: sus dos extremos descargan en otras vigas, VI 04a y VI 06, no en columnas ni tabiques.</t>
        </is>
      </c>
      <c r="Y16" s="24" t="inlineStr">
        <is>
          <t>Simplemente apoyada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/>
      <c r="AE16" s="24" t="n"/>
      <c r="AF16" s="24" t="n">
        <v>1.549</v>
      </c>
      <c r="AG16" s="24" t="n">
        <v>2.6</v>
      </c>
      <c r="AH16" s="24" t="n">
        <v>3</v>
      </c>
    </row>
    <row r="17" ht="46" customHeight="1">
      <c r="A17" s="27" t="n"/>
      <c r="B17" s="21" t="inlineStr">
        <is>
          <t>VI 10a</t>
        </is>
      </c>
      <c r="C17" s="22" t="n">
        <v>2.55</v>
      </c>
      <c r="D17" s="23">
        <f>(Datos!$B$10*(VLOOKUP($A$4,Datos!$A$14:$E$15,2,0)*AF17+Datos!$B$7*J17*L17/10000+Datos!$B$16*AG17)+Datos!$B$11*VLOOKUP($A$4,Datos!$A$14:$E$15,3,0)*AF17)</f>
        <v/>
      </c>
      <c r="E17" s="7" t="n"/>
      <c r="F17" s="23">
        <f>VLOOKUP(Y17,Datos!$A$19:$E$23,4,0)*D17*C17+IF(OR(AD17="",AE17=""),0,AD17*MAX(AE17,C17-AE17)/C17)</f>
        <v/>
      </c>
      <c r="G17" s="23">
        <f>F17</f>
        <v/>
      </c>
      <c r="H17" s="23">
        <f>VLOOKUP(Y17,Datos!$A$19:$E$23,2,0)*D17*C17^2+0.75*1000*IF(OR(AD17="",AE17=""),0,AD17*AE17*(C17-AE17)/C17/1000)</f>
        <v/>
      </c>
      <c r="I17" s="23">
        <f>IF(VLOOKUP(Y17,Datos!$A$19:$E$23,3,0)=0,"---",VLOOKUP(Y17,Datos!$A$19:$E$23,3,0)*D17*C17^2+0.50*1000*IF(OR(AD17="",AE17=""),0,AD17*AE17*(C17-AE17)/C17/1000))</f>
        <v/>
      </c>
      <c r="J17" s="24" t="n">
        <v>15</v>
      </c>
      <c r="K17" s="7">
        <f>L17-AH17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/>
      <c r="AE17" s="24" t="n"/>
      <c r="AF17" s="24" t="n">
        <v>0</v>
      </c>
      <c r="AG17" s="24" t="n">
        <v>2.6</v>
      </c>
      <c r="AH17" s="24" t="n">
        <v>3</v>
      </c>
    </row>
    <row r="18" ht="46" customHeight="1">
      <c r="A18" s="27" t="n"/>
      <c r="B18" s="21" t="inlineStr">
        <is>
          <t>VI 10b</t>
        </is>
      </c>
      <c r="C18" s="22" t="n">
        <v>4</v>
      </c>
      <c r="D18" s="23">
        <f>(Datos!$B$10*(VLOOKUP($A$4,Datos!$A$14:$E$15,2,0)*AF18+Datos!$B$7*J18*L18/10000+Datos!$B$16*AG18)+Datos!$B$11*VLOOKUP($A$4,Datos!$A$14:$E$15,3,0)*AF18)</f>
        <v/>
      </c>
      <c r="E18" s="7" t="n"/>
      <c r="F18" s="23">
        <f>VLOOKUP(Y18,Datos!$A$19:$E$23,4,0)*D18*C18+IF(OR(AD18="",AE18=""),0,AD18*MAX(AE18,C18-AE18)/C18)</f>
        <v/>
      </c>
      <c r="G18" s="23">
        <f>F18</f>
        <v/>
      </c>
      <c r="H18" s="23">
        <f>VLOOKUP(Y18,Datos!$A$19:$E$23,2,0)*D18*C18^2+0.75*1000*IF(OR(AD18="",AE18=""),0,AD18*AE18*(C18-AE18)/C18/1000)</f>
        <v/>
      </c>
      <c r="I18" s="23">
        <f>IF(VLOOKUP(Y18,Datos!$A$19:$E$23,3,0)=0,"---",VLOOKUP(Y18,Datos!$A$19:$E$23,3,0)*D18*C18^2+0.50*1000*IF(OR(AD18="",AE18=""),0,AD18*AE18*(C18-AE18)/C18/1000))</f>
        <v/>
      </c>
      <c r="J18" s="24" t="n">
        <v>15</v>
      </c>
      <c r="K18" s="7">
        <f>L18-AH18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/>
      <c r="AE18" s="24" t="n"/>
      <c r="AF18" s="24" t="n">
        <v>1.825</v>
      </c>
      <c r="AG18" s="24" t="n">
        <v>2.6</v>
      </c>
      <c r="AH18" s="24" t="n">
        <v>3</v>
      </c>
    </row>
    <row r="19" ht="46" customHeight="1">
      <c r="A19" s="27" t="n"/>
      <c r="B19" s="21" t="inlineStr">
        <is>
          <t>VI 10c</t>
        </is>
      </c>
      <c r="C19" s="22" t="n">
        <v>3.6</v>
      </c>
      <c r="D19" s="23">
        <f>(Datos!$B$10*(VLOOKUP($A$4,Datos!$A$14:$E$15,2,0)*AF19+Datos!$B$7*J19*L19/10000+Datos!$B$16*AG19)+Datos!$B$11*VLOOKUP($A$4,Datos!$A$14:$E$15,3,0)*AF19)</f>
        <v/>
      </c>
      <c r="E19" s="7" t="n"/>
      <c r="F19" s="23">
        <f>VLOOKUP(Y19,Datos!$A$19:$E$23,4,0)*D19*C19+IF(OR(AD19="",AE19=""),0,AD19*MAX(AE19,C19-AE19)/C19)</f>
        <v/>
      </c>
      <c r="G19" s="23">
        <f>F19</f>
        <v/>
      </c>
      <c r="H19" s="23">
        <f>VLOOKUP(Y19,Datos!$A$19:$E$23,2,0)*D19*C19^2+0.75*1000*IF(OR(AD19="",AE19=""),0,AD19*AE19*(C19-AE19)/C19/1000)</f>
        <v/>
      </c>
      <c r="I19" s="23">
        <f>IF(VLOOKUP(Y19,Datos!$A$19:$E$23,3,0)=0,"---",VLOOKUP(Y19,Datos!$A$19:$E$23,3,0)*D19*C19^2+0.50*1000*IF(OR(AD19="",AE19=""),0,AD19*AE19*(C19-AE19)/C19/1000))</f>
        <v/>
      </c>
      <c r="J19" s="24" t="n">
        <v>15</v>
      </c>
      <c r="K19" s="7">
        <f>L19-AH19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3</v>
      </c>
      <c r="O19" s="24" t="n">
        <v>12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3</v>
      </c>
      <c r="R19" s="24" t="n">
        <v>12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30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7" t="n"/>
      <c r="Y19" s="24" t="inlineStr">
        <is>
          <t>Continua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/>
      <c r="AE19" s="24" t="n"/>
      <c r="AF19" s="24" t="n">
        <v>0</v>
      </c>
      <c r="AG19" s="24" t="n">
        <v>2.6</v>
      </c>
      <c r="AH19" s="24" t="n">
        <v>3</v>
      </c>
    </row>
    <row r="20" ht="46" customHeight="1">
      <c r="A20" s="27" t="n"/>
      <c r="B20" s="21" t="inlineStr">
        <is>
          <t>VI 11a</t>
        </is>
      </c>
      <c r="C20" s="22" t="n">
        <v>7.68</v>
      </c>
      <c r="D20" s="23">
        <f>(Datos!$B$10*(VLOOKUP($A$4,Datos!$A$14:$E$15,2,0)*AF20+Datos!$B$7*J20*L20/10000+Datos!$B$16*AG20)+Datos!$B$11*VLOOKUP($A$4,Datos!$A$14:$E$15,3,0)*AF20)</f>
        <v/>
      </c>
      <c r="E20" s="7" t="n"/>
      <c r="F20" s="23">
        <f>VLOOKUP(Y20,Datos!$A$19:$E$23,4,0)*D20*C20+IF(OR(AD20="",AE20=""),0,AD20*MAX(AE20,C20-AE20)/C20)</f>
        <v/>
      </c>
      <c r="G20" s="23">
        <f>F20</f>
        <v/>
      </c>
      <c r="H20" s="23">
        <f>VLOOKUP(Y20,Datos!$A$19:$E$23,2,0)*D20*C20^2+0.75*1000*IF(OR(AD20="",AE20=""),0,AD20*AE20*(C20-AE20)/C20/1000)</f>
        <v/>
      </c>
      <c r="I20" s="23">
        <f>IF(VLOOKUP(Y20,Datos!$A$19:$E$23,3,0)=0,"---",VLOOKUP(Y20,Datos!$A$19:$E$23,3,0)*D20*C20^2+0.50*1000*IF(OR(AD20="",AE20=""),0,AD20*AE20*(C20-AE20)/C20/1000))</f>
        <v/>
      </c>
      <c r="J20" s="24" t="n">
        <v>15</v>
      </c>
      <c r="K20" s="7">
        <f>L20-AH20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2</v>
      </c>
      <c r="O20" s="24" t="n">
        <v>20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2</v>
      </c>
      <c r="R20" s="24" t="n">
        <v>25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10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20" s="24" t="inlineStr">
        <is>
          <t>Empotrada-apoyada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/>
      <c r="AE20" s="24" t="n"/>
      <c r="AF20" s="24" t="n">
        <v>1.825</v>
      </c>
      <c r="AG20" s="24" t="n">
        <v>2.6</v>
      </c>
      <c r="AH20" s="24" t="n">
        <v>3</v>
      </c>
    </row>
    <row r="21" ht="46" customHeight="1">
      <c r="A21" s="27" t="n"/>
      <c r="B21" s="21" t="inlineStr">
        <is>
          <t>VI 11b</t>
        </is>
      </c>
      <c r="C21" s="22" t="n">
        <v>3.45</v>
      </c>
      <c r="D21" s="23">
        <f>(Datos!$B$10*(VLOOKUP($A$4,Datos!$A$14:$E$15,2,0)*AF21+Datos!$B$7*J21*L21/10000+Datos!$B$16*AG21)+Datos!$B$11*VLOOKUP($A$4,Datos!$A$14:$E$15,3,0)*AF21)</f>
        <v/>
      </c>
      <c r="E21" s="7" t="n"/>
      <c r="F21" s="23">
        <f>VLOOKUP(Y21,Datos!$A$19:$E$23,4,0)*D21*C21+IF(OR(AD21="",AE21=""),0,AD21*MAX(AE21,C21-AE21)/C21)</f>
        <v/>
      </c>
      <c r="G21" s="23">
        <f>F21</f>
        <v/>
      </c>
      <c r="H21" s="23">
        <f>VLOOKUP(Y21,Datos!$A$19:$E$23,2,0)*D21*C21^2+0.75*1000*IF(OR(AD21="",AE21=""),0,AD21*AE21*(C21-AE21)/C21/1000)</f>
        <v/>
      </c>
      <c r="I21" s="23">
        <f>IF(VLOOKUP(Y21,Datos!$A$19:$E$23,3,0)=0,"---",VLOOKUP(Y21,Datos!$A$19:$E$23,3,0)*D21*C21^2+0.50*1000*IF(OR(AD21="",AE21=""),0,AD21*AE21*(C21-AE21)/C21/1000))</f>
        <v/>
      </c>
      <c r="J21" s="24" t="n">
        <v>15</v>
      </c>
      <c r="K21" s="7">
        <f>L21-AH21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/>
      <c r="AE21" s="24" t="n"/>
      <c r="AF21" s="24" t="n">
        <v>0</v>
      </c>
      <c r="AG21" s="24" t="n">
        <v>2.6</v>
      </c>
      <c r="AH21" s="24" t="n">
        <v>3</v>
      </c>
    </row>
    <row r="22" ht="46" customHeight="1">
      <c r="A22" s="27" t="n"/>
      <c r="B22" s="21" t="inlineStr">
        <is>
          <t>VI 11c</t>
        </is>
      </c>
      <c r="C22" s="22" t="n">
        <v>5.02</v>
      </c>
      <c r="D22" s="23">
        <f>(Datos!$B$10*(VLOOKUP($A$4,Datos!$A$14:$E$15,2,0)*AF22+Datos!$B$7*J22*L22/10000+Datos!$B$16*AG22)+Datos!$B$11*VLOOKUP($A$4,Datos!$A$14:$E$15,3,0)*AF22)</f>
        <v/>
      </c>
      <c r="E22" s="7" t="n"/>
      <c r="F22" s="23">
        <f>VLOOKUP(Y22,Datos!$A$19:$E$23,4,0)*D22*C22+IF(OR(AD22="",AE22=""),0,AD22*MAX(AE22,C22-AE22)/C22)</f>
        <v/>
      </c>
      <c r="G22" s="23">
        <f>F22</f>
        <v/>
      </c>
      <c r="H22" s="23">
        <f>VLOOKUP(Y22,Datos!$A$19:$E$23,2,0)*D22*C22^2+0.75*1000*IF(OR(AD22="",AE22=""),0,AD22*AE22*(C22-AE22)/C22/1000)</f>
        <v/>
      </c>
      <c r="I22" s="23">
        <f>IF(VLOOKUP(Y22,Datos!$A$19:$E$23,3,0)=0,"---",VLOOKUP(Y22,Datos!$A$19:$E$23,3,0)*D22*C22^2+0.50*1000*IF(OR(AD22="",AE22=""),0,AD22*AE22*(C22-AE22)/C22/1000))</f>
        <v/>
      </c>
      <c r="J22" s="24" t="n">
        <v>15</v>
      </c>
      <c r="K22" s="7">
        <f>L22-AH22</f>
        <v/>
      </c>
      <c r="L22" s="24" t="n">
        <v>70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3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6</v>
      </c>
      <c r="V22" s="24" t="n">
        <v>30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Viga de borde: recibe la reaccion de la losa excentrica y queda sometida a TORSION, no verificada en esta planilla.</t>
        </is>
      </c>
      <c r="Y22" s="24" t="inlineStr">
        <is>
          <t>Continua</t>
        </is>
      </c>
      <c r="Z22" s="24" t="inlineStr">
        <is>
          <t>Invertida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/>
      <c r="AE22" s="24" t="n"/>
      <c r="AF22" s="24" t="n">
        <v>1.549</v>
      </c>
      <c r="AG22" s="24" t="n">
        <v>2.6</v>
      </c>
      <c r="AH22" s="24" t="n">
        <v>3</v>
      </c>
    </row>
    <row r="23" ht="46" customHeight="1">
      <c r="A23" s="27" t="n"/>
      <c r="B23" s="21" t="inlineStr">
        <is>
          <t>VCH 03a</t>
        </is>
      </c>
      <c r="C23" s="22" t="n">
        <v>3.71</v>
      </c>
      <c r="D23" s="23">
        <f>(Datos!$B$10*(VLOOKUP($A$4,Datos!$A$14:$E$15,2,0)*AF23+Datos!$B$7*J23*L23/10000+Datos!$B$16*AG23)+Datos!$B$11*VLOOKUP($A$4,Datos!$A$14:$E$15,3,0)*AF23)</f>
        <v/>
      </c>
      <c r="E23" s="7" t="n"/>
      <c r="F23" s="23">
        <f>VLOOKUP(Y23,Datos!$A$19:$E$23,4,0)*D23*C23+IF(OR(AD23="",AE23=""),0,AD23*MAX(AE23,C23-AE23)/C23)</f>
        <v/>
      </c>
      <c r="G23" s="23">
        <f>F23</f>
        <v/>
      </c>
      <c r="H23" s="23">
        <f>VLOOKUP(Y23,Datos!$A$19:$E$23,2,0)*D23*C23^2+0.75*1000*IF(OR(AD23="",AE23=""),0,AD23*AE23*(C23-AE23)/C23/1000)</f>
        <v/>
      </c>
      <c r="I23" s="23">
        <f>IF(VLOOKUP(Y23,Datos!$A$19:$E$23,3,0)=0,"---",VLOOKUP(Y23,Datos!$A$19:$E$23,3,0)*D23*C23^2+0.50*1000*IF(OR(AD23="",AE23=""),0,AD23*AE23*(C23-AE23)/C23/1000))</f>
        <v/>
      </c>
      <c r="J23" s="24" t="n">
        <v>40</v>
      </c>
      <c r="K23" s="7">
        <f>L23-AH23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8</v>
      </c>
      <c r="O23" s="24" t="n">
        <v>12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5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Excede cuantia maxima y no llega a la altura minima por flecha. Revisar el ancho tributario real. 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/>
      <c r="AE23" s="24" t="n"/>
      <c r="AF23" s="24" t="n">
        <v>2.1</v>
      </c>
      <c r="AG23" s="24" t="n">
        <v>2.6</v>
      </c>
      <c r="AH23" s="24" t="n">
        <v>3</v>
      </c>
    </row>
    <row r="24" ht="46" customHeight="1">
      <c r="A24" s="27" t="n"/>
      <c r="B24" s="21" t="inlineStr">
        <is>
          <t>VCH 03b</t>
        </is>
      </c>
      <c r="C24" s="22" t="n">
        <v>2.13</v>
      </c>
      <c r="D24" s="23">
        <f>(Datos!$B$10*(VLOOKUP($A$4,Datos!$A$14:$E$15,2,0)*AF24+Datos!$B$7*J24*L24/10000+Datos!$B$16*AG24)+Datos!$B$11*VLOOKUP($A$4,Datos!$A$14:$E$15,3,0)*AF24)</f>
        <v/>
      </c>
      <c r="E24" s="7" t="n"/>
      <c r="F24" s="23">
        <f>VLOOKUP(Y24,Datos!$A$19:$E$23,4,0)*D24*C24+IF(OR(AD24="",AE24=""),0,AD24*MAX(AE24,C24-AE24)/C24)</f>
        <v/>
      </c>
      <c r="G24" s="23">
        <f>F24</f>
        <v/>
      </c>
      <c r="H24" s="23">
        <f>VLOOKUP(Y24,Datos!$A$19:$E$23,2,0)*D24*C24^2+0.75*1000*IF(OR(AD24="",AE24=""),0,AD24*AE24*(C24-AE24)/C24/1000)</f>
        <v/>
      </c>
      <c r="I24" s="23">
        <f>IF(VLOOKUP(Y24,Datos!$A$19:$E$23,3,0)=0,"---",VLOOKUP(Y24,Datos!$A$19:$E$23,3,0)*D24*C24^2+0.50*1000*IF(OR(AD24="",AE24=""),0,AD24*AE24*(C24-AE24)/C24/1000))</f>
        <v/>
      </c>
      <c r="J24" s="24" t="n">
        <v>40</v>
      </c>
      <c r="K24" s="7">
        <f>L24-AH24</f>
        <v/>
      </c>
      <c r="L24" s="24" t="n">
        <v>13</v>
      </c>
      <c r="M24" s="25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24" t="n">
        <v>10</v>
      </c>
      <c r="O24" s="24" t="n">
        <v>6</v>
      </c>
      <c r="P24" s="25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24" t="n">
        <v>8</v>
      </c>
      <c r="R24" s="24" t="n">
        <v>8</v>
      </c>
      <c r="S24" s="25">
        <f>F24/(J24*0.85*K24)</f>
        <v/>
      </c>
      <c r="T24" s="25">
        <f>G24/(J24*0.85*K24)</f>
        <v/>
      </c>
      <c r="U24" s="24" t="n">
        <v>12</v>
      </c>
      <c r="V24" s="24" t="n">
        <v>5</v>
      </c>
      <c r="W24" s="7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26" t="inlineStr">
        <is>
          <t>Separacion de estribos menor a 10 cm: revisar constructividad.</t>
        </is>
      </c>
      <c r="Y24" s="24" t="inlineStr">
        <is>
          <t>Continua</t>
        </is>
      </c>
      <c r="Z24" s="24" t="inlineStr">
        <is>
          <t>Colgante</t>
        </is>
      </c>
      <c r="AA24" s="24" t="n">
        <v>12</v>
      </c>
      <c r="AB24" s="7">
        <f>IF(Z24="Colgante",MIN(C24*100/4,J24+16*AA24),J24)</f>
        <v/>
      </c>
      <c r="AC24" s="7">
        <f>IF(Z24="Invertida",MIN(C24*100/4,J24+16*AA24),J24)</f>
        <v/>
      </c>
      <c r="AD24" s="24" t="n"/>
      <c r="AE24" s="24" t="n"/>
      <c r="AF24" s="24" t="n">
        <v>2.1</v>
      </c>
      <c r="AG24" s="24" t="n">
        <v>2.6</v>
      </c>
      <c r="AH24" s="24" t="n">
        <v>3</v>
      </c>
    </row>
    <row r="25" ht="46" customHeight="1">
      <c r="A25" s="28" t="n"/>
      <c r="B25" s="29" t="inlineStr">
        <is>
          <t>VCH 05</t>
        </is>
      </c>
      <c r="C25" s="30" t="n">
        <v>3.71</v>
      </c>
      <c r="D25" s="31">
        <f>(Datos!$B$10*(VLOOKUP($A$4,Datos!$A$14:$E$15,2,0)*AF25+Datos!$B$7*J25*L25/10000+Datos!$B$16*AG25)+Datos!$B$11*VLOOKUP($A$4,Datos!$A$14:$E$15,3,0)*AF25)</f>
        <v/>
      </c>
      <c r="E25" s="32" t="n"/>
      <c r="F25" s="31">
        <f>VLOOKUP(Y25,Datos!$A$19:$E$23,4,0)*D25*C25+IF(OR(AD25="",AE25=""),0,AD25*MAX(AE25,C25-AE25)/C25)</f>
        <v/>
      </c>
      <c r="G25" s="31">
        <f>F25</f>
        <v/>
      </c>
      <c r="H25" s="31">
        <f>VLOOKUP(Y25,Datos!$A$19:$E$23,2,0)*D25*C25^2+0.75*1000*IF(OR(AD25="",AE25=""),0,AD25*AE25*(C25-AE25)/C25/1000)</f>
        <v/>
      </c>
      <c r="I25" s="31">
        <f>IF(VLOOKUP(Y25,Datos!$A$19:$E$23,3,0)=0,"---",VLOOKUP(Y25,Datos!$A$19:$E$23,3,0)*D25*C25^2+0.50*1000*IF(OR(AD25="",AE25=""),0,AD25*AE25*(C25-AE25)/C25/1000))</f>
        <v/>
      </c>
      <c r="J25" s="33" t="n">
        <v>12</v>
      </c>
      <c r="K25" s="32">
        <f>L25-AH25</f>
        <v/>
      </c>
      <c r="L25" s="33" t="n">
        <v>45</v>
      </c>
      <c r="M25" s="34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33" t="n">
        <v>2</v>
      </c>
      <c r="O25" s="33" t="n">
        <v>12</v>
      </c>
      <c r="P25" s="34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33" t="inlineStr">
        <is>
          <t>---</t>
        </is>
      </c>
      <c r="R25" s="33" t="inlineStr">
        <is>
          <t>---</t>
        </is>
      </c>
      <c r="S25" s="34">
        <f>F25/(J25*0.85*K25)</f>
        <v/>
      </c>
      <c r="T25" s="34">
        <f>G25/(J25*0.85*K25)</f>
        <v/>
      </c>
      <c r="U25" s="33" t="n">
        <v>6</v>
      </c>
      <c r="V25" s="33" t="n">
        <v>20</v>
      </c>
      <c r="W25" s="32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32" t="n"/>
      <c r="Y25" s="33" t="inlineStr">
        <is>
          <t>Simplemente apoyada</t>
        </is>
      </c>
      <c r="Z25" s="33" t="inlineStr">
        <is>
          <t>Colgante</t>
        </is>
      </c>
      <c r="AA25" s="33" t="n">
        <v>12</v>
      </c>
      <c r="AB25" s="32">
        <f>IF(Z25="Colgante",MIN(C25*100/4,J25+16*AA25),J25)</f>
        <v/>
      </c>
      <c r="AC25" s="32">
        <f>IF(Z25="Invertida",MIN(C25*100/4,J25+16*AA25),J25)</f>
        <v/>
      </c>
      <c r="AD25" s="33" t="n"/>
      <c r="AE25" s="33" t="n"/>
      <c r="AF25" s="33" t="n">
        <v>0</v>
      </c>
      <c r="AG25" s="33" t="n">
        <v>2.6</v>
      </c>
      <c r="AH25" s="33" t="n">
        <v>3</v>
      </c>
    </row>
    <row r="26" ht="46" customHeight="1">
      <c r="A26" s="20" t="inlineStr">
        <is>
          <t>TECHO</t>
        </is>
      </c>
      <c r="B26" s="21" t="inlineStr">
        <is>
          <t>VI 12</t>
        </is>
      </c>
      <c r="C26" s="22" t="n">
        <v>9.9</v>
      </c>
      <c r="D26" s="23">
        <f>(Datos!$B$10*(VLOOKUP($A$26,Datos!$A$14:$E$15,2,0)*AF26+Datos!$B$7*J26*L26/10000+Datos!$B$16*AG26)+Datos!$B$11*VLOOKUP($A$26,Datos!$A$14:$E$15,3,0)*AF26)</f>
        <v/>
      </c>
      <c r="E26" s="7" t="n"/>
      <c r="F26" s="23">
        <f>VLOOKUP(Y26,Datos!$A$19:$E$23,4,0)*D26*C26+IF(OR(AD26="",AE26=""),0,AD26*MAX(AE26,C26-AE26)/C26)</f>
        <v/>
      </c>
      <c r="G26" s="23">
        <f>F26</f>
        <v/>
      </c>
      <c r="H26" s="23">
        <f>VLOOKUP(Y26,Datos!$A$19:$E$23,2,0)*D26*C26^2+0.75*1000*IF(OR(AD26="",AE26=""),0,AD26*AE26*(C26-AE26)/C26/1000)</f>
        <v/>
      </c>
      <c r="I26" s="23">
        <f>IF(VLOOKUP(Y26,Datos!$A$19:$E$23,3,0)=0,"---",VLOOKUP(Y26,Datos!$A$19:$E$23,3,0)*D26*C26^2+0.50*1000*IF(OR(AD26="",AE26=""),0,AD26*AE26*(C26-AE26)/C26/1000))</f>
        <v/>
      </c>
      <c r="J26" s="24" t="n">
        <v>15</v>
      </c>
      <c r="K26" s="7">
        <f>L26-AH26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25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/>
      <c r="AE26" s="24" t="n"/>
      <c r="AF26" s="24" t="n">
        <v>2.1</v>
      </c>
      <c r="AG26" s="24" t="n">
        <v>1</v>
      </c>
      <c r="AH26" s="24" t="n">
        <v>3</v>
      </c>
    </row>
    <row r="27" ht="46" customHeight="1">
      <c r="A27" s="27" t="n"/>
      <c r="B27" s="21" t="inlineStr">
        <is>
          <t>VI 13a</t>
        </is>
      </c>
      <c r="C27" s="22" t="n">
        <v>6</v>
      </c>
      <c r="D27" s="23">
        <f>(Datos!$B$10*(VLOOKUP($A$26,Datos!$A$14:$E$15,2,0)*AF27+Datos!$B$7*J27*L27/10000+Datos!$B$16*AG27)+Datos!$B$11*VLOOKUP($A$26,Datos!$A$14:$E$15,3,0)*AF27)</f>
        <v/>
      </c>
      <c r="E27" s="7" t="n"/>
      <c r="F27" s="23">
        <f>VLOOKUP(Y27,Datos!$A$19:$E$23,4,0)*D27*C27+IF(OR(AD27="",AE27=""),0,AD27*MAX(AE27,C27-AE27)/C27)</f>
        <v/>
      </c>
      <c r="G27" s="23">
        <f>F27</f>
        <v/>
      </c>
      <c r="H27" s="23">
        <f>VLOOKUP(Y27,Datos!$A$19:$E$23,2,0)*D27*C27^2+0.75*1000*IF(OR(AD27="",AE27=""),0,AD27*AE27*(C27-AE27)/C27/1000)</f>
        <v/>
      </c>
      <c r="I27" s="23">
        <f>IF(VLOOKUP(Y27,Datos!$A$19:$E$23,3,0)=0,"---",VLOOKUP(Y27,Datos!$A$19:$E$23,3,0)*D27*C27^2+0.50*1000*IF(OR(AD27="",AE27=""),0,AD27*AE27*(C27-AE27)/C27/1000))</f>
        <v/>
      </c>
      <c r="J27" s="24" t="n">
        <v>15</v>
      </c>
      <c r="K27" s="7">
        <f>L27-AH27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2</v>
      </c>
      <c r="O27" s="24" t="n">
        <v>16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2</v>
      </c>
      <c r="R27" s="24" t="n">
        <v>20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15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/>
      <c r="AE27" s="24" t="n"/>
      <c r="AF27" s="24" t="n">
        <v>3.799</v>
      </c>
      <c r="AG27" s="24" t="n">
        <v>1</v>
      </c>
      <c r="AH27" s="24" t="n">
        <v>3</v>
      </c>
    </row>
    <row r="28" ht="46" customHeight="1">
      <c r="A28" s="27" t="n"/>
      <c r="B28" s="21" t="inlineStr">
        <is>
          <t>VI 13b</t>
        </is>
      </c>
      <c r="C28" s="22" t="n">
        <v>3.75</v>
      </c>
      <c r="D28" s="23">
        <f>(Datos!$B$10*(VLOOKUP($A$26,Datos!$A$14:$E$15,2,0)*AF28+Datos!$B$7*J28*L28/10000+Datos!$B$16*AG28)+Datos!$B$11*VLOOKUP($A$26,Datos!$A$14:$E$15,3,0)*AF28)</f>
        <v/>
      </c>
      <c r="E28" s="7" t="n"/>
      <c r="F28" s="23">
        <f>VLOOKUP(Y28,Datos!$A$19:$E$23,4,0)*D28*C28+IF(OR(AD28="",AE28=""),0,AD28*MAX(AE28,C28-AE28)/C28)</f>
        <v/>
      </c>
      <c r="G28" s="23">
        <f>F28</f>
        <v/>
      </c>
      <c r="H28" s="23">
        <f>VLOOKUP(Y28,Datos!$A$19:$E$23,2,0)*D28*C28^2+0.75*1000*IF(OR(AD28="",AE28=""),0,AD28*AE28*(C28-AE28)/C28/1000)</f>
        <v/>
      </c>
      <c r="I28" s="23">
        <f>IF(VLOOKUP(Y28,Datos!$A$19:$E$23,3,0)=0,"---",VLOOKUP(Y28,Datos!$A$19:$E$23,3,0)*D28*C28^2+0.50*1000*IF(OR(AD28="",AE28=""),0,AD28*AE28*(C28-AE28)/C28/1000))</f>
        <v/>
      </c>
      <c r="J28" s="24" t="n">
        <v>15</v>
      </c>
      <c r="K28" s="7">
        <f>L28-AH28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/>
      <c r="AE28" s="24" t="n"/>
      <c r="AF28" s="24" t="n">
        <v>2.1</v>
      </c>
      <c r="AG28" s="24" t="n">
        <v>1</v>
      </c>
      <c r="AH28" s="24" t="n">
        <v>3</v>
      </c>
    </row>
    <row r="29" ht="46" customHeight="1">
      <c r="A29" s="27" t="n"/>
      <c r="B29" s="21" t="inlineStr">
        <is>
          <t>VI 14</t>
        </is>
      </c>
      <c r="C29" s="22" t="n">
        <v>6</v>
      </c>
      <c r="D29" s="23">
        <f>(Datos!$B$10*(VLOOKUP($A$26,Datos!$A$14:$E$15,2,0)*AF29+Datos!$B$7*J29*L29/10000+Datos!$B$16*AG29)+Datos!$B$11*VLOOKUP($A$26,Datos!$A$14:$E$15,3,0)*AF29)</f>
        <v/>
      </c>
      <c r="E29" s="7" t="n"/>
      <c r="F29" s="23">
        <f>VLOOKUP(Y29,Datos!$A$19:$E$23,4,0)*D29*C29+IF(OR(AD29="",AE29=""),0,AD29*MAX(AE29,C29-AE29)/C29)</f>
        <v/>
      </c>
      <c r="G29" s="23">
        <f>F29</f>
        <v/>
      </c>
      <c r="H29" s="23">
        <f>VLOOKUP(Y29,Datos!$A$19:$E$23,2,0)*D29*C29^2+0.75*1000*IF(OR(AD29="",AE29=""),0,AD29*AE29*(C29-AE29)/C29/1000)</f>
        <v/>
      </c>
      <c r="I29" s="23">
        <f>IF(VLOOKUP(Y29,Datos!$A$19:$E$23,3,0)=0,"---",VLOOKUP(Y29,Datos!$A$19:$E$23,3,0)*D29*C29^2+0.50*1000*IF(OR(AD29="",AE29=""),0,AD29*AE29*(C29-AE29)/C29/1000))</f>
        <v/>
      </c>
      <c r="J29" s="24" t="n">
        <v>15</v>
      </c>
      <c r="K29" s="7">
        <f>L29-AH29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7" t="n"/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/>
      <c r="AE29" s="24" t="n"/>
      <c r="AF29" s="24" t="n">
        <v>1.699</v>
      </c>
      <c r="AG29" s="24" t="n">
        <v>1</v>
      </c>
      <c r="AH29" s="24" t="n">
        <v>3</v>
      </c>
    </row>
    <row r="30" ht="46" customHeight="1">
      <c r="A30" s="27" t="n"/>
      <c r="B30" s="21" t="inlineStr">
        <is>
          <t>VI 15a</t>
        </is>
      </c>
      <c r="C30" s="22" t="n">
        <v>4.03</v>
      </c>
      <c r="D30" s="23">
        <f>(Datos!$B$10*(VLOOKUP($A$26,Datos!$A$14:$E$15,2,0)*AF30+Datos!$B$7*J30*L30/10000+Datos!$B$16*AG30)+Datos!$B$11*VLOOKUP($A$26,Datos!$A$14:$E$15,3,0)*AF30)</f>
        <v/>
      </c>
      <c r="E30" s="7" t="n"/>
      <c r="F30" s="23">
        <f>VLOOKUP(Y30,Datos!$A$19:$E$23,4,0)*D30*C30+IF(OR(AD30="",AE30=""),0,AD30*MAX(AE30,C30-AE30)/C30)</f>
        <v/>
      </c>
      <c r="G30" s="23">
        <f>F30</f>
        <v/>
      </c>
      <c r="H30" s="23">
        <f>VLOOKUP(Y30,Datos!$A$19:$E$23,2,0)*D30*C30^2+0.75*1000*IF(OR(AD30="",AE30=""),0,AD30*AE30*(C30-AE30)/C30/1000)</f>
        <v/>
      </c>
      <c r="I30" s="23">
        <f>IF(VLOOKUP(Y30,Datos!$A$19:$E$23,3,0)=0,"---",VLOOKUP(Y30,Datos!$A$19:$E$23,3,0)*D30*C30^2+0.50*1000*IF(OR(AD30="",AE30=""),0,AD30*AE30*(C30-AE30)/C30/1000))</f>
        <v/>
      </c>
      <c r="J30" s="24" t="n">
        <v>15</v>
      </c>
      <c r="K30" s="7">
        <f>L30-AH30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/>
      <c r="AE30" s="24" t="n"/>
      <c r="AF30" s="24" t="n">
        <v>0</v>
      </c>
      <c r="AG30" s="24" t="n">
        <v>1</v>
      </c>
      <c r="AH30" s="24" t="n">
        <v>3</v>
      </c>
    </row>
    <row r="31" ht="46" customHeight="1">
      <c r="A31" s="27" t="n"/>
      <c r="B31" s="21" t="inlineStr">
        <is>
          <t>VI 15b</t>
        </is>
      </c>
      <c r="C31" s="22" t="n">
        <v>4.85</v>
      </c>
      <c r="D31" s="23">
        <f>(Datos!$B$10*(VLOOKUP($A$26,Datos!$A$14:$E$15,2,0)*AF31+Datos!$B$7*J31*L31/10000+Datos!$B$16*AG31)+Datos!$B$11*VLOOKUP($A$26,Datos!$A$14:$E$15,3,0)*AF31)</f>
        <v/>
      </c>
      <c r="E31" s="7" t="n"/>
      <c r="F31" s="23">
        <f>VLOOKUP(Y31,Datos!$A$19:$E$23,4,0)*D31*C31+IF(OR(AD31="",AE31=""),0,AD31*MAX(AE31,C31-AE31)/C31)</f>
        <v/>
      </c>
      <c r="G31" s="23">
        <f>F31</f>
        <v/>
      </c>
      <c r="H31" s="23">
        <f>VLOOKUP(Y31,Datos!$A$19:$E$23,2,0)*D31*C31^2+0.75*1000*IF(OR(AD31="",AE31=""),0,AD31*AE31*(C31-AE31)/C31/1000)</f>
        <v/>
      </c>
      <c r="I31" s="23">
        <f>IF(VLOOKUP(Y31,Datos!$A$19:$E$23,3,0)=0,"---",VLOOKUP(Y31,Datos!$A$19:$E$23,3,0)*D31*C31^2+0.50*1000*IF(OR(AD31="",AE31=""),0,AD31*AE31*(C31-AE31)/C31/1000))</f>
        <v/>
      </c>
      <c r="J31" s="24" t="n">
        <v>15</v>
      </c>
      <c r="K31" s="7">
        <f>L31-AH31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26" t="inlineStr">
        <is>
          <t>Viga de borde: recibe la reaccion de la losa excentrica y queda sometida a TORSION, no verificada en esta planilla.</t>
        </is>
      </c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/>
      <c r="AE31" s="24" t="n"/>
      <c r="AF31" s="24" t="n">
        <v>1.699</v>
      </c>
      <c r="AG31" s="24" t="n">
        <v>1</v>
      </c>
      <c r="AH31" s="24" t="n">
        <v>3</v>
      </c>
    </row>
    <row r="32" ht="46" customHeight="1">
      <c r="A32" s="27" t="n"/>
      <c r="B32" s="21" t="inlineStr">
        <is>
          <t>VI 16a</t>
        </is>
      </c>
      <c r="C32" s="22" t="n">
        <v>3.58</v>
      </c>
      <c r="D32" s="23">
        <f>(Datos!$B$10*(VLOOKUP($A$26,Datos!$A$14:$E$15,2,0)*AF32+Datos!$B$7*J32*L32/10000+Datos!$B$16*AG32)+Datos!$B$11*VLOOKUP($A$26,Datos!$A$14:$E$15,3,0)*AF32)</f>
        <v/>
      </c>
      <c r="E32" s="7" t="n"/>
      <c r="F32" s="23">
        <f>VLOOKUP(Y32,Datos!$A$19:$E$23,4,0)*D32*C32+IF(OR(AD32="",AE32=""),0,AD32*MAX(AE32,C32-AE32)/C32)</f>
        <v/>
      </c>
      <c r="G32" s="23">
        <f>F32</f>
        <v/>
      </c>
      <c r="H32" s="23">
        <f>VLOOKUP(Y32,Datos!$A$19:$E$23,2,0)*D32*C32^2+0.75*1000*IF(OR(AD32="",AE32=""),0,AD32*AE32*(C32-AE32)/C32/1000)</f>
        <v/>
      </c>
      <c r="I32" s="23">
        <f>IF(VLOOKUP(Y32,Datos!$A$19:$E$23,3,0)=0,"---",VLOOKUP(Y32,Datos!$A$19:$E$23,3,0)*D32*C32^2+0.50*1000*IF(OR(AD32="",AE32=""),0,AD32*AE32*(C32-AE32)/C32/1000))</f>
        <v/>
      </c>
      <c r="J32" s="24" t="n">
        <v>15</v>
      </c>
      <c r="K32" s="7">
        <f>L32-AH32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/>
      <c r="AE32" s="24" t="n"/>
      <c r="AF32" s="24" t="n">
        <v>1.699</v>
      </c>
      <c r="AG32" s="24" t="n">
        <v>1</v>
      </c>
      <c r="AH32" s="24" t="n">
        <v>3</v>
      </c>
    </row>
    <row r="33" ht="46" customHeight="1">
      <c r="A33" s="27" t="n"/>
      <c r="B33" s="21" t="inlineStr">
        <is>
          <t>VI 16b</t>
        </is>
      </c>
      <c r="C33" s="22" t="n">
        <v>1.12</v>
      </c>
      <c r="D33" s="23">
        <f>(Datos!$B$10*(VLOOKUP($A$26,Datos!$A$14:$E$15,2,0)*AF33+Datos!$B$7*J33*L33/10000+Datos!$B$16*AG33)+Datos!$B$11*VLOOKUP($A$26,Datos!$A$14:$E$15,3,0)*AF33)</f>
        <v/>
      </c>
      <c r="E33" s="7" t="n"/>
      <c r="F33" s="23">
        <f>VLOOKUP(Y33,Datos!$A$19:$E$23,4,0)*D33*C33+IF(OR(AD33="",AE33=""),0,AD33*MAX(AE33,C33-AE33)/C33)</f>
        <v/>
      </c>
      <c r="G33" s="23">
        <f>F33</f>
        <v/>
      </c>
      <c r="H33" s="23">
        <f>VLOOKUP(Y33,Datos!$A$19:$E$23,2,0)*D33*C33^2+0.75*1000*IF(OR(AD33="",AE33=""),0,AD33*AE33*(C33-AE33)/C33/1000)</f>
        <v/>
      </c>
      <c r="I33" s="23">
        <f>IF(VLOOKUP(Y33,Datos!$A$19:$E$23,3,0)=0,"---",VLOOKUP(Y33,Datos!$A$19:$E$23,3,0)*D33*C33^2+0.50*1000*IF(OR(AD33="",AE33=""),0,AD33*AE33*(C33-AE33)/C33/1000))</f>
        <v/>
      </c>
      <c r="J33" s="24" t="n">
        <v>15</v>
      </c>
      <c r="K33" s="7">
        <f>L33-AH33</f>
        <v/>
      </c>
      <c r="L33" s="24" t="n">
        <v>70</v>
      </c>
      <c r="M33" s="25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24" t="n">
        <v>3</v>
      </c>
      <c r="O33" s="24" t="n">
        <v>12</v>
      </c>
      <c r="P33" s="25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24" t="n">
        <v>3</v>
      </c>
      <c r="R33" s="24" t="n">
        <v>12</v>
      </c>
      <c r="S33" s="25">
        <f>F33/(J33*0.85*K33)</f>
        <v/>
      </c>
      <c r="T33" s="25">
        <f>G33/(J33*0.85*K33)</f>
        <v/>
      </c>
      <c r="U33" s="24" t="n">
        <v>6</v>
      </c>
      <c r="V33" s="24" t="n">
        <v>30</v>
      </c>
      <c r="W33" s="7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7" t="n"/>
      <c r="Y33" s="24" t="inlineStr">
        <is>
          <t>Continua</t>
        </is>
      </c>
      <c r="Z33" s="24" t="inlineStr">
        <is>
          <t>Invertida</t>
        </is>
      </c>
      <c r="AA33" s="24" t="n">
        <v>12</v>
      </c>
      <c r="AB33" s="7">
        <f>IF(Z33="Colgante",MIN(C33*100/4,J33+16*AA33),J33)</f>
        <v/>
      </c>
      <c r="AC33" s="7">
        <f>IF(Z33="Invertida",MIN(C33*100/4,J33+16*AA33),J33)</f>
        <v/>
      </c>
      <c r="AD33" s="24" t="n"/>
      <c r="AE33" s="24" t="n"/>
      <c r="AF33" s="24" t="n">
        <v>1.699</v>
      </c>
      <c r="AG33" s="24" t="n">
        <v>1</v>
      </c>
      <c r="AH33" s="24" t="n">
        <v>3</v>
      </c>
    </row>
    <row r="34" ht="46" customHeight="1">
      <c r="A34" s="28" t="n"/>
      <c r="B34" s="29" t="inlineStr">
        <is>
          <t>VI 17</t>
        </is>
      </c>
      <c r="C34" s="30" t="n">
        <v>4.35</v>
      </c>
      <c r="D34" s="31">
        <f>(Datos!$B$10*(VLOOKUP($A$26,Datos!$A$14:$E$15,2,0)*AF34+Datos!$B$7*J34*L34/10000+Datos!$B$16*AG34)+Datos!$B$11*VLOOKUP($A$26,Datos!$A$14:$E$15,3,0)*AF34)</f>
        <v/>
      </c>
      <c r="E34" s="32" t="n"/>
      <c r="F34" s="31">
        <f>VLOOKUP(Y34,Datos!$A$19:$E$23,4,0)*D34*C34+IF(OR(AD34="",AE34=""),0,AD34*MAX(AE34,C34-AE34)/C34)</f>
        <v/>
      </c>
      <c r="G34" s="31">
        <f>F34</f>
        <v/>
      </c>
      <c r="H34" s="31">
        <f>VLOOKUP(Y34,Datos!$A$19:$E$23,2,0)*D34*C34^2+0.75*1000*IF(OR(AD34="",AE34=""),0,AD34*AE34*(C34-AE34)/C34/1000)</f>
        <v/>
      </c>
      <c r="I34" s="31">
        <f>IF(VLOOKUP(Y34,Datos!$A$19:$E$23,3,0)=0,"---",VLOOKUP(Y34,Datos!$A$19:$E$23,3,0)*D34*C34^2+0.50*1000*IF(OR(AD34="",AE34=""),0,AD34*AE34*(C34-AE34)/C34/1000))</f>
        <v/>
      </c>
      <c r="J34" s="33" t="n">
        <v>15</v>
      </c>
      <c r="K34" s="32">
        <f>L34-AH34</f>
        <v/>
      </c>
      <c r="L34" s="33" t="n">
        <v>70</v>
      </c>
      <c r="M34" s="34">
        <f>IF(NOT(ISNUMBER(H34)),"---",IF(H34&lt;=0,"---",IF(H34*100/(Datos!$B$8*AB34*K34^2*Datos!$B$5)&gt;=0.5,"REVISAR",MAX((1-SQRT(1-2*H34*100/(Datos!$B$8*AB34*K34^2*Datos!$B$5)))*AB34*K34*Datos!$B$5/Datos!$B$6,0.0033*J34*K34))))</f>
        <v/>
      </c>
      <c r="N34" s="33" t="n">
        <v>3</v>
      </c>
      <c r="O34" s="33" t="n">
        <v>12</v>
      </c>
      <c r="P34" s="34">
        <f>IF(NOT(ISNUMBER(I34)),"---",IF(I34&lt;=0,"---",IF(I34*100/(Datos!$B$8*AC34*K34^2*Datos!$B$5)&gt;=0.5,"REVISAR",MAX((1-SQRT(1-2*I34*100/(Datos!$B$8*AC34*K34^2*Datos!$B$5)))*AC34*K34*Datos!$B$5/Datos!$B$6,0.0033*J34*K34))))</f>
        <v/>
      </c>
      <c r="Q34" s="33" t="inlineStr">
        <is>
          <t>---</t>
        </is>
      </c>
      <c r="R34" s="33" t="inlineStr">
        <is>
          <t>---</t>
        </is>
      </c>
      <c r="S34" s="34">
        <f>F34/(J34*0.85*K34)</f>
        <v/>
      </c>
      <c r="T34" s="34">
        <f>G34/(J34*0.85*K34)</f>
        <v/>
      </c>
      <c r="U34" s="33" t="n">
        <v>6</v>
      </c>
      <c r="V34" s="33" t="n">
        <v>30</v>
      </c>
      <c r="W34" s="32">
        <f>IF(OR(M34="REVISAR",P34="REVISAR"),"SECCION INSUF.",IF(NOT(AND(M34&lt;&gt;"REVISAR",P34&lt;&gt;"REVISAR",IF(ISNUMBER(M34),N34*PI()*(O34/10)^2/4&gt;=M34,TRUE),IF(ISNUMBER(P34),Q34*PI()*(R34/10)^2/4&gt;=P34,TRUE),IF(ISNUMBER(M34),M34&lt;=0.0163*AB34*K34,TRUE),IF(ISNUMBER(P34),P34&lt;=0.0163*AC34*K34,TRUE))),"NO VERIFICA FLEX.",IF(NOT(F34&lt;=Datos!$B$9*(0.53*SQRT(Datos!$B$5)*J34*K34+2*PI()*(U34/10)^2/4*Datos!$B$6*K34/V34)),"NO VERIF. CORTE",IF(NOT(L34&gt;=C34*100/VLOOKUP(Y34,Datos!$A$19:$E$23,5,0)),"VERIFICAR FLECHA","VERIFICA"))))</f>
        <v/>
      </c>
      <c r="X34" s="32" t="n"/>
      <c r="Y34" s="33" t="inlineStr">
        <is>
          <t>Simplemente apoyada</t>
        </is>
      </c>
      <c r="Z34" s="33" t="inlineStr">
        <is>
          <t>Invertida</t>
        </is>
      </c>
      <c r="AA34" s="33" t="n">
        <v>12</v>
      </c>
      <c r="AB34" s="32">
        <f>IF(Z34="Colgante",MIN(C34*100/4,J34+16*AA34),J34)</f>
        <v/>
      </c>
      <c r="AC34" s="32">
        <f>IF(Z34="Invertida",MIN(C34*100/4,J34+16*AA34),J34)</f>
        <v/>
      </c>
      <c r="AD34" s="33" t="n"/>
      <c r="AE34" s="33" t="n"/>
      <c r="AF34" s="33" t="n">
        <v>0</v>
      </c>
      <c r="AG34" s="33" t="n">
        <v>1</v>
      </c>
      <c r="AH34" s="33" t="n">
        <v>3</v>
      </c>
    </row>
  </sheetData>
  <mergeCells count="18">
    <mergeCell ref="F2:G2"/>
    <mergeCell ref="J2:L2"/>
    <mergeCell ref="A4:A25"/>
    <mergeCell ref="D2:E2"/>
    <mergeCell ref="P2:R2"/>
    <mergeCell ref="S2:U2"/>
    <mergeCell ref="A26:A34"/>
    <mergeCell ref="I2:I3"/>
    <mergeCell ref="A1:AH1"/>
    <mergeCell ref="B2:B3"/>
    <mergeCell ref="A2:A3"/>
    <mergeCell ref="V2"/>
    <mergeCell ref="C2:C3"/>
    <mergeCell ref="X2:X3"/>
    <mergeCell ref="M2:O2"/>
    <mergeCell ref="H2:H3"/>
    <mergeCell ref="W2:W3"/>
    <mergeCell ref="Y2:AH2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4" showDropDown="0" showInputMessage="0" showErrorMessage="0" allowBlank="1" type="list">
      <formula1>=Datos!$A$19:$A$23</formula1>
    </dataValidation>
    <dataValidation sqref="Z4:Z34" showDropDown="0" showInputMessage="0" showErrorMessage="0" allowBlank="1" type="list">
      <formula1>"Invertida,Colgante"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VI 06 mide 14,00 m en total y es el cuarto borde de L07. Sobre su eje hay cuatro</t>
        </is>
      </c>
    </row>
    <row r="38">
      <c r="A38" s="36" t="inlineStr"/>
      <c r="B38" s="37" t="inlineStr">
        <is>
          <t>columnas, de modo que trabaja como viga continua de tres tramos de 4,10, 4,32 y</t>
        </is>
      </c>
    </row>
    <row r="39">
      <c r="A39" s="36" t="inlineStr"/>
      <c r="B39" s="37" t="inlineStr">
        <is>
          <t>6,53 m. Se calcula con el mayor, 6,53 m, que es el que gobierna.</t>
        </is>
      </c>
    </row>
    <row r="40">
      <c r="A40" s="36" t="inlineStr"/>
      <c r="B40" s="37" t="inlineStr">
        <is>
          <t>hormigon visto: una viga colgante quedaria a la vista. El computo metrico las</t>
        </is>
      </c>
    </row>
    <row r="41">
      <c r="A41" s="36" t="inlineStr"/>
      <c r="B41" s="37" t="inlineStr">
        <is>
          <t>agrupa a las 28 bajo el rubro Vigas invertidas 15x70.</t>
        </is>
      </c>
    </row>
    <row r="42">
      <c r="A42" s="36" t="inlineStr"/>
      <c r="B42" s="37" t="inlineStr">
        <is>
          <t>Esto define donde la losa aporta ala comprimida:</t>
        </is>
      </c>
    </row>
    <row r="43">
      <c r="A43" s="36" t="inlineStr"/>
      <c r="B43" s="37" t="inlineStr">
        <is>
          <t xml:space="preserve">  viga COLGANTE  -&gt; la losa esta arriba  -&gt; ala util en el TRAMO (momento positivo)</t>
        </is>
      </c>
    </row>
    <row r="44">
      <c r="A44" s="36" t="inlineStr"/>
      <c r="B44" s="37" t="inlineStr">
        <is>
          <t xml:space="preserve">  viga INVERTIDA -&gt; la losa esta abajo   -&gt; ala util en el APOYO (momento negativo)</t>
        </is>
      </c>
    </row>
    <row r="45">
      <c r="A45" s="36" t="inlineStr"/>
      <c r="B45" s="37" t="inlineStr">
        <is>
          <t>En la zona con ala se adopta b efectivo = min(L/4 ; b + 16 hf); en la otra, la</t>
        </is>
      </c>
    </row>
    <row r="46">
      <c r="A46" s="36" t="inlineStr"/>
      <c r="B46" s="37" t="inlineStr">
        <is>
          <t>seccion es rectangular de ancho b. Las columnas b ef tramo y b ef apoyo lo muestran.</t>
        </is>
      </c>
    </row>
    <row r="47">
      <c r="A47" s="36" t="inlineStr"/>
      <c r="B47" s="37" t="inlineStr">
        <is>
          <t>PENDIENTE: las invertidas de BORDE (VI 01a, 01b, 07a, 07b, 07c, 11a, 11b, 11c,</t>
        </is>
      </c>
    </row>
    <row r="48">
      <c r="A48" s="36" t="inlineStr"/>
      <c r="B48" s="37" t="inlineStr">
        <is>
          <t>15a y 15b) reciben la reaccion de la losa de un solo lado, excentrica respecto</t>
        </is>
      </c>
    </row>
    <row r="49">
      <c r="A49" s="36" t="inlineStr"/>
      <c r="B49" s="37" t="inlineStr">
        <is>
          <t>de su eje, y quedan sometidas a TORSION. Esta planilla no la verifica.</t>
        </is>
      </c>
    </row>
    <row r="50">
      <c r="A50" s="36" t="inlineStr"/>
      <c r="B50" s="37" t="inlineStr"/>
    </row>
    <row r="51">
      <c r="A51" s="36" t="inlineStr">
        <is>
          <t>7. RESULTADO</t>
        </is>
      </c>
      <c r="B51" s="36" t="inlineStr">
        <is>
          <t>30 vigas: 21 del entrepiso PA y 9 de la losa de techo. 28 verifican.</t>
        </is>
      </c>
    </row>
    <row r="52">
      <c r="A52" s="36" t="inlineStr"/>
      <c r="B52" s="37" t="inlineStr">
        <is>
          <t>VI 02 (15x60, 9,88 m): recibe L02 y L03, B = 2,88 m. La armadura de apoyo</t>
        </is>
      </c>
    </row>
    <row r="53">
      <c r="A53" s="36" t="inlineStr"/>
      <c r="B53" s="37" t="inlineStr">
        <is>
          <t xml:space="preserve">   necesaria ronda los 25 cm2 y supera la cuantia maxima. Los apoyos estan</t>
        </is>
      </c>
    </row>
    <row r="54">
      <c r="A54" s="36" t="inlineStr"/>
      <c r="B54" s="37" t="inlineStr">
        <is>
          <t xml:space="preserve">   confirmados en obra: tabique T07 perpendicular arriba y COL 02 abajo, sin apoyo</t>
        </is>
      </c>
    </row>
    <row r="55">
      <c r="A55" s="36" t="inlineStr"/>
      <c r="B55" s="37" t="inlineStr">
        <is>
          <t xml:space="preserve">   intermedio. Para esta carga la seccion necesaria es 15x75.</t>
        </is>
      </c>
    </row>
    <row r="56">
      <c r="A56" s="36" t="inlineStr"/>
      <c r="B56" s="37" t="inlineStr">
        <is>
          <t>VCH 03a (40x13, 3,83 m). Recibe L03, B = 2,08 m, y no</t>
        </is>
      </c>
    </row>
    <row r="57">
      <c r="A57" s="36" t="inlineStr"/>
      <c r="B57" s="37" t="inlineStr">
        <is>
          <t xml:space="preserve">   verifica: haria falta mas espesor. Tampoco verifica con B = 0,60 m, asi</t>
        </is>
      </c>
    </row>
    <row r="58">
      <c r="A58" s="36" t="inlineStr"/>
      <c r="B58" s="37" t="inlineStr">
        <is>
          <t xml:space="preserve">   que el problema no es la hipotesis de carga sino la relacion luz/espesor. Una viga</t>
        </is>
      </c>
    </row>
    <row r="59">
      <c r="A59" s="36" t="inlineStr"/>
      <c r="B59" s="37" t="inlineStr">
        <is>
          <t xml:space="preserve">   chata del mismo espesor que la losa no puede ser apoyo lineal de un pano de 4,15 m.</t>
        </is>
      </c>
    </row>
    <row r="60">
      <c r="A60" s="36" t="inlineStr"/>
      <c r="B60" s="37" t="inlineStr">
        <is>
          <t xml:space="preserve">   Revisar si tiene un muro debajo que acorte su luz libre.</t>
        </is>
      </c>
    </row>
    <row r="61">
      <c r="A61" s="36" t="inlineStr"/>
      <c r="B61" s="37" t="inlineStr">
        <is>
          <t>VCH 03a (40x13, 3,71 m): excede la cuantia maxima y no llega a la altura minima por</t>
        </is>
      </c>
    </row>
    <row r="62">
      <c r="A62" s="36" t="inlineStr"/>
      <c r="B62" s="37" t="inlineStr">
        <is>
          <t xml:space="preserve">   flecha. Revisar el ancho tributario: si solo recibe el muro y no losa, baja mucho.</t>
        </is>
      </c>
    </row>
    <row r="63">
      <c r="A63" s="36" t="inlineStr"/>
      <c r="B63" s="37" t="inlineStr"/>
    </row>
    <row r="64">
      <c r="A64" s="36" t="inlineStr">
        <is>
          <t>8. ALCANCE</t>
        </is>
      </c>
      <c r="B64" s="37" t="inlineStr">
        <is>
          <t>No se incluyen las 31 vigas de fundacion (VF01 a VF18c): su calculo depende de las</t>
        </is>
      </c>
    </row>
    <row r="65">
      <c r="A65" s="36" t="inlineStr"/>
      <c r="B65" s="37" t="inlineStr">
        <is>
          <t>cargas que bajan por las columnas y corresponde hacerlo despues. Tampoco losas ni columnas.</t>
        </is>
      </c>
    </row>
    <row r="66">
      <c r="A66" s="36" t="inlineStr"/>
      <c r="B66" s="37" t="inlineStr"/>
    </row>
    <row r="67">
      <c r="A67" s="36" t="inlineStr">
        <is>
          <t>LIMITACIONES</t>
        </is>
      </c>
      <c r="B67" s="36" t="inlineStr">
        <is>
          <t>El ancho tributario B esta relevado solo en</t>
        </is>
      </c>
    </row>
    <row r="68">
      <c r="A68" s="36" t="inlineStr"/>
      <c r="B68" s="37" t="inlineStr">
        <is>
          <t>VI 02 (0,80 m) y VCH 03a (2,08 m). En las demas sigue adoptado en 2,00 m, a falta</t>
        </is>
      </c>
    </row>
    <row r="69">
      <c r="A69" s="36" t="inlineStr"/>
      <c r="B69" s="37" t="inlineStr">
        <is>
          <t>hipotesis mas influyente del calculo: ajustarla viga por viga en la columna B trib.</t>
        </is>
      </c>
    </row>
    <row r="70">
      <c r="A70" s="36" t="inlineStr"/>
      <c r="B70" s="37" t="inlineStr">
        <is>
          <t>El esquema se asigno por criterio: continua si integra una serie a-b-c o si supera 5,5 m.</t>
        </is>
      </c>
    </row>
    <row r="71">
      <c r="A71" s="36" t="inlineStr"/>
      <c r="B7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2026-10-22T21:49:24Z</dcterms:created>
  <dcterms:modified xmlns:dcterms="http://purl.org/dc/terms/" xmlns:xsi="http://www.w3.org/2001/XMLSchema-instance" xsi:type="dcterms:W3CDTF">2026-10-22T21:49:24Z</dcterms:modified>
</cp:coreProperties>
</file>