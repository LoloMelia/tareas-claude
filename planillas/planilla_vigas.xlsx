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2095500" cy="571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borde: recibe la reaccion de la losa excentrica y queda sometida a TORSION, no verificada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borde: recibe la reaccion de la losa excentrica y queda sometida a TORSION, no verificada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0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70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USAR TEXTO VIEJO.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24" t="inlineStr">
        <is>
          <t>Continua</t>
        </is>
      </c>
      <c r="Z6" s="24" t="inlineStr">
        <is>
          <t>Invertida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2.689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Invertida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2.1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Invertida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0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Invertida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1.549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06</t>
        </is>
      </c>
      <c r="C10" s="22" t="n">
        <v>6.53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2</v>
      </c>
      <c r="R10" s="24" t="n">
        <v>20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Longitud total 14,00 m. Sobre su eje hay cuatro columnas: trabaja como viga continua de tres tramos de 4,10, 4,32 y 6,53 m. Se calcula con el mayor. Es el cuarto borde de la losa cruzada L07. Longitud total 14,00 m. Sobre su eje hay cuatro columnas: trabaja como viga continua de tres tramos de 4,10, 4,32 y 6,53 m. Se calcula con el mayor. Es el cuarto borde de la losa cruzada L07.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1.549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07a</t>
        </is>
      </c>
      <c r="C11" s="22" t="n">
        <v>3.37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borde: recibe la reaccion de la losa excentrica y queda sometida a TORSION, no verificada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0.78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07b</t>
        </is>
      </c>
      <c r="C12" s="22" t="n">
        <v>4.03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3</v>
      </c>
      <c r="O12" s="24" t="n">
        <v>12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3</v>
      </c>
      <c r="R12" s="24" t="n">
        <v>12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30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Viga de borde: recibe la reaccion de la losa excentrica y queda sometida a TORSION, no verificada en esta planilla.</t>
        </is>
      </c>
      <c r="Y12" s="24" t="inlineStr">
        <is>
          <t>Continua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0</v>
      </c>
      <c r="AE12" s="24" t="n">
        <v>2.6</v>
      </c>
      <c r="AF12" s="24" t="n">
        <v>3</v>
      </c>
    </row>
    <row r="13" ht="46" customHeight="1">
      <c r="A13" s="27" t="n"/>
      <c r="B13" s="21" t="inlineStr">
        <is>
          <t>VI 07c</t>
        </is>
      </c>
      <c r="C13" s="22" t="n">
        <v>8.6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4</v>
      </c>
      <c r="O13" s="24" t="n">
        <v>20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4</v>
      </c>
      <c r="R13" s="24" t="n">
        <v>25</v>
      </c>
      <c r="S13" s="25">
        <f>F13/(J13*0.85*K13)</f>
        <v/>
      </c>
      <c r="T13" s="25">
        <f>G13/(J13*0.85*K13)</f>
        <v/>
      </c>
      <c r="U13" s="24" t="n">
        <v>8</v>
      </c>
      <c r="V13" s="24" t="n">
        <v>10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26" t="inlineStr">
        <is>
          <t>Armadura en 2 capas (rec. 6 cm). Apoya en columna COL 02 de 15x30 y en el tabique T05b. Viga de borde: recibe la reaccion de la losa excentrica y queda sometida a TORSION, no verificada en esta planilla.</t>
        </is>
      </c>
      <c r="Y13" s="24" t="inlineStr">
        <is>
          <t>Empotrada-apoyada</t>
        </is>
      </c>
      <c r="Z13" s="24" t="inlineStr">
        <is>
          <t>Invertida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3.71</v>
      </c>
      <c r="AE13" s="24" t="n">
        <v>2.6</v>
      </c>
      <c r="AF13" s="24" t="n">
        <v>6</v>
      </c>
    </row>
    <row r="14" ht="46" customHeight="1">
      <c r="A14" s="27" t="n"/>
      <c r="B14" s="21" t="inlineStr">
        <is>
          <t>VI 08a</t>
        </is>
      </c>
      <c r="C14" s="22" t="n">
        <v>3.65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Invertida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1.065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08b</t>
        </is>
      </c>
      <c r="C15" s="22" t="n">
        <v>4.87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n">
        <v>3</v>
      </c>
      <c r="R15" s="24" t="n">
        <v>12</v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Continua</t>
        </is>
      </c>
      <c r="Z15" s="24" t="inlineStr">
        <is>
          <t>Invertida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1.065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09</t>
        </is>
      </c>
      <c r="C16" s="22" t="n">
        <v>4.87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inlineStr">
        <is>
          <t>---</t>
        </is>
      </c>
      <c r="R16" s="24" t="inlineStr">
        <is>
          <t>---</t>
        </is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Simplemente apoyada</t>
        </is>
      </c>
      <c r="Z16" s="24" t="inlineStr">
        <is>
          <t>Invertida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1.549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10a</t>
        </is>
      </c>
      <c r="C17" s="22" t="n">
        <v>2.55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Invertida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0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10b</t>
        </is>
      </c>
      <c r="C18" s="22" t="n">
        <v>4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Invertida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1.825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10c</t>
        </is>
      </c>
      <c r="C19" s="22" t="n">
        <v>3.6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3</v>
      </c>
      <c r="O19" s="24" t="n">
        <v>12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3</v>
      </c>
      <c r="R19" s="24" t="n">
        <v>12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30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7" t="n"/>
      <c r="Y19" s="24" t="inlineStr">
        <is>
          <t>Continua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0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11a</t>
        </is>
      </c>
      <c r="C20" s="22" t="n">
        <v>7.68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2</v>
      </c>
      <c r="O20" s="24" t="n">
        <v>20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2</v>
      </c>
      <c r="R20" s="24" t="n">
        <v>25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10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El plano rotula 'VI 111'; se interpreta 11a por el orden a-b-c. Sin apoyo intermedio, empotrada en tabiques. Apoya en columna COL 02 de 15x30 y en el tabique T08a. Viga de borde: recibe la reaccion de la losa excentrica y queda sometida a TORSION, no verificada en esta planilla.</t>
        </is>
      </c>
      <c r="Y20" s="24" t="inlineStr">
        <is>
          <t>Empotrada-apoyada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1.825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11b</t>
        </is>
      </c>
      <c r="C21" s="22" t="n">
        <v>3.45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borde: recibe la reaccion de la losa excentrica y queda sometida a TORSION, no verificada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0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VI 11c</t>
        </is>
      </c>
      <c r="C22" s="22" t="n">
        <v>5.02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15</v>
      </c>
      <c r="K22" s="7">
        <f>L22-AF22</f>
        <v/>
      </c>
      <c r="L22" s="24" t="n">
        <v>70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3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3</v>
      </c>
      <c r="R22" s="24" t="n">
        <v>12</v>
      </c>
      <c r="S22" s="25">
        <f>F22/(J22*0.85*K22)</f>
        <v/>
      </c>
      <c r="T22" s="25">
        <f>G22/(J22*0.85*K22)</f>
        <v/>
      </c>
      <c r="U22" s="24" t="n">
        <v>6</v>
      </c>
      <c r="V22" s="24" t="n">
        <v>30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Viga de borde: recibe la reaccion de la losa excentrica y queda sometida a TORSION, no verificada en esta planilla.</t>
        </is>
      </c>
      <c r="Y22" s="24" t="inlineStr">
        <is>
          <t>Continua</t>
        </is>
      </c>
      <c r="Z22" s="24" t="inlineStr">
        <is>
          <t>Invertida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1.549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03a</t>
        </is>
      </c>
      <c r="C23" s="22" t="n">
        <v>3.71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8</v>
      </c>
      <c r="O23" s="24" t="n">
        <v>12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5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Excede cuantia maxima y no llega a la altura minima por flecha. Revisar el ancho tributario real. 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2.1</v>
      </c>
      <c r="AE23" s="24" t="n">
        <v>2.6</v>
      </c>
      <c r="AF23" s="24" t="n">
        <v>3</v>
      </c>
    </row>
    <row r="24" ht="46" customHeight="1">
      <c r="A24" s="27" t="n"/>
      <c r="B24" s="21" t="inlineStr">
        <is>
          <t>VCH 03b</t>
        </is>
      </c>
      <c r="C24" s="22" t="n">
        <v>2.13</v>
      </c>
      <c r="D24" s="23">
        <f>(Datos!$B$10*(VLOOKUP($A$4,Datos!$A$14:$E$15,2,0)*AD24+Datos!$B$7*J24*L24/10000+Datos!$B$16*AE24)+Datos!$B$11*VLOOKUP($A$4,Datos!$A$14:$E$15,3,0)*AD24)</f>
        <v/>
      </c>
      <c r="E24" s="7" t="n"/>
      <c r="F24" s="23">
        <f>VLOOKUP(Y24,Datos!$A$19:$E$23,4,0)*D24*C24</f>
        <v/>
      </c>
      <c r="G24" s="23">
        <f>F24</f>
        <v/>
      </c>
      <c r="H24" s="23">
        <f>VLOOKUP(Y24,Datos!$A$19:$E$23,2,0)*D24*C24^2</f>
        <v/>
      </c>
      <c r="I24" s="23">
        <f>IF(VLOOKUP(Y24,Datos!$A$19:$E$23,3,0)=0,"---",VLOOKUP(Y24,Datos!$A$19:$E$23,3,0)*D24*C24^2)</f>
        <v/>
      </c>
      <c r="J24" s="24" t="n">
        <v>40</v>
      </c>
      <c r="K24" s="7">
        <f>L24-AF24</f>
        <v/>
      </c>
      <c r="L24" s="24" t="n">
        <v>13</v>
      </c>
      <c r="M24" s="25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24" t="n">
        <v>10</v>
      </c>
      <c r="O24" s="24" t="n">
        <v>6</v>
      </c>
      <c r="P24" s="25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24" t="n">
        <v>8</v>
      </c>
      <c r="R24" s="24" t="n">
        <v>8</v>
      </c>
      <c r="S24" s="25">
        <f>F24/(J24*0.85*K24)</f>
        <v/>
      </c>
      <c r="T24" s="25">
        <f>G24/(J24*0.85*K24)</f>
        <v/>
      </c>
      <c r="U24" s="24" t="n">
        <v>12</v>
      </c>
      <c r="V24" s="24" t="n">
        <v>5</v>
      </c>
      <c r="W24" s="7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26" t="inlineStr">
        <is>
          <t>Separacion de estribos menor a 10 cm: revisar constructividad.</t>
        </is>
      </c>
      <c r="Y24" s="24" t="inlineStr">
        <is>
          <t>Continua</t>
        </is>
      </c>
      <c r="Z24" s="24" t="inlineStr">
        <is>
          <t>Colgante</t>
        </is>
      </c>
      <c r="AA24" s="24" t="n">
        <v>12</v>
      </c>
      <c r="AB24" s="7">
        <f>IF(Z24="Colgante",MIN(C24*100/4,J24+16*AA24),J24)</f>
        <v/>
      </c>
      <c r="AC24" s="7">
        <f>IF(Z24="Invertida",MIN(C24*100/4,J24+16*AA24),J24)</f>
        <v/>
      </c>
      <c r="AD24" s="24" t="n">
        <v>2.1</v>
      </c>
      <c r="AE24" s="24" t="n">
        <v>2.6</v>
      </c>
      <c r="AF24" s="24" t="n">
        <v>3</v>
      </c>
    </row>
    <row r="25" ht="46" customHeight="1">
      <c r="A25" s="28" t="n"/>
      <c r="B25" s="29" t="inlineStr">
        <is>
          <t>VCH 05</t>
        </is>
      </c>
      <c r="C25" s="30" t="n">
        <v>3.71</v>
      </c>
      <c r="D25" s="31">
        <f>(Datos!$B$10*(VLOOKUP($A$4,Datos!$A$14:$E$15,2,0)*AD25+Datos!$B$7*J25*L25/10000+Datos!$B$16*AE25)+Datos!$B$11*VLOOKUP($A$4,Datos!$A$14:$E$15,3,0)*AD25)</f>
        <v/>
      </c>
      <c r="E25" s="32" t="n"/>
      <c r="F25" s="31">
        <f>VLOOKUP(Y25,Datos!$A$19:$E$23,4,0)*D25*C25</f>
        <v/>
      </c>
      <c r="G25" s="31">
        <f>F25</f>
        <v/>
      </c>
      <c r="H25" s="31">
        <f>VLOOKUP(Y25,Datos!$A$19:$E$23,2,0)*D25*C25^2</f>
        <v/>
      </c>
      <c r="I25" s="31">
        <f>IF(VLOOKUP(Y25,Datos!$A$19:$E$23,3,0)=0,"---",VLOOKUP(Y25,Datos!$A$19:$E$23,3,0)*D25*C25^2)</f>
        <v/>
      </c>
      <c r="J25" s="33" t="n">
        <v>12</v>
      </c>
      <c r="K25" s="32">
        <f>L25-AF25</f>
        <v/>
      </c>
      <c r="L25" s="33" t="n">
        <v>45</v>
      </c>
      <c r="M25" s="34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33" t="n">
        <v>2</v>
      </c>
      <c r="O25" s="33" t="n">
        <v>12</v>
      </c>
      <c r="P25" s="34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33" t="inlineStr">
        <is>
          <t>---</t>
        </is>
      </c>
      <c r="R25" s="33" t="inlineStr">
        <is>
          <t>---</t>
        </is>
      </c>
      <c r="S25" s="34">
        <f>F25/(J25*0.85*K25)</f>
        <v/>
      </c>
      <c r="T25" s="34">
        <f>G25/(J25*0.85*K25)</f>
        <v/>
      </c>
      <c r="U25" s="33" t="n">
        <v>6</v>
      </c>
      <c r="V25" s="33" t="n">
        <v>20</v>
      </c>
      <c r="W25" s="32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32" t="n"/>
      <c r="Y25" s="33" t="inlineStr">
        <is>
          <t>Simplemente apoyada</t>
        </is>
      </c>
      <c r="Z25" s="33" t="inlineStr">
        <is>
          <t>Colgante</t>
        </is>
      </c>
      <c r="AA25" s="33" t="n">
        <v>12</v>
      </c>
      <c r="AB25" s="32">
        <f>IF(Z25="Colgante",MIN(C25*100/4,J25+16*AA25),J25)</f>
        <v/>
      </c>
      <c r="AC25" s="32">
        <f>IF(Z25="Invertida",MIN(C25*100/4,J25+16*AA25),J25)</f>
        <v/>
      </c>
      <c r="AD25" s="33" t="n">
        <v>0</v>
      </c>
      <c r="AE25" s="33" t="n">
        <v>2.6</v>
      </c>
      <c r="AF25" s="33" t="n">
        <v>3</v>
      </c>
    </row>
    <row r="26" ht="46" customHeight="1">
      <c r="A26" s="20" t="inlineStr">
        <is>
          <t>TECHO</t>
        </is>
      </c>
      <c r="B26" s="21" t="inlineStr">
        <is>
          <t>VI 12</t>
        </is>
      </c>
      <c r="C26" s="22" t="n">
        <v>9.9</v>
      </c>
      <c r="D26" s="23">
        <f>(Datos!$B$10*(VLOOKUP($A$26,Datos!$A$14:$E$15,2,0)*AD26+Datos!$B$7*J26*L26/10000+Datos!$B$16*AE26)+Datos!$B$11*VLOOKUP($A$26,Datos!$A$14:$E$15,3,0)*AD26)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70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25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15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Invertida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2.1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13a</t>
        </is>
      </c>
      <c r="C27" s="22" t="n">
        <v>6</v>
      </c>
      <c r="D27" s="23">
        <f>(Datos!$B$10*(VLOOKUP($A$26,Datos!$A$14:$E$15,2,0)*AD27+Datos!$B$7*J27*L27/10000+Datos!$B$16*AE27)+Datos!$B$11*VLOOKUP($A$26,Datos!$A$14:$E$15,3,0)*AD27)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70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2</v>
      </c>
      <c r="O27" s="24" t="n">
        <v>16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2</v>
      </c>
      <c r="R27" s="24" t="n">
        <v>20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15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Invertida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3.799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13b</t>
        </is>
      </c>
      <c r="C28" s="22" t="n">
        <v>3.75</v>
      </c>
      <c r="D28" s="23">
        <f>(Datos!$B$10*(VLOOKUP($A$26,Datos!$A$14:$E$15,2,0)*AD28+Datos!$B$7*J28*L28/10000+Datos!$B$16*AE28)+Datos!$B$11*VLOOKUP($A$26,Datos!$A$14:$E$15,3,0)*AD28)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Invertida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2.1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14</t>
        </is>
      </c>
      <c r="C29" s="22" t="n">
        <v>6</v>
      </c>
      <c r="D29" s="23">
        <f>(Datos!$B$10*(VLOOKUP($A$26,Datos!$A$14:$E$15,2,0)*AD29+Datos!$B$7*J29*L29/10000+Datos!$B$16*AE29)+Datos!$B$11*VLOOKUP($A$26,Datos!$A$14:$E$15,3,0)*AD29)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7" t="n"/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1.699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15a</t>
        </is>
      </c>
      <c r="C30" s="22" t="n">
        <v>4.03</v>
      </c>
      <c r="D30" s="23">
        <f>(Datos!$B$10*(VLOOKUP($A$26,Datos!$A$14:$E$15,2,0)*AD30+Datos!$B$7*J30*L30/10000+Datos!$B$16*AE30)+Datos!$B$11*VLOOKUP($A$26,Datos!$A$14:$E$15,3,0)*AD30)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borde: recibe la reaccion de la losa excentrica y queda sometida a TORSION, no verificada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0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15b</t>
        </is>
      </c>
      <c r="C31" s="22" t="n">
        <v>4.85</v>
      </c>
      <c r="D31" s="23">
        <f>(Datos!$B$10*(VLOOKUP($A$26,Datos!$A$14:$E$15,2,0)*AD31+Datos!$B$7*J31*L31/10000+Datos!$B$16*AE31)+Datos!$B$11*VLOOKUP($A$26,Datos!$A$14:$E$15,3,0)*AD31)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26" t="inlineStr">
        <is>
          <t>Viga de borde: recibe la reaccion de la losa excentrica y queda sometida a TORSION, no verificada en esta planilla.</t>
        </is>
      </c>
      <c r="Y31" s="24" t="inlineStr">
        <is>
          <t>Continua</t>
        </is>
      </c>
      <c r="Z31" s="24" t="inlineStr">
        <is>
          <t>Invertida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1.699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16a</t>
        </is>
      </c>
      <c r="C32" s="22" t="n">
        <v>3.58</v>
      </c>
      <c r="D32" s="23">
        <f>(Datos!$B$10*(VLOOKUP($A$26,Datos!$A$14:$E$15,2,0)*AD32+Datos!$B$7*J32*L32/10000+Datos!$B$16*AE32)+Datos!$B$11*VLOOKUP($A$26,Datos!$A$14:$E$15,3,0)*AD32)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Invertida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1.699</v>
      </c>
      <c r="AE32" s="24" t="n">
        <v>1</v>
      </c>
      <c r="AF32" s="24" t="n">
        <v>3</v>
      </c>
    </row>
    <row r="33" ht="46" customHeight="1">
      <c r="A33" s="27" t="n"/>
      <c r="B33" s="21" t="inlineStr">
        <is>
          <t>VI 16b</t>
        </is>
      </c>
      <c r="C33" s="22" t="n">
        <v>1.12</v>
      </c>
      <c r="D33" s="23">
        <f>(Datos!$B$10*(VLOOKUP($A$26,Datos!$A$14:$E$15,2,0)*AD33+Datos!$B$7*J33*L33/10000+Datos!$B$16*AE33)+Datos!$B$11*VLOOKUP($A$26,Datos!$A$14:$E$15,3,0)*AD33)</f>
        <v/>
      </c>
      <c r="E33" s="7" t="n"/>
      <c r="F33" s="23">
        <f>VLOOKUP(Y33,Datos!$A$19:$E$23,4,0)*D33*C33</f>
        <v/>
      </c>
      <c r="G33" s="23">
        <f>F33</f>
        <v/>
      </c>
      <c r="H33" s="23">
        <f>VLOOKUP(Y33,Datos!$A$19:$E$23,2,0)*D33*C33^2</f>
        <v/>
      </c>
      <c r="I33" s="23">
        <f>IF(VLOOKUP(Y33,Datos!$A$19:$E$23,3,0)=0,"---",VLOOKUP(Y33,Datos!$A$19:$E$23,3,0)*D33*C33^2)</f>
        <v/>
      </c>
      <c r="J33" s="24" t="n">
        <v>15</v>
      </c>
      <c r="K33" s="7">
        <f>L33-AF33</f>
        <v/>
      </c>
      <c r="L33" s="24" t="n">
        <v>70</v>
      </c>
      <c r="M33" s="25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24" t="n">
        <v>3</v>
      </c>
      <c r="O33" s="24" t="n">
        <v>12</v>
      </c>
      <c r="P33" s="25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24" t="n">
        <v>3</v>
      </c>
      <c r="R33" s="24" t="n">
        <v>12</v>
      </c>
      <c r="S33" s="25">
        <f>F33/(J33*0.85*K33)</f>
        <v/>
      </c>
      <c r="T33" s="25">
        <f>G33/(J33*0.85*K33)</f>
        <v/>
      </c>
      <c r="U33" s="24" t="n">
        <v>6</v>
      </c>
      <c r="V33" s="24" t="n">
        <v>30</v>
      </c>
      <c r="W33" s="7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7" t="n"/>
      <c r="Y33" s="24" t="inlineStr">
        <is>
          <t>Continua</t>
        </is>
      </c>
      <c r="Z33" s="24" t="inlineStr">
        <is>
          <t>Invertida</t>
        </is>
      </c>
      <c r="AA33" s="24" t="n">
        <v>12</v>
      </c>
      <c r="AB33" s="7">
        <f>IF(Z33="Colgante",MIN(C33*100/4,J33+16*AA33),J33)</f>
        <v/>
      </c>
      <c r="AC33" s="7">
        <f>IF(Z33="Invertida",MIN(C33*100/4,J33+16*AA33),J33)</f>
        <v/>
      </c>
      <c r="AD33" s="24" t="n">
        <v>1.699</v>
      </c>
      <c r="AE33" s="24" t="n">
        <v>1</v>
      </c>
      <c r="AF33" s="24" t="n">
        <v>3</v>
      </c>
    </row>
    <row r="34" ht="46" customHeight="1">
      <c r="A34" s="28" t="n"/>
      <c r="B34" s="29" t="inlineStr">
        <is>
          <t>VI 17</t>
        </is>
      </c>
      <c r="C34" s="30" t="n">
        <v>4.35</v>
      </c>
      <c r="D34" s="31">
        <f>(Datos!$B$10*(VLOOKUP($A$26,Datos!$A$14:$E$15,2,0)*AD34+Datos!$B$7*J34*L34/10000+Datos!$B$16*AE34)+Datos!$B$11*VLOOKUP($A$26,Datos!$A$14:$E$15,3,0)*AD34)</f>
        <v/>
      </c>
      <c r="E34" s="32" t="n"/>
      <c r="F34" s="31">
        <f>VLOOKUP(Y34,Datos!$A$19:$E$23,4,0)*D34*C34</f>
        <v/>
      </c>
      <c r="G34" s="31">
        <f>F34</f>
        <v/>
      </c>
      <c r="H34" s="31">
        <f>VLOOKUP(Y34,Datos!$A$19:$E$23,2,0)*D34*C34^2</f>
        <v/>
      </c>
      <c r="I34" s="31">
        <f>IF(VLOOKUP(Y34,Datos!$A$19:$E$23,3,0)=0,"---",VLOOKUP(Y34,Datos!$A$19:$E$23,3,0)*D34*C34^2)</f>
        <v/>
      </c>
      <c r="J34" s="33" t="n">
        <v>15</v>
      </c>
      <c r="K34" s="32">
        <f>L34-AF34</f>
        <v/>
      </c>
      <c r="L34" s="33" t="n">
        <v>70</v>
      </c>
      <c r="M34" s="34">
        <f>IF(NOT(ISNUMBER(H34)),"---",IF(H34&lt;=0,"---",IF(H34*100/(Datos!$B$8*AB34*K34^2*Datos!$B$5)&gt;=0.5,"REVISAR",MAX((1-SQRT(1-2*H34*100/(Datos!$B$8*AB34*K34^2*Datos!$B$5)))*AB34*K34*Datos!$B$5/Datos!$B$6,0.0033*J34*K34))))</f>
        <v/>
      </c>
      <c r="N34" s="33" t="n">
        <v>3</v>
      </c>
      <c r="O34" s="33" t="n">
        <v>12</v>
      </c>
      <c r="P34" s="34">
        <f>IF(NOT(ISNUMBER(I34)),"---",IF(I34&lt;=0,"---",IF(I34*100/(Datos!$B$8*AC34*K34^2*Datos!$B$5)&gt;=0.5,"REVISAR",MAX((1-SQRT(1-2*I34*100/(Datos!$B$8*AC34*K34^2*Datos!$B$5)))*AC34*K34*Datos!$B$5/Datos!$B$6,0.0033*J34*K34))))</f>
        <v/>
      </c>
      <c r="Q34" s="33" t="inlineStr">
        <is>
          <t>---</t>
        </is>
      </c>
      <c r="R34" s="33" t="inlineStr">
        <is>
          <t>---</t>
        </is>
      </c>
      <c r="S34" s="34">
        <f>F34/(J34*0.85*K34)</f>
        <v/>
      </c>
      <c r="T34" s="34">
        <f>G34/(J34*0.85*K34)</f>
        <v/>
      </c>
      <c r="U34" s="33" t="n">
        <v>6</v>
      </c>
      <c r="V34" s="33" t="n">
        <v>30</v>
      </c>
      <c r="W34" s="32">
        <f>IF(OR(M34="REVISAR",P34="REVISAR"),"SECCION INSUF.",IF(NOT(AND(M34&lt;&gt;"REVISAR",P34&lt;&gt;"REVISAR",IF(ISNUMBER(M34),N34*PI()*(O34/10)^2/4&gt;=M34,TRUE),IF(ISNUMBER(P34),Q34*PI()*(R34/10)^2/4&gt;=P34,TRUE),IF(ISNUMBER(M34),M34&lt;=0.0163*AB34*K34,TRUE),IF(ISNUMBER(P34),P34&lt;=0.0163*AC34*K34,TRUE))),"NO VERIFICA FLEX.",IF(NOT(F34&lt;=Datos!$B$9*(0.53*SQRT(Datos!$B$5)*J34*K34+2*PI()*(U34/10)^2/4*Datos!$B$6*K34/V34)),"NO VERIF. CORTE",IF(NOT(L34&gt;=C34*100/VLOOKUP(Y34,Datos!$A$19:$E$23,5,0)),"VERIFICAR FLECHA","VERIFICA"))))</f>
        <v/>
      </c>
      <c r="X34" s="32" t="n"/>
      <c r="Y34" s="33" t="inlineStr">
        <is>
          <t>Simplemente apoyada</t>
        </is>
      </c>
      <c r="Z34" s="33" t="inlineStr">
        <is>
          <t>Invertida</t>
        </is>
      </c>
      <c r="AA34" s="33" t="n">
        <v>12</v>
      </c>
      <c r="AB34" s="32">
        <f>IF(Z34="Colgante",MIN(C34*100/4,J34+16*AA34),J34)</f>
        <v/>
      </c>
      <c r="AC34" s="32">
        <f>IF(Z34="Invertida",MIN(C34*100/4,J34+16*AA34),J34)</f>
        <v/>
      </c>
      <c r="AD34" s="33" t="n">
        <v>0</v>
      </c>
      <c r="AE34" s="33" t="n">
        <v>1</v>
      </c>
      <c r="AF34" s="33" t="n">
        <v>3</v>
      </c>
    </row>
  </sheetData>
  <mergeCells count="18">
    <mergeCell ref="F2:G2"/>
    <mergeCell ref="J2:L2"/>
    <mergeCell ref="A4:A25"/>
    <mergeCell ref="D2:E2"/>
    <mergeCell ref="A1:AF1"/>
    <mergeCell ref="P2:R2"/>
    <mergeCell ref="S2:U2"/>
    <mergeCell ref="A26:A34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4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4" showDropDown="0" showInputMessage="0" showErrorMessage="0" allowBlank="1" type="list">
      <formula1>=Datos!$A$19:$A$23</formula1>
    </dataValidation>
    <dataValidation sqref="Z4:Z34" showDropDown="0" showInputMessage="0" showErrorMessage="0" allowBlank="1" type="list">
      <formula1>"Invertida,Colgante"</formula1>
    </dataValidation>
    <dataValidation sqref="O4:O34 R4:R34 U4:U34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losa. Lo confirman las cotas del plano y el hecho de que el cielorraso sea de</t>
        </is>
      </c>
    </row>
    <row r="37">
      <c r="A37" s="36" t="inlineStr"/>
      <c r="B37" s="37" t="inlineStr">
        <is>
          <t>VI 06 mide 14,00 m en total y es el cuarto borde de L07. Sobre su eje hay cuatro</t>
        </is>
      </c>
    </row>
    <row r="38">
      <c r="A38" s="36" t="inlineStr"/>
      <c r="B38" s="37" t="inlineStr">
        <is>
          <t>columnas, de modo que trabaja como viga continua de tres tramos de 4,10, 4,32 y</t>
        </is>
      </c>
    </row>
    <row r="39">
      <c r="A39" s="36" t="inlineStr"/>
      <c r="B39" s="37" t="inlineStr">
        <is>
          <t>6,53 m. Se calcula con el mayor, 6,53 m, que es el que gobierna.</t>
        </is>
      </c>
    </row>
    <row r="40">
      <c r="A40" s="36" t="inlineStr"/>
      <c r="B40" s="37" t="inlineStr">
        <is>
          <t>hormigon visto: una viga colgante quedaria a la vista. El computo metrico las</t>
        </is>
      </c>
    </row>
    <row r="41">
      <c r="A41" s="36" t="inlineStr"/>
      <c r="B41" s="37" t="inlineStr">
        <is>
          <t>agrupa a las 28 bajo el rubro Vigas invertidas 15x70.</t>
        </is>
      </c>
    </row>
    <row r="42">
      <c r="A42" s="36" t="inlineStr"/>
      <c r="B42" s="37" t="inlineStr">
        <is>
          <t>Esto define donde la losa aporta ala comprimida:</t>
        </is>
      </c>
    </row>
    <row r="43">
      <c r="A43" s="36" t="inlineStr"/>
      <c r="B43" s="37" t="inlineStr">
        <is>
          <t xml:space="preserve">  viga COLGANTE  -&gt; la losa esta arriba  -&gt; ala util en el TRAMO (momento positivo)</t>
        </is>
      </c>
    </row>
    <row r="44">
      <c r="A44" s="36" t="inlineStr"/>
      <c r="B44" s="37" t="inlineStr">
        <is>
          <t xml:space="preserve">  viga INVERTIDA -&gt; la losa esta abajo   -&gt; ala util en el APOYO (momento negativo)</t>
        </is>
      </c>
    </row>
    <row r="45">
      <c r="A45" s="36" t="inlineStr"/>
      <c r="B45" s="37" t="inlineStr">
        <is>
          <t>En la zona con ala se adopta b efectivo = min(L/4 ; b + 16 hf); en la otra, la</t>
        </is>
      </c>
    </row>
    <row r="46">
      <c r="A46" s="36" t="inlineStr"/>
      <c r="B46" s="37" t="inlineStr">
        <is>
          <t>seccion es rectangular de ancho b. Las columnas b ef tramo y b ef apoyo lo muestran.</t>
        </is>
      </c>
    </row>
    <row r="47">
      <c r="A47" s="36" t="inlineStr"/>
      <c r="B47" s="37" t="inlineStr">
        <is>
          <t>PENDIENTE: las invertidas de BORDE (VI 01a, 01b, 07a, 07b, 07c, 11a, 11b, 11c,</t>
        </is>
      </c>
    </row>
    <row r="48">
      <c r="A48" s="36" t="inlineStr"/>
      <c r="B48" s="37" t="inlineStr">
        <is>
          <t>15a y 15b) reciben la reaccion de la losa de un solo lado, excentrica respecto</t>
        </is>
      </c>
    </row>
    <row r="49">
      <c r="A49" s="36" t="inlineStr"/>
      <c r="B49" s="37" t="inlineStr">
        <is>
          <t>de su eje, y quedan sometidas a TORSION. Esta planilla no la verifica.</t>
        </is>
      </c>
    </row>
    <row r="50">
      <c r="A50" s="36" t="inlineStr"/>
      <c r="B50" s="37" t="inlineStr"/>
    </row>
    <row r="51">
      <c r="A51" s="36" t="inlineStr">
        <is>
          <t>7. RESULTADO</t>
        </is>
      </c>
      <c r="B51" s="36" t="inlineStr">
        <is>
          <t>30 vigas: 21 del entrepiso PA y 9 de la losa de techo. 28 verifican.</t>
        </is>
      </c>
    </row>
    <row r="52">
      <c r="A52" s="36" t="inlineStr"/>
      <c r="B52" s="37" t="inlineStr">
        <is>
          <t>VI 02 (15x60, 9,88 m): recibe L02 y L03, B = 2,88 m. La armadura de apoyo</t>
        </is>
      </c>
    </row>
    <row r="53">
      <c r="A53" s="36" t="inlineStr"/>
      <c r="B53" s="37" t="inlineStr">
        <is>
          <t xml:space="preserve">   necesaria ronda los 25 cm2 y supera la cuantia maxima. Los apoyos estan</t>
        </is>
      </c>
    </row>
    <row r="54">
      <c r="A54" s="36" t="inlineStr"/>
      <c r="B54" s="37" t="inlineStr">
        <is>
          <t xml:space="preserve">   confirmados en obra: tabique T07 perpendicular arriba y COL 02 abajo, sin apoyo</t>
        </is>
      </c>
    </row>
    <row r="55">
      <c r="A55" s="36" t="inlineStr"/>
      <c r="B55" s="37" t="inlineStr">
        <is>
          <t xml:space="preserve">   intermedio. Para esta carga la seccion necesaria es 15x75.</t>
        </is>
      </c>
    </row>
    <row r="56">
      <c r="A56" s="36" t="inlineStr"/>
      <c r="B56" s="37" t="inlineStr">
        <is>
          <t>VCH 03a (40x13, 3,83 m). Recibe L03, B = 2,08 m, y no</t>
        </is>
      </c>
    </row>
    <row r="57">
      <c r="A57" s="36" t="inlineStr"/>
      <c r="B57" s="37" t="inlineStr">
        <is>
          <t xml:space="preserve">   verifica: haria falta mas espesor. Tampoco verifica con B = 0,60 m, asi</t>
        </is>
      </c>
    </row>
    <row r="58">
      <c r="A58" s="36" t="inlineStr"/>
      <c r="B58" s="37" t="inlineStr">
        <is>
          <t xml:space="preserve">   que el problema no es la hipotesis de carga sino la relacion luz/espesor. Una viga</t>
        </is>
      </c>
    </row>
    <row r="59">
      <c r="A59" s="36" t="inlineStr"/>
      <c r="B59" s="37" t="inlineStr">
        <is>
          <t xml:space="preserve">   chata del mismo espesor que la losa no puede ser apoyo lineal de un pano de 4,15 m.</t>
        </is>
      </c>
    </row>
    <row r="60">
      <c r="A60" s="36" t="inlineStr"/>
      <c r="B60" s="37" t="inlineStr">
        <is>
          <t xml:space="preserve">   Revisar si tiene un muro debajo que acorte su luz libre.</t>
        </is>
      </c>
    </row>
    <row r="61">
      <c r="A61" s="36" t="inlineStr"/>
      <c r="B61" s="37" t="inlineStr">
        <is>
          <t>VCH 03a (40x13, 3,71 m): excede la cuantia maxima y no llega a la altura minima por</t>
        </is>
      </c>
    </row>
    <row r="62">
      <c r="A62" s="36" t="inlineStr"/>
      <c r="B62" s="37" t="inlineStr">
        <is>
          <t xml:space="preserve">   flecha. Revisar el ancho tributario: si solo recibe el muro y no losa, baja mucho.</t>
        </is>
      </c>
    </row>
    <row r="63">
      <c r="A63" s="36" t="inlineStr"/>
      <c r="B63" s="37" t="inlineStr"/>
    </row>
    <row r="64">
      <c r="A64" s="36" t="inlineStr">
        <is>
          <t>8. ALCANCE</t>
        </is>
      </c>
      <c r="B64" s="37" t="inlineStr">
        <is>
          <t>No se incluyen las 31 vigas de fundacion (VF01 a VF18c): su calculo depende de las</t>
        </is>
      </c>
    </row>
    <row r="65">
      <c r="A65" s="36" t="inlineStr"/>
      <c r="B65" s="37" t="inlineStr">
        <is>
          <t>cargas que bajan por las columnas y corresponde hacerlo despues. Tampoco losas ni columnas.</t>
        </is>
      </c>
    </row>
    <row r="66">
      <c r="A66" s="36" t="inlineStr"/>
      <c r="B66" s="37" t="inlineStr"/>
    </row>
    <row r="67">
      <c r="A67" s="36" t="inlineStr">
        <is>
          <t>LIMITACIONES</t>
        </is>
      </c>
      <c r="B67" s="36" t="inlineStr">
        <is>
          <t>El ancho tributario B esta relevado solo en</t>
        </is>
      </c>
    </row>
    <row r="68">
      <c r="A68" s="36" t="inlineStr"/>
      <c r="B68" s="37" t="inlineStr">
        <is>
          <t>VI 02 (0,80 m) y VCH 03a (2,08 m). En las demas sigue adoptado en 2,00 m, a falta</t>
        </is>
      </c>
    </row>
    <row r="69">
      <c r="A69" s="36" t="inlineStr"/>
      <c r="B69" s="37" t="inlineStr">
        <is>
          <t>hipotesis mas influyente del calculo: ajustarla viga por viga en la columna B trib.</t>
        </is>
      </c>
    </row>
    <row r="70">
      <c r="A70" s="36" t="inlineStr"/>
      <c r="B70" s="37" t="inlineStr">
        <is>
          <t>El esquema se asigno por criterio: continua si integra una serie a-b-c o si supera 5,5 m.</t>
        </is>
      </c>
    </row>
    <row r="71">
      <c r="A71" s="36" t="inlineStr"/>
      <c r="B71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2026-10-21T23:27:48Z</dcterms:created>
  <dcterms:modified xmlns:dcterms="http://purl.org/dc/terms/" xmlns:xsi="http://www.w3.org/2001/XMLSchema-instance" xsi:type="dcterms:W3CDTF">2026-10-21T23:27:48Z</dcterms:modified>
</cp:coreProperties>
</file>