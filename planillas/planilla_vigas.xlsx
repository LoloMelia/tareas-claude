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B trib.</t>
        </is>
      </c>
      <c r="AE3" s="19" t="inlineStr">
        <is>
          <t>h muro</t>
        </is>
      </c>
      <c r="AF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(Datos!$B$10*(VLOOKUP($A$4,Datos!$A$14:$E$15,2,0)*AD4+Datos!$B$7*J4*L4/10000+Datos!$B$16*AE4)+Datos!$B$11*VLOOKUP($A$4,Datos!$A$14:$E$15,3,0)*AD4)</f>
        <v/>
      </c>
      <c r="E4" s="7" t="n"/>
      <c r="F4" s="23">
        <f>VLOOKUP(Y4,Datos!$A$19:$E$23,4,0)*D4*C4</f>
        <v/>
      </c>
      <c r="G4" s="23">
        <f>F4</f>
        <v/>
      </c>
      <c r="H4" s="23">
        <f>VLOOKUP(Y4,Datos!$A$19:$E$23,2,0)*D4*C4^2</f>
        <v/>
      </c>
      <c r="I4" s="23">
        <f>IF(VLOOKUP(Y4,Datos!$A$19:$E$23,3,0)=0,"---",VLOOKUP(Y4,Datos!$A$19:$E$23,3,0)*D4*C4^2)</f>
        <v/>
      </c>
      <c r="J4" s="24" t="n">
        <v>15</v>
      </c>
      <c r="K4" s="7">
        <f>L4-AF4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3</v>
      </c>
      <c r="O4" s="24" t="n">
        <v>12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2</v>
      </c>
      <c r="R4" s="24" t="n">
        <v>20</v>
      </c>
      <c r="S4" s="25">
        <f>F4/(J4*0.85*K4)</f>
        <v/>
      </c>
      <c r="T4" s="25">
        <f>G4/(J4*0.85*K4)</f>
        <v/>
      </c>
      <c r="U4" s="24" t="n">
        <v>6</v>
      </c>
      <c r="V4" s="24" t="n">
        <v>30</v>
      </c>
      <c r="W4" s="7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FLECHA","VERIFICA"))))</f>
        <v/>
      </c>
      <c r="X4" s="26" t="inlineStr">
        <is>
          <t>Viga de borde sobre la medianera: NO recibe losa. Solo peso propio y mamposteria. Apoya en el tabique T01a y en la columna COL 01 de 10x10. Viga de borde INVERTIDA: sobresale 70 cm sobre el fondo de losa. Verificar torsion, no incluida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>
        <v>0</v>
      </c>
      <c r="AE4" s="24" t="n">
        <v>2.6</v>
      </c>
      <c r="AF4" s="24" t="n">
        <v>3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(Datos!$B$10*(VLOOKUP($A$4,Datos!$A$14:$E$15,2,0)*AD5+Datos!$B$7*J5*L5/10000+Datos!$B$16*AE5)+Datos!$B$11*VLOOKUP($A$4,Datos!$A$14:$E$15,3,0)*AD5)</f>
        <v/>
      </c>
      <c r="E5" s="7" t="n"/>
      <c r="F5" s="23">
        <f>VLOOKUP(Y5,Datos!$A$19:$E$23,4,0)*D5*C5</f>
        <v/>
      </c>
      <c r="G5" s="23">
        <f>F5</f>
        <v/>
      </c>
      <c r="H5" s="23">
        <f>VLOOKUP(Y5,Datos!$A$19:$E$23,2,0)*D5*C5^2</f>
        <v/>
      </c>
      <c r="I5" s="23">
        <f>IF(VLOOKUP(Y5,Datos!$A$19:$E$23,3,0)=0,"---",VLOOKUP(Y5,Datos!$A$19:$E$23,3,0)*D5*C5^2)</f>
        <v/>
      </c>
      <c r="J5" s="24" t="n">
        <v>15</v>
      </c>
      <c r="K5" s="7">
        <f>L5-AF5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FLECHA","VERIFICA"))))</f>
        <v/>
      </c>
      <c r="X5" s="26" t="inlineStr">
        <is>
          <t>Viga de borde INVERTIDA: sobresale 70 cm sobre el fondo de losa. Verificar torsion, no incluida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>
        <v>2</v>
      </c>
      <c r="AE5" s="24" t="n">
        <v>2.6</v>
      </c>
      <c r="AF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(Datos!$B$10*(VLOOKUP($A$4,Datos!$A$14:$E$15,2,0)*AD6+Datos!$B$7*J6*L6/10000+Datos!$B$16*AE6)+Datos!$B$11*VLOOKUP($A$4,Datos!$A$14:$E$15,3,0)*AD6)</f>
        <v/>
      </c>
      <c r="E6" s="7" t="n"/>
      <c r="F6" s="23">
        <f>VLOOKUP(Y6,Datos!$A$19:$E$23,4,0)*D6*C6</f>
        <v/>
      </c>
      <c r="G6" s="23">
        <f>F6</f>
        <v/>
      </c>
      <c r="H6" s="23">
        <f>VLOOKUP(Y6,Datos!$A$19:$E$23,2,0)*D6*C6^2</f>
        <v/>
      </c>
      <c r="I6" s="23">
        <f>IF(VLOOKUP(Y6,Datos!$A$19:$E$23,3,0)=0,"---",VLOOKUP(Y6,Datos!$A$19:$E$23,3,0)*D6*C6^2)</f>
        <v/>
      </c>
      <c r="J6" s="24" t="n">
        <v>15</v>
      </c>
      <c r="K6" s="7">
        <f>L6-AF6</f>
        <v/>
      </c>
      <c r="L6" s="24" t="n">
        <v>60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2</v>
      </c>
      <c r="O6" s="24" t="n">
        <v>20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n">
        <v>2</v>
      </c>
      <c r="R6" s="24" t="n">
        <v>25</v>
      </c>
      <c r="S6" s="25">
        <f>F6/(J6*0.85*K6)</f>
        <v/>
      </c>
      <c r="T6" s="25">
        <f>G6/(J6*0.85*K6)</f>
        <v/>
      </c>
      <c r="U6" s="24" t="n">
        <v>6</v>
      </c>
      <c r="V6" s="24" t="n">
        <v>15</v>
      </c>
      <c r="W6" s="7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FLECHA","VERIFICA"))))</f>
        <v/>
      </c>
      <c r="X6" s="26" t="inlineStr">
        <is>
          <t>Recibe solo L02, voladizo de 0,80 m, que entrega su carga entera. Apoya en columna COL 02 de 15x30 y en el tabique T07. El voladizo le transmite torsion, no verificada aqui.</t>
        </is>
      </c>
      <c r="Y6" s="24" t="inlineStr">
        <is>
          <t>Continua</t>
        </is>
      </c>
      <c r="Z6" s="24" t="inlineStr">
        <is>
          <t>Colgante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>
        <v>0.8</v>
      </c>
      <c r="AE6" s="24" t="n">
        <v>2.6</v>
      </c>
      <c r="AF6" s="24" t="n">
        <v>3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(Datos!$B$10*(VLOOKUP($A$4,Datos!$A$14:$E$15,2,0)*AD7+Datos!$B$7*J7*L7/10000+Datos!$B$16*AE7)+Datos!$B$11*VLOOKUP($A$4,Datos!$A$14:$E$15,3,0)*AD7)</f>
        <v/>
      </c>
      <c r="E7" s="7" t="n"/>
      <c r="F7" s="23">
        <f>VLOOKUP(Y7,Datos!$A$19:$E$23,4,0)*D7*C7</f>
        <v/>
      </c>
      <c r="G7" s="23">
        <f>F7</f>
        <v/>
      </c>
      <c r="H7" s="23">
        <f>VLOOKUP(Y7,Datos!$A$19:$E$23,2,0)*D7*C7^2</f>
        <v/>
      </c>
      <c r="I7" s="23">
        <f>IF(VLOOKUP(Y7,Datos!$A$19:$E$23,3,0)=0,"---",VLOOKUP(Y7,Datos!$A$19:$E$23,3,0)*D7*C7^2)</f>
        <v/>
      </c>
      <c r="J7" s="24" t="n">
        <v>15</v>
      </c>
      <c r="K7" s="7">
        <f>L7-AF7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FLECHA","VERIFICA"))))</f>
        <v/>
      </c>
      <c r="X7" s="7" t="n"/>
      <c r="Y7" s="24" t="inlineStr">
        <is>
          <t>Continua</t>
        </is>
      </c>
      <c r="Z7" s="24" t="inlineStr">
        <is>
          <t>Colgante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>
        <v>2</v>
      </c>
      <c r="AE7" s="24" t="n">
        <v>2.6</v>
      </c>
      <c r="AF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(Datos!$B$10*(VLOOKUP($A$4,Datos!$A$14:$E$15,2,0)*AD8+Datos!$B$7*J8*L8/10000+Datos!$B$16*AE8)+Datos!$B$11*VLOOKUP($A$4,Datos!$A$14:$E$15,3,0)*AD8)</f>
        <v/>
      </c>
      <c r="E8" s="7" t="n"/>
      <c r="F8" s="23">
        <f>VLOOKUP(Y8,Datos!$A$19:$E$23,4,0)*D8*C8</f>
        <v/>
      </c>
      <c r="G8" s="23">
        <f>F8</f>
        <v/>
      </c>
      <c r="H8" s="23">
        <f>VLOOKUP(Y8,Datos!$A$19:$E$23,2,0)*D8*C8^2</f>
        <v/>
      </c>
      <c r="I8" s="23">
        <f>IF(VLOOKUP(Y8,Datos!$A$19:$E$23,3,0)=0,"---",VLOOKUP(Y8,Datos!$A$19:$E$23,3,0)*D8*C8^2)</f>
        <v/>
      </c>
      <c r="J8" s="24" t="n">
        <v>15</v>
      </c>
      <c r="K8" s="7">
        <f>L8-AF8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FLECHA","VERIFICA"))))</f>
        <v/>
      </c>
      <c r="X8" s="7" t="n"/>
      <c r="Y8" s="24" t="inlineStr">
        <is>
          <t>Continua</t>
        </is>
      </c>
      <c r="Z8" s="24" t="inlineStr">
        <is>
          <t>Colgante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>
        <v>2</v>
      </c>
      <c r="AE8" s="24" t="n">
        <v>2.6</v>
      </c>
      <c r="AF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(Datos!$B$10*(VLOOKUP($A$4,Datos!$A$14:$E$15,2,0)*AD9+Datos!$B$7*J9*L9/10000+Datos!$B$16*AE9)+Datos!$B$11*VLOOKUP($A$4,Datos!$A$14:$E$15,3,0)*AD9)</f>
        <v/>
      </c>
      <c r="E9" s="7" t="n"/>
      <c r="F9" s="23">
        <f>VLOOKUP(Y9,Datos!$A$19:$E$23,4,0)*D9*C9</f>
        <v/>
      </c>
      <c r="G9" s="23">
        <f>F9</f>
        <v/>
      </c>
      <c r="H9" s="23">
        <f>VLOOKUP(Y9,Datos!$A$19:$E$23,2,0)*D9*C9^2</f>
        <v/>
      </c>
      <c r="I9" s="23">
        <f>IF(VLOOKUP(Y9,Datos!$A$19:$E$23,3,0)=0,"---",VLOOKUP(Y9,Datos!$A$19:$E$23,3,0)*D9*C9^2)</f>
        <v/>
      </c>
      <c r="J9" s="24" t="n">
        <v>15</v>
      </c>
      <c r="K9" s="7">
        <f>L9-AF9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FLECHA","VERIFICA"))))</f>
        <v/>
      </c>
      <c r="X9" s="7" t="n"/>
      <c r="Y9" s="24" t="inlineStr">
        <is>
          <t>Continua</t>
        </is>
      </c>
      <c r="Z9" s="24" t="inlineStr">
        <is>
          <t>Colgante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>
        <v>2</v>
      </c>
      <c r="AE9" s="24" t="n">
        <v>2.6</v>
      </c>
      <c r="AF9" s="24" t="n">
        <v>3</v>
      </c>
    </row>
    <row r="10" ht="46" customHeight="1">
      <c r="A10" s="27" t="n"/>
      <c r="B10" s="21" t="inlineStr">
        <is>
          <t>VI 07a</t>
        </is>
      </c>
      <c r="C10" s="22" t="n">
        <v>3.37</v>
      </c>
      <c r="D10" s="23">
        <f>(Datos!$B$10*(VLOOKUP($A$4,Datos!$A$14:$E$15,2,0)*AD10+Datos!$B$7*J10*L10/10000+Datos!$B$16*AE10)+Datos!$B$11*VLOOKUP($A$4,Datos!$A$14:$E$15,3,0)*AD10)</f>
        <v/>
      </c>
      <c r="E10" s="7" t="n"/>
      <c r="F10" s="23">
        <f>VLOOKUP(Y10,Datos!$A$19:$E$23,4,0)*D10*C10</f>
        <v/>
      </c>
      <c r="G10" s="23">
        <f>F10</f>
        <v/>
      </c>
      <c r="H10" s="23">
        <f>VLOOKUP(Y10,Datos!$A$19:$E$23,2,0)*D10*C10^2</f>
        <v/>
      </c>
      <c r="I10" s="23">
        <f>IF(VLOOKUP(Y10,Datos!$A$19:$E$23,3,0)=0,"---",VLOOKUP(Y10,Datos!$A$19:$E$23,3,0)*D10*C10^2)</f>
        <v/>
      </c>
      <c r="J10" s="24" t="n">
        <v>15</v>
      </c>
      <c r="K10" s="7">
        <f>L10-AF10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3</v>
      </c>
      <c r="O10" s="24" t="n">
        <v>12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n">
        <v>3</v>
      </c>
      <c r="R10" s="24" t="n">
        <v>12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30</v>
      </c>
      <c r="W10" s="7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FLECHA","VERIFICA"))))</f>
        <v/>
      </c>
      <c r="X10" s="26" t="inlineStr">
        <is>
          <t>Viga de borde INVERTIDA: sobresale 70 cm sobre el fondo de losa. Verificar torsion, no incluida en esta planilla.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>
        <v>2</v>
      </c>
      <c r="AE10" s="24" t="n">
        <v>2.6</v>
      </c>
      <c r="AF10" s="24" t="n">
        <v>3</v>
      </c>
    </row>
    <row r="11" ht="46" customHeight="1">
      <c r="A11" s="27" t="n"/>
      <c r="B11" s="21" t="inlineStr">
        <is>
          <t>VI 07b</t>
        </is>
      </c>
      <c r="C11" s="22" t="n">
        <v>4.03</v>
      </c>
      <c r="D11" s="23">
        <f>(Datos!$B$10*(VLOOKUP($A$4,Datos!$A$14:$E$15,2,0)*AD11+Datos!$B$7*J11*L11/10000+Datos!$B$16*AE11)+Datos!$B$11*VLOOKUP($A$4,Datos!$A$14:$E$15,3,0)*AD11)</f>
        <v/>
      </c>
      <c r="E11" s="7" t="n"/>
      <c r="F11" s="23">
        <f>VLOOKUP(Y11,Datos!$A$19:$E$23,4,0)*D11*C11</f>
        <v/>
      </c>
      <c r="G11" s="23">
        <f>F11</f>
        <v/>
      </c>
      <c r="H11" s="23">
        <f>VLOOKUP(Y11,Datos!$A$19:$E$23,2,0)*D11*C11^2</f>
        <v/>
      </c>
      <c r="I11" s="23">
        <f>IF(VLOOKUP(Y11,Datos!$A$19:$E$23,3,0)=0,"---",VLOOKUP(Y11,Datos!$A$19:$E$23,3,0)*D11*C11^2)</f>
        <v/>
      </c>
      <c r="J11" s="24" t="n">
        <v>15</v>
      </c>
      <c r="K11" s="7">
        <f>L11-AF11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FLECHA","VERIFICA"))))</f>
        <v/>
      </c>
      <c r="X11" s="26" t="inlineStr">
        <is>
          <t>Viga de borde INVERTIDA: sobresale 70 cm sobre el fondo de losa. Verificar torsion, no incluida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>
        <v>2</v>
      </c>
      <c r="AE11" s="24" t="n">
        <v>2.6</v>
      </c>
      <c r="AF11" s="24" t="n">
        <v>3</v>
      </c>
    </row>
    <row r="12" ht="46" customHeight="1">
      <c r="A12" s="27" t="n"/>
      <c r="B12" s="21" t="inlineStr">
        <is>
          <t>VI 07c</t>
        </is>
      </c>
      <c r="C12" s="22" t="n">
        <v>8.6</v>
      </c>
      <c r="D12" s="23">
        <f>(Datos!$B$10*(VLOOKUP($A$4,Datos!$A$14:$E$15,2,0)*AD12+Datos!$B$7*J12*L12/10000+Datos!$B$16*AE12)+Datos!$B$11*VLOOKUP($A$4,Datos!$A$14:$E$15,3,0)*AD12)</f>
        <v/>
      </c>
      <c r="E12" s="7" t="n"/>
      <c r="F12" s="23">
        <f>VLOOKUP(Y12,Datos!$A$19:$E$23,4,0)*D12*C12</f>
        <v/>
      </c>
      <c r="G12" s="23">
        <f>F12</f>
        <v/>
      </c>
      <c r="H12" s="23">
        <f>VLOOKUP(Y12,Datos!$A$19:$E$23,2,0)*D12*C12^2</f>
        <v/>
      </c>
      <c r="I12" s="23">
        <f>IF(VLOOKUP(Y12,Datos!$A$19:$E$23,3,0)=0,"---",VLOOKUP(Y12,Datos!$A$19:$E$23,3,0)*D12*C12^2)</f>
        <v/>
      </c>
      <c r="J12" s="24" t="n">
        <v>15</v>
      </c>
      <c r="K12" s="7">
        <f>L12-AF12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2</v>
      </c>
      <c r="O12" s="24" t="n">
        <v>25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4</v>
      </c>
      <c r="R12" s="24" t="n">
        <v>20</v>
      </c>
      <c r="S12" s="25">
        <f>F12/(J12*0.85*K12)</f>
        <v/>
      </c>
      <c r="T12" s="25">
        <f>G12/(J12*0.85*K12)</f>
        <v/>
      </c>
      <c r="U12" s="24" t="n">
        <v>6</v>
      </c>
      <c r="V12" s="24" t="n">
        <v>10</v>
      </c>
      <c r="W12" s="7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FLECHA","VERIFICA"))))</f>
        <v/>
      </c>
      <c r="X12" s="26" t="inlineStr">
        <is>
          <t>Armadura en 2 capas (rec. 6 cm). Apoya en columna COL 02 de 15x30 y en el tabique T05b. Viga de borde INVERTIDA: sobresale 70 cm sobre el fondo de losa. Verificar torsion, no incluida en esta planilla.</t>
        </is>
      </c>
      <c r="Y12" s="24" t="inlineStr">
        <is>
          <t>Empotrada-apoyada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>
        <v>2</v>
      </c>
      <c r="AE12" s="24" t="n">
        <v>2.6</v>
      </c>
      <c r="AF12" s="24" t="n">
        <v>6</v>
      </c>
    </row>
    <row r="13" ht="46" customHeight="1">
      <c r="A13" s="27" t="n"/>
      <c r="B13" s="21" t="inlineStr">
        <is>
          <t>VI 08a</t>
        </is>
      </c>
      <c r="C13" s="22" t="n">
        <v>3.65</v>
      </c>
      <c r="D13" s="23">
        <f>(Datos!$B$10*(VLOOKUP($A$4,Datos!$A$14:$E$15,2,0)*AD13+Datos!$B$7*J13*L13/10000+Datos!$B$16*AE13)+Datos!$B$11*VLOOKUP($A$4,Datos!$A$14:$E$15,3,0)*AD13)</f>
        <v/>
      </c>
      <c r="E13" s="7" t="n"/>
      <c r="F13" s="23">
        <f>VLOOKUP(Y13,Datos!$A$19:$E$23,4,0)*D13*C13</f>
        <v/>
      </c>
      <c r="G13" s="23">
        <f>F13</f>
        <v/>
      </c>
      <c r="H13" s="23">
        <f>VLOOKUP(Y13,Datos!$A$19:$E$23,2,0)*D13*C13^2</f>
        <v/>
      </c>
      <c r="I13" s="23">
        <f>IF(VLOOKUP(Y13,Datos!$A$19:$E$23,3,0)=0,"---",VLOOKUP(Y13,Datos!$A$19:$E$23,3,0)*D13*C13^2)</f>
        <v/>
      </c>
      <c r="J13" s="24" t="n">
        <v>15</v>
      </c>
      <c r="K13" s="7">
        <f>L13-AF13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3</v>
      </c>
      <c r="O13" s="24" t="n">
        <v>12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3</v>
      </c>
      <c r="R13" s="24" t="n">
        <v>12</v>
      </c>
      <c r="S13" s="25">
        <f>F13/(J13*0.85*K13)</f>
        <v/>
      </c>
      <c r="T13" s="25">
        <f>G13/(J13*0.85*K13)</f>
        <v/>
      </c>
      <c r="U13" s="24" t="n">
        <v>6</v>
      </c>
      <c r="V13" s="24" t="n">
        <v>30</v>
      </c>
      <c r="W13" s="7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FLECHA","VERIFICA"))))</f>
        <v/>
      </c>
      <c r="X13" s="7" t="n"/>
      <c r="Y13" s="24" t="inlineStr">
        <is>
          <t>Continua</t>
        </is>
      </c>
      <c r="Z13" s="24" t="inlineStr">
        <is>
          <t>Colgante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2</v>
      </c>
      <c r="AE13" s="24" t="n">
        <v>2.6</v>
      </c>
      <c r="AF13" s="24" t="n">
        <v>3</v>
      </c>
    </row>
    <row r="14" ht="46" customHeight="1">
      <c r="A14" s="27" t="n"/>
      <c r="B14" s="21" t="inlineStr">
        <is>
          <t>VI 08b</t>
        </is>
      </c>
      <c r="C14" s="22" t="n">
        <v>4.85</v>
      </c>
      <c r="D14" s="23">
        <f>(Datos!$B$10*(VLOOKUP($A$4,Datos!$A$14:$E$15,2,0)*AD14+Datos!$B$7*J14*L14/10000+Datos!$B$16*AE14)+Datos!$B$11*VLOOKUP($A$4,Datos!$A$14:$E$15,3,0)*AD14)</f>
        <v/>
      </c>
      <c r="E14" s="7" t="n"/>
      <c r="F14" s="23">
        <f>VLOOKUP(Y14,Datos!$A$19:$E$23,4,0)*D14*C14</f>
        <v/>
      </c>
      <c r="G14" s="23">
        <f>F14</f>
        <v/>
      </c>
      <c r="H14" s="23">
        <f>VLOOKUP(Y14,Datos!$A$19:$E$23,2,0)*D14*C14^2</f>
        <v/>
      </c>
      <c r="I14" s="23">
        <f>IF(VLOOKUP(Y14,Datos!$A$19:$E$23,3,0)=0,"---",VLOOKUP(Y14,Datos!$A$19:$E$23,3,0)*D14*C14^2)</f>
        <v/>
      </c>
      <c r="J14" s="24" t="n">
        <v>15</v>
      </c>
      <c r="K14" s="7">
        <f>L14-AF14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FLECHA","VERIFICA"))))</f>
        <v/>
      </c>
      <c r="X14" s="7" t="n"/>
      <c r="Y14" s="24" t="inlineStr">
        <is>
          <t>Continua</t>
        </is>
      </c>
      <c r="Z14" s="24" t="inlineStr">
        <is>
          <t>Colgante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>
        <v>2</v>
      </c>
      <c r="AE14" s="24" t="n">
        <v>2.6</v>
      </c>
      <c r="AF14" s="24" t="n">
        <v>3</v>
      </c>
    </row>
    <row r="15" ht="46" customHeight="1">
      <c r="A15" s="27" t="n"/>
      <c r="B15" s="21" t="inlineStr">
        <is>
          <t>VI 09</t>
        </is>
      </c>
      <c r="C15" s="22" t="n">
        <v>4.85</v>
      </c>
      <c r="D15" s="23">
        <f>(Datos!$B$10*(VLOOKUP($A$4,Datos!$A$14:$E$15,2,0)*AD15+Datos!$B$7*J15*L15/10000+Datos!$B$16*AE15)+Datos!$B$11*VLOOKUP($A$4,Datos!$A$14:$E$15,3,0)*AD15)</f>
        <v/>
      </c>
      <c r="E15" s="7" t="n"/>
      <c r="F15" s="23">
        <f>VLOOKUP(Y15,Datos!$A$19:$E$23,4,0)*D15*C15</f>
        <v/>
      </c>
      <c r="G15" s="23">
        <f>F15</f>
        <v/>
      </c>
      <c r="H15" s="23">
        <f>VLOOKUP(Y15,Datos!$A$19:$E$23,2,0)*D15*C15^2</f>
        <v/>
      </c>
      <c r="I15" s="23">
        <f>IF(VLOOKUP(Y15,Datos!$A$19:$E$23,3,0)=0,"---",VLOOKUP(Y15,Datos!$A$19:$E$23,3,0)*D15*C15^2)</f>
        <v/>
      </c>
      <c r="J15" s="24" t="n">
        <v>15</v>
      </c>
      <c r="K15" s="7">
        <f>L15-AF15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2</v>
      </c>
      <c r="O15" s="24" t="n">
        <v>16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inlineStr">
        <is>
          <t>---</t>
        </is>
      </c>
      <c r="R15" s="24" t="inlineStr">
        <is>
          <t>---</t>
        </is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FLECHA","VERIFICA"))))</f>
        <v/>
      </c>
      <c r="X15" s="7" t="n"/>
      <c r="Y15" s="24" t="inlineStr">
        <is>
          <t>Simplemente apoyada</t>
        </is>
      </c>
      <c r="Z15" s="24" t="inlineStr">
        <is>
          <t>Colgante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>
        <v>2</v>
      </c>
      <c r="AE15" s="24" t="n">
        <v>2.6</v>
      </c>
      <c r="AF15" s="24" t="n">
        <v>3</v>
      </c>
    </row>
    <row r="16" ht="46" customHeight="1">
      <c r="A16" s="27" t="n"/>
      <c r="B16" s="21" t="inlineStr">
        <is>
          <t>VI 10a</t>
        </is>
      </c>
      <c r="C16" s="22" t="n">
        <v>2.55</v>
      </c>
      <c r="D16" s="23">
        <f>(Datos!$B$10*(VLOOKUP($A$4,Datos!$A$14:$E$15,2,0)*AD16+Datos!$B$7*J16*L16/10000+Datos!$B$16*AE16)+Datos!$B$11*VLOOKUP($A$4,Datos!$A$14:$E$15,3,0)*AD16)</f>
        <v/>
      </c>
      <c r="E16" s="7" t="n"/>
      <c r="F16" s="23">
        <f>VLOOKUP(Y16,Datos!$A$19:$E$23,4,0)*D16*C16</f>
        <v/>
      </c>
      <c r="G16" s="23">
        <f>F16</f>
        <v/>
      </c>
      <c r="H16" s="23">
        <f>VLOOKUP(Y16,Datos!$A$19:$E$23,2,0)*D16*C16^2</f>
        <v/>
      </c>
      <c r="I16" s="23">
        <f>IF(VLOOKUP(Y16,Datos!$A$19:$E$23,3,0)=0,"---",VLOOKUP(Y16,Datos!$A$19:$E$23,3,0)*D16*C16^2)</f>
        <v/>
      </c>
      <c r="J16" s="24" t="n">
        <v>15</v>
      </c>
      <c r="K16" s="7">
        <f>L16-AF16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n">
        <v>3</v>
      </c>
      <c r="R16" s="24" t="n">
        <v>12</v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FLECHA","VERIFICA"))))</f>
        <v/>
      </c>
      <c r="X16" s="7" t="n"/>
      <c r="Y16" s="24" t="inlineStr">
        <is>
          <t>Continua</t>
        </is>
      </c>
      <c r="Z16" s="24" t="inlineStr">
        <is>
          <t>Colgante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>
        <v>2</v>
      </c>
      <c r="AE16" s="24" t="n">
        <v>2.6</v>
      </c>
      <c r="AF16" s="24" t="n">
        <v>3</v>
      </c>
    </row>
    <row r="17" ht="46" customHeight="1">
      <c r="A17" s="27" t="n"/>
      <c r="B17" s="21" t="inlineStr">
        <is>
          <t>VI 10b</t>
        </is>
      </c>
      <c r="C17" s="22" t="n">
        <v>4</v>
      </c>
      <c r="D17" s="23">
        <f>(Datos!$B$10*(VLOOKUP($A$4,Datos!$A$14:$E$15,2,0)*AD17+Datos!$B$7*J17*L17/10000+Datos!$B$16*AE17)+Datos!$B$11*VLOOKUP($A$4,Datos!$A$14:$E$15,3,0)*AD17)</f>
        <v/>
      </c>
      <c r="E17" s="7" t="n"/>
      <c r="F17" s="23">
        <f>VLOOKUP(Y17,Datos!$A$19:$E$23,4,0)*D17*C17</f>
        <v/>
      </c>
      <c r="G17" s="23">
        <f>F17</f>
        <v/>
      </c>
      <c r="H17" s="23">
        <f>VLOOKUP(Y17,Datos!$A$19:$E$23,2,0)*D17*C17^2</f>
        <v/>
      </c>
      <c r="I17" s="23">
        <f>IF(VLOOKUP(Y17,Datos!$A$19:$E$23,3,0)=0,"---",VLOOKUP(Y17,Datos!$A$19:$E$23,3,0)*D17*C17^2)</f>
        <v/>
      </c>
      <c r="J17" s="24" t="n">
        <v>15</v>
      </c>
      <c r="K17" s="7">
        <f>L17-AF17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FLECHA","VERIFICA"))))</f>
        <v/>
      </c>
      <c r="X17" s="7" t="n"/>
      <c r="Y17" s="24" t="inlineStr">
        <is>
          <t>Continua</t>
        </is>
      </c>
      <c r="Z17" s="24" t="inlineStr">
        <is>
          <t>Colgante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>
        <v>2</v>
      </c>
      <c r="AE17" s="24" t="n">
        <v>2.6</v>
      </c>
      <c r="AF17" s="24" t="n">
        <v>3</v>
      </c>
    </row>
    <row r="18" ht="46" customHeight="1">
      <c r="A18" s="27" t="n"/>
      <c r="B18" s="21" t="inlineStr">
        <is>
          <t>VI 10c</t>
        </is>
      </c>
      <c r="C18" s="22" t="n">
        <v>3.6</v>
      </c>
      <c r="D18" s="23">
        <f>(Datos!$B$10*(VLOOKUP($A$4,Datos!$A$14:$E$15,2,0)*AD18+Datos!$B$7*J18*L18/10000+Datos!$B$16*AE18)+Datos!$B$11*VLOOKUP($A$4,Datos!$A$14:$E$15,3,0)*AD18)</f>
        <v/>
      </c>
      <c r="E18" s="7" t="n"/>
      <c r="F18" s="23">
        <f>VLOOKUP(Y18,Datos!$A$19:$E$23,4,0)*D18*C18</f>
        <v/>
      </c>
      <c r="G18" s="23">
        <f>F18</f>
        <v/>
      </c>
      <c r="H18" s="23">
        <f>VLOOKUP(Y18,Datos!$A$19:$E$23,2,0)*D18*C18^2</f>
        <v/>
      </c>
      <c r="I18" s="23">
        <f>IF(VLOOKUP(Y18,Datos!$A$19:$E$23,3,0)=0,"---",VLOOKUP(Y18,Datos!$A$19:$E$23,3,0)*D18*C18^2)</f>
        <v/>
      </c>
      <c r="J18" s="24" t="n">
        <v>15</v>
      </c>
      <c r="K18" s="7">
        <f>L18-AF18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FLECHA","VERIFICA"))))</f>
        <v/>
      </c>
      <c r="X18" s="7" t="n"/>
      <c r="Y18" s="24" t="inlineStr">
        <is>
          <t>Continua</t>
        </is>
      </c>
      <c r="Z18" s="24" t="inlineStr">
        <is>
          <t>Colgante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>
        <v>2</v>
      </c>
      <c r="AE18" s="24" t="n">
        <v>2.6</v>
      </c>
      <c r="AF18" s="24" t="n">
        <v>3</v>
      </c>
    </row>
    <row r="19" ht="46" customHeight="1">
      <c r="A19" s="27" t="n"/>
      <c r="B19" s="21" t="inlineStr">
        <is>
          <t>VI 11a</t>
        </is>
      </c>
      <c r="C19" s="22" t="n">
        <v>7.68</v>
      </c>
      <c r="D19" s="23">
        <f>(Datos!$B$10*(VLOOKUP($A$4,Datos!$A$14:$E$15,2,0)*AD19+Datos!$B$7*J19*L19/10000+Datos!$B$16*AE19)+Datos!$B$11*VLOOKUP($A$4,Datos!$A$14:$E$15,3,0)*AD19)</f>
        <v/>
      </c>
      <c r="E19" s="7" t="n"/>
      <c r="F19" s="23">
        <f>VLOOKUP(Y19,Datos!$A$19:$E$23,4,0)*D19*C19</f>
        <v/>
      </c>
      <c r="G19" s="23">
        <f>F19</f>
        <v/>
      </c>
      <c r="H19" s="23">
        <f>VLOOKUP(Y19,Datos!$A$19:$E$23,2,0)*D19*C19^2</f>
        <v/>
      </c>
      <c r="I19" s="23">
        <f>IF(VLOOKUP(Y19,Datos!$A$19:$E$23,3,0)=0,"---",VLOOKUP(Y19,Datos!$A$19:$E$23,3,0)*D19*C19^2)</f>
        <v/>
      </c>
      <c r="J19" s="24" t="n">
        <v>15</v>
      </c>
      <c r="K19" s="7">
        <f>L19-AF19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2</v>
      </c>
      <c r="O19" s="24" t="n">
        <v>20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2</v>
      </c>
      <c r="R19" s="24" t="n">
        <v>25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10</v>
      </c>
      <c r="W19" s="7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FLECHA","VERIFICA"))))</f>
        <v/>
      </c>
      <c r="X19" s="26" t="inlineStr">
        <is>
          <t>El plano rotula 'VI 111'; se interpreta 11a por el orden a-b-c. Sin apoyo intermedio, empotrada en tabiques. Apoya en columna COL 02 de 15x30 y en el tabique T08a. Viga de borde INVERTIDA: sobresale 70 cm sobre el fondo de losa. Verificar torsion, no incluida en esta planilla.</t>
        </is>
      </c>
      <c r="Y19" s="24" t="inlineStr">
        <is>
          <t>Empotrada-apoyada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>
        <v>2</v>
      </c>
      <c r="AE19" s="24" t="n">
        <v>2.6</v>
      </c>
      <c r="AF19" s="24" t="n">
        <v>3</v>
      </c>
    </row>
    <row r="20" ht="46" customHeight="1">
      <c r="A20" s="27" t="n"/>
      <c r="B20" s="21" t="inlineStr">
        <is>
          <t>VI 11b</t>
        </is>
      </c>
      <c r="C20" s="22" t="n">
        <v>3.45</v>
      </c>
      <c r="D20" s="23">
        <f>(Datos!$B$10*(VLOOKUP($A$4,Datos!$A$14:$E$15,2,0)*AD20+Datos!$B$7*J20*L20/10000+Datos!$B$16*AE20)+Datos!$B$11*VLOOKUP($A$4,Datos!$A$14:$E$15,3,0)*AD20)</f>
        <v/>
      </c>
      <c r="E20" s="7" t="n"/>
      <c r="F20" s="23">
        <f>VLOOKUP(Y20,Datos!$A$19:$E$23,4,0)*D20*C20</f>
        <v/>
      </c>
      <c r="G20" s="23">
        <f>F20</f>
        <v/>
      </c>
      <c r="H20" s="23">
        <f>VLOOKUP(Y20,Datos!$A$19:$E$23,2,0)*D20*C20^2</f>
        <v/>
      </c>
      <c r="I20" s="23">
        <f>IF(VLOOKUP(Y20,Datos!$A$19:$E$23,3,0)=0,"---",VLOOKUP(Y20,Datos!$A$19:$E$23,3,0)*D20*C20^2)</f>
        <v/>
      </c>
      <c r="J20" s="24" t="n">
        <v>15</v>
      </c>
      <c r="K20" s="7">
        <f>L20-AF20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3</v>
      </c>
      <c r="O20" s="24" t="n">
        <v>12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3</v>
      </c>
      <c r="R20" s="24" t="n">
        <v>12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30</v>
      </c>
      <c r="W20" s="7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FLECHA","VERIFICA"))))</f>
        <v/>
      </c>
      <c r="X20" s="26" t="inlineStr">
        <is>
          <t>Viga de borde INVERTIDA: sobresale 70 cm sobre el fondo de losa. Verificar torsion, no incluida en esta planilla.</t>
        </is>
      </c>
      <c r="Y20" s="24" t="inlineStr">
        <is>
          <t>Continua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>
        <v>2</v>
      </c>
      <c r="AE20" s="24" t="n">
        <v>2.6</v>
      </c>
      <c r="AF20" s="24" t="n">
        <v>3</v>
      </c>
    </row>
    <row r="21" ht="46" customHeight="1">
      <c r="A21" s="27" t="n"/>
      <c r="B21" s="21" t="inlineStr">
        <is>
          <t>VI 11c</t>
        </is>
      </c>
      <c r="C21" s="22" t="n">
        <v>5.02</v>
      </c>
      <c r="D21" s="23">
        <f>(Datos!$B$10*(VLOOKUP($A$4,Datos!$A$14:$E$15,2,0)*AD21+Datos!$B$7*J21*L21/10000+Datos!$B$16*AE21)+Datos!$B$11*VLOOKUP($A$4,Datos!$A$14:$E$15,3,0)*AD21)</f>
        <v/>
      </c>
      <c r="E21" s="7" t="n"/>
      <c r="F21" s="23">
        <f>VLOOKUP(Y21,Datos!$A$19:$E$23,4,0)*D21*C21</f>
        <v/>
      </c>
      <c r="G21" s="23">
        <f>F21</f>
        <v/>
      </c>
      <c r="H21" s="23">
        <f>VLOOKUP(Y21,Datos!$A$19:$E$23,2,0)*D21*C21^2</f>
        <v/>
      </c>
      <c r="I21" s="23">
        <f>IF(VLOOKUP(Y21,Datos!$A$19:$E$23,3,0)=0,"---",VLOOKUP(Y21,Datos!$A$19:$E$23,3,0)*D21*C21^2)</f>
        <v/>
      </c>
      <c r="J21" s="24" t="n">
        <v>15</v>
      </c>
      <c r="K21" s="7">
        <f>L21-AF21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FLECHA","VERIFICA"))))</f>
        <v/>
      </c>
      <c r="X21" s="26" t="inlineStr">
        <is>
          <t>Viga de borde INVERTIDA: sobresale 70 cm sobre el fondo de losa. Verificar torsion, no incluida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>
        <v>2</v>
      </c>
      <c r="AE21" s="24" t="n">
        <v>2.6</v>
      </c>
      <c r="AF21" s="24" t="n">
        <v>3</v>
      </c>
    </row>
    <row r="22" ht="46" customHeight="1">
      <c r="A22" s="27" t="n"/>
      <c r="B22" s="21" t="inlineStr">
        <is>
          <t>VCH 03a</t>
        </is>
      </c>
      <c r="C22" s="22" t="n">
        <v>3.71</v>
      </c>
      <c r="D22" s="23">
        <f>(Datos!$B$10*(VLOOKUP($A$4,Datos!$A$14:$E$15,2,0)*AD22+Datos!$B$7*J22*L22/10000+Datos!$B$16*AE22)+Datos!$B$11*VLOOKUP($A$4,Datos!$A$14:$E$15,3,0)*AD22)</f>
        <v/>
      </c>
      <c r="E22" s="7" t="n"/>
      <c r="F22" s="23">
        <f>VLOOKUP(Y22,Datos!$A$19:$E$23,4,0)*D22*C22</f>
        <v/>
      </c>
      <c r="G22" s="23">
        <f>F22</f>
        <v/>
      </c>
      <c r="H22" s="23">
        <f>VLOOKUP(Y22,Datos!$A$19:$E$23,2,0)*D22*C22^2</f>
        <v/>
      </c>
      <c r="I22" s="23">
        <f>IF(VLOOKUP(Y22,Datos!$A$19:$E$23,3,0)=0,"---",VLOOKUP(Y22,Datos!$A$19:$E$23,3,0)*D22*C22^2)</f>
        <v/>
      </c>
      <c r="J22" s="24" t="n">
        <v>40</v>
      </c>
      <c r="K22" s="7">
        <f>L22-AF22</f>
        <v/>
      </c>
      <c r="L22" s="24" t="n">
        <v>13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8</v>
      </c>
      <c r="O22" s="24" t="n">
        <v>12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5</v>
      </c>
      <c r="R22" s="24" t="n">
        <v>6</v>
      </c>
      <c r="S22" s="25">
        <f>F22/(J22*0.85*K22)</f>
        <v/>
      </c>
      <c r="T22" s="25">
        <f>G22/(J22*0.85*K22)</f>
        <v/>
      </c>
      <c r="U22" s="24" t="n">
        <v>12</v>
      </c>
      <c r="V22" s="24" t="n">
        <v>5</v>
      </c>
      <c r="W22" s="7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FLECHA","VERIFICA"))))</f>
        <v/>
      </c>
      <c r="X22" s="26" t="inlineStr">
        <is>
          <t>Excede cuantia maxima y no llega a la altura minima por flecha. Revisar el ancho tributario real. Separacion de estribos menor a 10 cm: revisar constructividad.</t>
        </is>
      </c>
      <c r="Y22" s="24" t="inlineStr">
        <is>
          <t>Continua</t>
        </is>
      </c>
      <c r="Z22" s="24" t="inlineStr">
        <is>
          <t>Colgante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>
        <v>2.075</v>
      </c>
      <c r="AE22" s="24" t="n">
        <v>2.6</v>
      </c>
      <c r="AF22" s="24" t="n">
        <v>3</v>
      </c>
    </row>
    <row r="23" ht="46" customHeight="1">
      <c r="A23" s="27" t="n"/>
      <c r="B23" s="21" t="inlineStr">
        <is>
          <t>VCH 03b</t>
        </is>
      </c>
      <c r="C23" s="22" t="n">
        <v>2.13</v>
      </c>
      <c r="D23" s="23">
        <f>(Datos!$B$10*(VLOOKUP($A$4,Datos!$A$14:$E$15,2,0)*AD23+Datos!$B$7*J23*L23/10000+Datos!$B$16*AE23)+Datos!$B$11*VLOOKUP($A$4,Datos!$A$14:$E$15,3,0)*AD23)</f>
        <v/>
      </c>
      <c r="E23" s="7" t="n"/>
      <c r="F23" s="23">
        <f>VLOOKUP(Y23,Datos!$A$19:$E$23,4,0)*D23*C23</f>
        <v/>
      </c>
      <c r="G23" s="23">
        <f>F23</f>
        <v/>
      </c>
      <c r="H23" s="23">
        <f>VLOOKUP(Y23,Datos!$A$19:$E$23,2,0)*D23*C23^2</f>
        <v/>
      </c>
      <c r="I23" s="23">
        <f>IF(VLOOKUP(Y23,Datos!$A$19:$E$23,3,0)=0,"---",VLOOKUP(Y23,Datos!$A$19:$E$23,3,0)*D23*C23^2)</f>
        <v/>
      </c>
      <c r="J23" s="24" t="n">
        <v>40</v>
      </c>
      <c r="K23" s="7">
        <f>L23-AF23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5</v>
      </c>
      <c r="O23" s="24" t="n">
        <v>6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7</v>
      </c>
      <c r="R23" s="24" t="n">
        <v>6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FLECHA","VERIFICA"))))</f>
        <v/>
      </c>
      <c r="X23" s="26" t="inlineStr">
        <is>
          <t>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>
        <v>0.6</v>
      </c>
      <c r="AE23" s="24" t="n">
        <v>2.6</v>
      </c>
      <c r="AF23" s="24" t="n">
        <v>3</v>
      </c>
    </row>
    <row r="24" ht="46" customHeight="1">
      <c r="A24" s="28" t="n"/>
      <c r="B24" s="29" t="inlineStr">
        <is>
          <t>VCH 05</t>
        </is>
      </c>
      <c r="C24" s="30" t="n">
        <v>3.71</v>
      </c>
      <c r="D24" s="31">
        <f>(Datos!$B$10*(VLOOKUP($A$4,Datos!$A$14:$E$15,2,0)*AD24+Datos!$B$7*J24*L24/10000+Datos!$B$16*AE24)+Datos!$B$11*VLOOKUP($A$4,Datos!$A$14:$E$15,3,0)*AD24)</f>
        <v/>
      </c>
      <c r="E24" s="32" t="n"/>
      <c r="F24" s="31">
        <f>VLOOKUP(Y24,Datos!$A$19:$E$23,4,0)*D24*C24</f>
        <v/>
      </c>
      <c r="G24" s="31">
        <f>F24</f>
        <v/>
      </c>
      <c r="H24" s="31">
        <f>VLOOKUP(Y24,Datos!$A$19:$E$23,2,0)*D24*C24^2</f>
        <v/>
      </c>
      <c r="I24" s="31">
        <f>IF(VLOOKUP(Y24,Datos!$A$19:$E$23,3,0)=0,"---",VLOOKUP(Y24,Datos!$A$19:$E$23,3,0)*D24*C24^2)</f>
        <v/>
      </c>
      <c r="J24" s="33" t="n">
        <v>12</v>
      </c>
      <c r="K24" s="32">
        <f>L24-AF24</f>
        <v/>
      </c>
      <c r="L24" s="33" t="n">
        <v>45</v>
      </c>
      <c r="M24" s="34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33" t="n">
        <v>2</v>
      </c>
      <c r="O24" s="33" t="n">
        <v>12</v>
      </c>
      <c r="P24" s="34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33" t="inlineStr">
        <is>
          <t>---</t>
        </is>
      </c>
      <c r="R24" s="33" t="inlineStr">
        <is>
          <t>---</t>
        </is>
      </c>
      <c r="S24" s="34">
        <f>F24/(J24*0.85*K24)</f>
        <v/>
      </c>
      <c r="T24" s="34">
        <f>G24/(J24*0.85*K24)</f>
        <v/>
      </c>
      <c r="U24" s="33" t="n">
        <v>6</v>
      </c>
      <c r="V24" s="33" t="n">
        <v>20</v>
      </c>
      <c r="W24" s="32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FLECHA","VERIFICA"))))</f>
        <v/>
      </c>
      <c r="X24" s="32" t="n"/>
      <c r="Y24" s="33" t="inlineStr">
        <is>
          <t>Simplemente apoyada</t>
        </is>
      </c>
      <c r="Z24" s="33" t="inlineStr">
        <is>
          <t>Colgante</t>
        </is>
      </c>
      <c r="AA24" s="33" t="n">
        <v>12</v>
      </c>
      <c r="AB24" s="32">
        <f>IF(Z24="Colgante",MIN(C24*100/4,J24+16*AA24),J24)</f>
        <v/>
      </c>
      <c r="AC24" s="32">
        <f>IF(Z24="Invertida",MIN(C24*100/4,J24+16*AA24),J24)</f>
        <v/>
      </c>
      <c r="AD24" s="33" t="n">
        <v>0.6</v>
      </c>
      <c r="AE24" s="33" t="n">
        <v>2.6</v>
      </c>
      <c r="AF24" s="33" t="n">
        <v>3</v>
      </c>
    </row>
    <row r="25" ht="46" customHeight="1">
      <c r="A25" s="20" t="inlineStr">
        <is>
          <t>TECHO</t>
        </is>
      </c>
      <c r="B25" s="21" t="inlineStr">
        <is>
          <t>VI 12</t>
        </is>
      </c>
      <c r="C25" s="22" t="n">
        <v>9.9</v>
      </c>
      <c r="D25" s="23">
        <f>(Datos!$B$10*(VLOOKUP($A$25,Datos!$A$14:$E$15,2,0)*AD25+Datos!$B$7*J25*L25/10000+Datos!$B$16*AE25)+Datos!$B$11*VLOOKUP($A$25,Datos!$A$14:$E$15,3,0)*AD25)</f>
        <v/>
      </c>
      <c r="E25" s="7" t="n"/>
      <c r="F25" s="23">
        <f>VLOOKUP(Y25,Datos!$A$19:$E$23,4,0)*D25*C25</f>
        <v/>
      </c>
      <c r="G25" s="23">
        <f>F25</f>
        <v/>
      </c>
      <c r="H25" s="23">
        <f>VLOOKUP(Y25,Datos!$A$19:$E$23,2,0)*D25*C25^2</f>
        <v/>
      </c>
      <c r="I25" s="23">
        <f>IF(VLOOKUP(Y25,Datos!$A$19:$E$23,3,0)=0,"---",VLOOKUP(Y25,Datos!$A$19:$E$23,3,0)*D25*C25^2)</f>
        <v/>
      </c>
      <c r="J25" s="24" t="n">
        <v>15</v>
      </c>
      <c r="K25" s="7">
        <f>L25-AF25</f>
        <v/>
      </c>
      <c r="L25" s="24" t="n">
        <v>70</v>
      </c>
      <c r="M25" s="25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24" t="n">
        <v>2</v>
      </c>
      <c r="O25" s="24" t="n">
        <v>25</v>
      </c>
      <c r="P25" s="25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24" t="n">
        <v>2</v>
      </c>
      <c r="R25" s="24" t="n">
        <v>25</v>
      </c>
      <c r="S25" s="25">
        <f>F25/(J25*0.85*K25)</f>
        <v/>
      </c>
      <c r="T25" s="25">
        <f>G25/(J25*0.85*K25)</f>
        <v/>
      </c>
      <c r="U25" s="24" t="n">
        <v>6</v>
      </c>
      <c r="V25" s="24" t="n">
        <v>15</v>
      </c>
      <c r="W25" s="7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FLECHA","VERIFICA"))))</f>
        <v/>
      </c>
      <c r="X25" s="7" t="n"/>
      <c r="Y25" s="24" t="inlineStr">
        <is>
          <t>Continua</t>
        </is>
      </c>
      <c r="Z25" s="24" t="inlineStr">
        <is>
          <t>Colgante</t>
        </is>
      </c>
      <c r="AA25" s="24" t="n">
        <v>12</v>
      </c>
      <c r="AB25" s="7">
        <f>IF(Z25="Colgante",MIN(C25*100/4,J25+16*AA25),J25)</f>
        <v/>
      </c>
      <c r="AC25" s="7">
        <f>IF(Z25="Invertida",MIN(C25*100/4,J25+16*AA25),J25)</f>
        <v/>
      </c>
      <c r="AD25" s="24" t="n">
        <v>2</v>
      </c>
      <c r="AE25" s="24" t="n">
        <v>1</v>
      </c>
      <c r="AF25" s="24" t="n">
        <v>3</v>
      </c>
    </row>
    <row r="26" ht="46" customHeight="1">
      <c r="A26" s="27" t="n"/>
      <c r="B26" s="21" t="inlineStr">
        <is>
          <t>VI 13a</t>
        </is>
      </c>
      <c r="C26" s="22" t="n">
        <v>6</v>
      </c>
      <c r="D26" s="23">
        <f>(Datos!$B$10*(VLOOKUP($A$25,Datos!$A$14:$E$15,2,0)*AD26+Datos!$B$7*J26*L26/10000+Datos!$B$16*AE26)+Datos!$B$11*VLOOKUP($A$25,Datos!$A$14:$E$15,3,0)*AD26)</f>
        <v/>
      </c>
      <c r="E26" s="7" t="n"/>
      <c r="F26" s="23">
        <f>VLOOKUP(Y26,Datos!$A$19:$E$23,4,0)*D26*C26</f>
        <v/>
      </c>
      <c r="G26" s="23">
        <f>F26</f>
        <v/>
      </c>
      <c r="H26" s="23">
        <f>VLOOKUP(Y26,Datos!$A$19:$E$23,2,0)*D26*C26^2</f>
        <v/>
      </c>
      <c r="I26" s="23">
        <f>IF(VLOOKUP(Y26,Datos!$A$19:$E$23,3,0)=0,"---",VLOOKUP(Y26,Datos!$A$19:$E$23,3,0)*D26*C26^2)</f>
        <v/>
      </c>
      <c r="J26" s="24" t="n">
        <v>15</v>
      </c>
      <c r="K26" s="7">
        <f>L26-AF26</f>
        <v/>
      </c>
      <c r="L26" s="24" t="n">
        <v>50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3</v>
      </c>
      <c r="O26" s="24" t="n">
        <v>12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20</v>
      </c>
      <c r="S26" s="25">
        <f>F26/(J26*0.85*K26)</f>
        <v/>
      </c>
      <c r="T26" s="25">
        <f>G26/(J26*0.85*K26)</f>
        <v/>
      </c>
      <c r="U26" s="24" t="n">
        <v>6</v>
      </c>
      <c r="V26" s="24" t="n">
        <v>20</v>
      </c>
      <c r="W26" s="7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FLECHA","VERIFICA"))))</f>
        <v/>
      </c>
      <c r="X26" s="7" t="n"/>
      <c r="Y26" s="24" t="inlineStr">
        <is>
          <t>Continua</t>
        </is>
      </c>
      <c r="Z26" s="24" t="inlineStr">
        <is>
          <t>Colgante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>
        <v>2</v>
      </c>
      <c r="AE26" s="24" t="n">
        <v>1</v>
      </c>
      <c r="AF26" s="24" t="n">
        <v>3</v>
      </c>
    </row>
    <row r="27" ht="46" customHeight="1">
      <c r="A27" s="27" t="n"/>
      <c r="B27" s="21" t="inlineStr">
        <is>
          <t>VI 13b</t>
        </is>
      </c>
      <c r="C27" s="22" t="n">
        <v>3.75</v>
      </c>
      <c r="D27" s="23">
        <f>(Datos!$B$10*(VLOOKUP($A$25,Datos!$A$14:$E$15,2,0)*AD27+Datos!$B$7*J27*L27/10000+Datos!$B$16*AE27)+Datos!$B$11*VLOOKUP($A$25,Datos!$A$14:$E$15,3,0)*AD27)</f>
        <v/>
      </c>
      <c r="E27" s="7" t="n"/>
      <c r="F27" s="23">
        <f>VLOOKUP(Y27,Datos!$A$19:$E$23,4,0)*D27*C27</f>
        <v/>
      </c>
      <c r="G27" s="23">
        <f>F27</f>
        <v/>
      </c>
      <c r="H27" s="23">
        <f>VLOOKUP(Y27,Datos!$A$19:$E$23,2,0)*D27*C27^2</f>
        <v/>
      </c>
      <c r="I27" s="23">
        <f>IF(VLOOKUP(Y27,Datos!$A$19:$E$23,3,0)=0,"---",VLOOKUP(Y27,Datos!$A$19:$E$23,3,0)*D27*C27^2)</f>
        <v/>
      </c>
      <c r="J27" s="24" t="n">
        <v>15</v>
      </c>
      <c r="K27" s="7">
        <f>L27-AF27</f>
        <v/>
      </c>
      <c r="L27" s="24" t="n">
        <v>50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3</v>
      </c>
      <c r="O27" s="24" t="n">
        <v>10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3</v>
      </c>
      <c r="R27" s="24" t="n">
        <v>10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20</v>
      </c>
      <c r="W27" s="7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FLECHA","VERIFICA"))))</f>
        <v/>
      </c>
      <c r="X27" s="7" t="n"/>
      <c r="Y27" s="24" t="inlineStr">
        <is>
          <t>Continua</t>
        </is>
      </c>
      <c r="Z27" s="24" t="inlineStr">
        <is>
          <t>Colgante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>
        <v>2</v>
      </c>
      <c r="AE27" s="24" t="n">
        <v>1</v>
      </c>
      <c r="AF27" s="24" t="n">
        <v>3</v>
      </c>
    </row>
    <row r="28" ht="46" customHeight="1">
      <c r="A28" s="27" t="n"/>
      <c r="B28" s="21" t="inlineStr">
        <is>
          <t>VI 14</t>
        </is>
      </c>
      <c r="C28" s="22" t="n">
        <v>6</v>
      </c>
      <c r="D28" s="23">
        <f>(Datos!$B$10*(VLOOKUP($A$25,Datos!$A$14:$E$15,2,0)*AD28+Datos!$B$7*J28*L28/10000+Datos!$B$16*AE28)+Datos!$B$11*VLOOKUP($A$25,Datos!$A$14:$E$15,3,0)*AD28)</f>
        <v/>
      </c>
      <c r="E28" s="7" t="n"/>
      <c r="F28" s="23">
        <f>VLOOKUP(Y28,Datos!$A$19:$E$23,4,0)*D28*C28</f>
        <v/>
      </c>
      <c r="G28" s="23">
        <f>F28</f>
        <v/>
      </c>
      <c r="H28" s="23">
        <f>VLOOKUP(Y28,Datos!$A$19:$E$23,2,0)*D28*C28^2</f>
        <v/>
      </c>
      <c r="I28" s="23">
        <f>IF(VLOOKUP(Y28,Datos!$A$19:$E$23,3,0)=0,"---",VLOOKUP(Y28,Datos!$A$19:$E$23,3,0)*D28*C28^2)</f>
        <v/>
      </c>
      <c r="J28" s="24" t="n">
        <v>15</v>
      </c>
      <c r="K28" s="7">
        <f>L28-AF28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FLECHA","VERIFICA"))))</f>
        <v/>
      </c>
      <c r="X28" s="7" t="n"/>
      <c r="Y28" s="24" t="inlineStr">
        <is>
          <t>Continua</t>
        </is>
      </c>
      <c r="Z28" s="24" t="inlineStr">
        <is>
          <t>Colgante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>
        <v>2</v>
      </c>
      <c r="AE28" s="24" t="n">
        <v>1</v>
      </c>
      <c r="AF28" s="24" t="n">
        <v>3</v>
      </c>
    </row>
    <row r="29" ht="46" customHeight="1">
      <c r="A29" s="27" t="n"/>
      <c r="B29" s="21" t="inlineStr">
        <is>
          <t>VI 15a</t>
        </is>
      </c>
      <c r="C29" s="22" t="n">
        <v>4.03</v>
      </c>
      <c r="D29" s="23">
        <f>(Datos!$B$10*(VLOOKUP($A$25,Datos!$A$14:$E$15,2,0)*AD29+Datos!$B$7*J29*L29/10000+Datos!$B$16*AE29)+Datos!$B$11*VLOOKUP($A$25,Datos!$A$14:$E$15,3,0)*AD29)</f>
        <v/>
      </c>
      <c r="E29" s="7" t="n"/>
      <c r="F29" s="23">
        <f>VLOOKUP(Y29,Datos!$A$19:$E$23,4,0)*D29*C29</f>
        <v/>
      </c>
      <c r="G29" s="23">
        <f>F29</f>
        <v/>
      </c>
      <c r="H29" s="23">
        <f>VLOOKUP(Y29,Datos!$A$19:$E$23,2,0)*D29*C29^2</f>
        <v/>
      </c>
      <c r="I29" s="23">
        <f>IF(VLOOKUP(Y29,Datos!$A$19:$E$23,3,0)=0,"---",VLOOKUP(Y29,Datos!$A$19:$E$23,3,0)*D29*C29^2)</f>
        <v/>
      </c>
      <c r="J29" s="24" t="n">
        <v>15</v>
      </c>
      <c r="K29" s="7">
        <f>L29-AF29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FLECHA","VERIFICA"))))</f>
        <v/>
      </c>
      <c r="X29" s="26" t="inlineStr">
        <is>
          <t>Viga de borde INVERTIDA: sobresale 70 cm sobre el fondo de losa. Verificar torsion, no incluida en esta planilla.</t>
        </is>
      </c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>
        <v>2</v>
      </c>
      <c r="AE29" s="24" t="n">
        <v>1</v>
      </c>
      <c r="AF29" s="24" t="n">
        <v>3</v>
      </c>
    </row>
    <row r="30" ht="46" customHeight="1">
      <c r="A30" s="27" t="n"/>
      <c r="B30" s="21" t="inlineStr">
        <is>
          <t>VI 15b</t>
        </is>
      </c>
      <c r="C30" s="22" t="n">
        <v>4.85</v>
      </c>
      <c r="D30" s="23">
        <f>(Datos!$B$10*(VLOOKUP($A$25,Datos!$A$14:$E$15,2,0)*AD30+Datos!$B$7*J30*L30/10000+Datos!$B$16*AE30)+Datos!$B$11*VLOOKUP($A$25,Datos!$A$14:$E$15,3,0)*AD30)</f>
        <v/>
      </c>
      <c r="E30" s="7" t="n"/>
      <c r="F30" s="23">
        <f>VLOOKUP(Y30,Datos!$A$19:$E$23,4,0)*D30*C30</f>
        <v/>
      </c>
      <c r="G30" s="23">
        <f>F30</f>
        <v/>
      </c>
      <c r="H30" s="23">
        <f>VLOOKUP(Y30,Datos!$A$19:$E$23,2,0)*D30*C30^2</f>
        <v/>
      </c>
      <c r="I30" s="23">
        <f>IF(VLOOKUP(Y30,Datos!$A$19:$E$23,3,0)=0,"---",VLOOKUP(Y30,Datos!$A$19:$E$23,3,0)*D30*C30^2)</f>
        <v/>
      </c>
      <c r="J30" s="24" t="n">
        <v>15</v>
      </c>
      <c r="K30" s="7">
        <f>L30-AF30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FLECHA","VERIFICA"))))</f>
        <v/>
      </c>
      <c r="X30" s="26" t="inlineStr">
        <is>
          <t>Viga de borde INVERTIDA: sobresale 70 cm sobre el fondo de losa. Verificar torsion, no incluida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>
        <v>2</v>
      </c>
      <c r="AE30" s="24" t="n">
        <v>1</v>
      </c>
      <c r="AF30" s="24" t="n">
        <v>3</v>
      </c>
    </row>
    <row r="31" ht="46" customHeight="1">
      <c r="A31" s="27" t="n"/>
      <c r="B31" s="21" t="inlineStr">
        <is>
          <t>VI 16a</t>
        </is>
      </c>
      <c r="C31" s="22" t="n">
        <v>3.58</v>
      </c>
      <c r="D31" s="23">
        <f>(Datos!$B$10*(VLOOKUP($A$25,Datos!$A$14:$E$15,2,0)*AD31+Datos!$B$7*J31*L31/10000+Datos!$B$16*AE31)+Datos!$B$11*VLOOKUP($A$25,Datos!$A$14:$E$15,3,0)*AD31)</f>
        <v/>
      </c>
      <c r="E31" s="7" t="n"/>
      <c r="F31" s="23">
        <f>VLOOKUP(Y31,Datos!$A$19:$E$23,4,0)*D31*C31</f>
        <v/>
      </c>
      <c r="G31" s="23">
        <f>F31</f>
        <v/>
      </c>
      <c r="H31" s="23">
        <f>VLOOKUP(Y31,Datos!$A$19:$E$23,2,0)*D31*C31^2</f>
        <v/>
      </c>
      <c r="I31" s="23">
        <f>IF(VLOOKUP(Y31,Datos!$A$19:$E$23,3,0)=0,"---",VLOOKUP(Y31,Datos!$A$19:$E$23,3,0)*D31*C31^2)</f>
        <v/>
      </c>
      <c r="J31" s="24" t="n">
        <v>15</v>
      </c>
      <c r="K31" s="7">
        <f>L31-AF31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FLECHA","VERIFICA"))))</f>
        <v/>
      </c>
      <c r="X31" s="7" t="n"/>
      <c r="Y31" s="24" t="inlineStr">
        <is>
          <t>Continua</t>
        </is>
      </c>
      <c r="Z31" s="24" t="inlineStr">
        <is>
          <t>Colgante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>
        <v>2</v>
      </c>
      <c r="AE31" s="24" t="n">
        <v>1</v>
      </c>
      <c r="AF31" s="24" t="n">
        <v>3</v>
      </c>
    </row>
    <row r="32" ht="46" customHeight="1">
      <c r="A32" s="27" t="n"/>
      <c r="B32" s="21" t="inlineStr">
        <is>
          <t>VI 16b</t>
        </is>
      </c>
      <c r="C32" s="22" t="n">
        <v>1.12</v>
      </c>
      <c r="D32" s="23">
        <f>(Datos!$B$10*(VLOOKUP($A$25,Datos!$A$14:$E$15,2,0)*AD32+Datos!$B$7*J32*L32/10000+Datos!$B$16*AE32)+Datos!$B$11*VLOOKUP($A$25,Datos!$A$14:$E$15,3,0)*AD32)</f>
        <v/>
      </c>
      <c r="E32" s="7" t="n"/>
      <c r="F32" s="23">
        <f>VLOOKUP(Y32,Datos!$A$19:$E$23,4,0)*D32*C32</f>
        <v/>
      </c>
      <c r="G32" s="23">
        <f>F32</f>
        <v/>
      </c>
      <c r="H32" s="23">
        <f>VLOOKUP(Y32,Datos!$A$19:$E$23,2,0)*D32*C32^2</f>
        <v/>
      </c>
      <c r="I32" s="23">
        <f>IF(VLOOKUP(Y32,Datos!$A$19:$E$23,3,0)=0,"---",VLOOKUP(Y32,Datos!$A$19:$E$23,3,0)*D32*C32^2)</f>
        <v/>
      </c>
      <c r="J32" s="24" t="n">
        <v>15</v>
      </c>
      <c r="K32" s="7">
        <f>L32-AF32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FLECHA","VERIFICA"))))</f>
        <v/>
      </c>
      <c r="X32" s="7" t="n"/>
      <c r="Y32" s="24" t="inlineStr">
        <is>
          <t>Continua</t>
        </is>
      </c>
      <c r="Z32" s="24" t="inlineStr">
        <is>
          <t>Colgante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>
        <v>2</v>
      </c>
      <c r="AE32" s="24" t="n">
        <v>1</v>
      </c>
      <c r="AF32" s="24" t="n">
        <v>3</v>
      </c>
    </row>
    <row r="33" ht="46" customHeight="1">
      <c r="A33" s="28" t="n"/>
      <c r="B33" s="29" t="inlineStr">
        <is>
          <t>VI 17</t>
        </is>
      </c>
      <c r="C33" s="30" t="n">
        <v>4.35</v>
      </c>
      <c r="D33" s="31">
        <f>(Datos!$B$10*(VLOOKUP($A$25,Datos!$A$14:$E$15,2,0)*AD33+Datos!$B$7*J33*L33/10000+Datos!$B$16*AE33)+Datos!$B$11*VLOOKUP($A$25,Datos!$A$14:$E$15,3,0)*AD33)</f>
        <v/>
      </c>
      <c r="E33" s="32" t="n"/>
      <c r="F33" s="31">
        <f>VLOOKUP(Y33,Datos!$A$19:$E$23,4,0)*D33*C33</f>
        <v/>
      </c>
      <c r="G33" s="31">
        <f>F33</f>
        <v/>
      </c>
      <c r="H33" s="31">
        <f>VLOOKUP(Y33,Datos!$A$19:$E$23,2,0)*D33*C33^2</f>
        <v/>
      </c>
      <c r="I33" s="31">
        <f>IF(VLOOKUP(Y33,Datos!$A$19:$E$23,3,0)=0,"---",VLOOKUP(Y33,Datos!$A$19:$E$23,3,0)*D33*C33^2)</f>
        <v/>
      </c>
      <c r="J33" s="33" t="n">
        <v>15</v>
      </c>
      <c r="K33" s="32">
        <f>L33-AF33</f>
        <v/>
      </c>
      <c r="L33" s="33" t="n">
        <v>70</v>
      </c>
      <c r="M33" s="34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33" t="n">
        <v>3</v>
      </c>
      <c r="O33" s="33" t="n">
        <v>12</v>
      </c>
      <c r="P33" s="34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33" t="inlineStr">
        <is>
          <t>---</t>
        </is>
      </c>
      <c r="R33" s="33" t="inlineStr">
        <is>
          <t>---</t>
        </is>
      </c>
      <c r="S33" s="34">
        <f>F33/(J33*0.85*K33)</f>
        <v/>
      </c>
      <c r="T33" s="34">
        <f>G33/(J33*0.85*K33)</f>
        <v/>
      </c>
      <c r="U33" s="33" t="n">
        <v>6</v>
      </c>
      <c r="V33" s="33" t="n">
        <v>30</v>
      </c>
      <c r="W33" s="32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FLECHA","VERIFICA"))))</f>
        <v/>
      </c>
      <c r="X33" s="32" t="n"/>
      <c r="Y33" s="33" t="inlineStr">
        <is>
          <t>Simplemente apoyada</t>
        </is>
      </c>
      <c r="Z33" s="33" t="inlineStr">
        <is>
          <t>Colgante</t>
        </is>
      </c>
      <c r="AA33" s="33" t="n">
        <v>12</v>
      </c>
      <c r="AB33" s="32">
        <f>IF(Z33="Colgante",MIN(C33*100/4,J33+16*AA33),J33)</f>
        <v/>
      </c>
      <c r="AC33" s="32">
        <f>IF(Z33="Invertida",MIN(C33*100/4,J33+16*AA33),J33)</f>
        <v/>
      </c>
      <c r="AD33" s="33" t="n">
        <v>2</v>
      </c>
      <c r="AE33" s="33" t="n">
        <v>1</v>
      </c>
      <c r="AF33" s="33" t="n">
        <v>3</v>
      </c>
    </row>
  </sheetData>
  <mergeCells count="18">
    <mergeCell ref="F2:G2"/>
    <mergeCell ref="A4:A24"/>
    <mergeCell ref="J2:L2"/>
    <mergeCell ref="D2:E2"/>
    <mergeCell ref="A25:A33"/>
    <mergeCell ref="A1:AF1"/>
    <mergeCell ref="P2:R2"/>
    <mergeCell ref="S2:U2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3" showDropDown="0" showInputMessage="0" showErrorMessage="0" allowBlank="1" type="list">
      <formula1>=Datos!$A$19:$A$23</formula1>
    </dataValidation>
    <dataValidation sqref="Z4:Z33" showDropDown="0" showInputMessage="0" showErrorMessage="0" allowBlank="1" type="list">
      <formula1>"Invertida,Colgante"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Son VI 01a, VI 01b, VI 07a, VI 07b, VI 07c, VI 11a, VI 11b, VI 11c, VI 15a y VI 15b,</t>
        </is>
      </c>
    </row>
    <row r="37">
      <c r="A37" s="36" t="inlineStr"/>
      <c r="B37" s="37" t="inlineStr">
        <is>
          <t>identificadas por coincidir su eje con el contorno del edificio.</t>
        </is>
      </c>
    </row>
    <row r="38">
      <c r="A38" s="36" t="inlineStr"/>
      <c r="B38" s="37" t="inlineStr">
        <is>
          <t>Esto define donde la losa aporta ala comprimida:</t>
        </is>
      </c>
    </row>
    <row r="39">
      <c r="A39" s="36" t="inlineStr"/>
      <c r="B39" s="37" t="inlineStr">
        <is>
          <t xml:space="preserve">  viga COLGANTE  -&gt; la losa esta arriba  -&gt; ala util en el TRAMO (momento positivo)</t>
        </is>
      </c>
    </row>
    <row r="40">
      <c r="A40" s="36" t="inlineStr"/>
      <c r="B40" s="37" t="inlineStr">
        <is>
          <t xml:space="preserve">  viga INVERTIDA -&gt; la losa esta abajo   -&gt; ala util en el APOYO (momento negativo)</t>
        </is>
      </c>
    </row>
    <row r="41">
      <c r="A41" s="36" t="inlineStr"/>
      <c r="B41" s="37" t="inlineStr">
        <is>
          <t>En la zona con ala se adopta b efectivo = min(L/4 ; b + 16 hf); en la otra, la</t>
        </is>
      </c>
    </row>
    <row r="42">
      <c r="A42" s="36" t="inlineStr"/>
      <c r="B42" s="37" t="inlineStr">
        <is>
          <t>seccion es rectangular de ancho b. Las columnas b ef tramo y b ef apoyo lo muestran.</t>
        </is>
      </c>
    </row>
    <row r="43">
      <c r="A43" s="36" t="inlineStr"/>
      <c r="B43" s="37" t="inlineStr">
        <is>
          <t>PENDIENTE: una viga invertida de borde recibe la reaccion de la losa excentrica</t>
        </is>
      </c>
    </row>
    <row r="44">
      <c r="A44" s="36" t="inlineStr"/>
      <c r="B44" s="37" t="inlineStr">
        <is>
          <t>respecto de su eje y queda sometida a TORSION. Esta planilla no la verifica.</t>
        </is>
      </c>
    </row>
    <row r="45">
      <c r="A45" s="36" t="inlineStr"/>
      <c r="B45" s="37" t="inlineStr"/>
    </row>
    <row r="46">
      <c r="A46" s="36" t="inlineStr">
        <is>
          <t>7. RESULTADO</t>
        </is>
      </c>
      <c r="B46" s="36" t="inlineStr">
        <is>
          <t>30 vigas: 21 del entrepiso PA y 9 de la losa de techo. 28 verifican.</t>
        </is>
      </c>
    </row>
    <row r="47">
      <c r="A47" s="36" t="inlineStr"/>
      <c r="B47" s="37" t="inlineStr">
        <is>
          <t>VI 02 quedo resuelta: con el ancho tributario relevado (solo el voladizo L02 de</t>
        </is>
      </c>
    </row>
    <row r="48">
      <c r="A48" s="36" t="inlineStr"/>
      <c r="B48" s="37" t="inlineStr">
        <is>
          <t xml:space="preserve">   0,80 m) la carga baja de 2999 a 1823 kg/m y la viga verifica con 9,94 cm2.</t>
        </is>
      </c>
    </row>
    <row r="49">
      <c r="A49" s="36" t="inlineStr"/>
      <c r="B49" s="37" t="inlineStr">
        <is>
          <t>VCH 03a (40x13, 3,71 m) es el unico punto abierto. Recibe L03, B = 2,08 m, y no</t>
        </is>
      </c>
    </row>
    <row r="50">
      <c r="A50" s="36" t="inlineStr"/>
      <c r="B50" s="37" t="inlineStr">
        <is>
          <t xml:space="preserve">   verifica: haria falta un espesor de 18 cm. Tampoco verifica con B = 0,60 m, asi</t>
        </is>
      </c>
    </row>
    <row r="51">
      <c r="A51" s="36" t="inlineStr"/>
      <c r="B51" s="37" t="inlineStr">
        <is>
          <t xml:space="preserve">   que el problema no es la hipotesis de carga sino la relacion luz/espesor. Una viga</t>
        </is>
      </c>
    </row>
    <row r="52">
      <c r="A52" s="36" t="inlineStr"/>
      <c r="B52" s="37" t="inlineStr">
        <is>
          <t xml:space="preserve">   chata del mismo espesor que la losa no puede ser apoyo lineal de un pano de 4,15 m.</t>
        </is>
      </c>
    </row>
    <row r="53">
      <c r="A53" s="36" t="inlineStr"/>
      <c r="B53" s="37" t="inlineStr">
        <is>
          <t xml:space="preserve">   Revisar si tiene un muro debajo que acorte su luz libre.</t>
        </is>
      </c>
    </row>
    <row r="54">
      <c r="A54" s="36" t="inlineStr"/>
      <c r="B54" s="37" t="inlineStr">
        <is>
          <t>VCH 03a (40x13, 3,71 m): excede la cuantia maxima y no llega a la altura minima por</t>
        </is>
      </c>
    </row>
    <row r="55">
      <c r="A55" s="36" t="inlineStr"/>
      <c r="B55" s="37" t="inlineStr">
        <is>
          <t xml:space="preserve">   flecha. Revisar el ancho tributario: si solo recibe el muro y no losa, baja mucho.</t>
        </is>
      </c>
    </row>
    <row r="56">
      <c r="A56" s="36" t="inlineStr"/>
      <c r="B56" s="37" t="inlineStr"/>
    </row>
    <row r="57">
      <c r="A57" s="36" t="inlineStr">
        <is>
          <t>8. ALCANCE</t>
        </is>
      </c>
      <c r="B57" s="37" t="inlineStr">
        <is>
          <t>No se incluyen las 31 vigas de fundacion (VF01 a VF18c): su calculo depende de las</t>
        </is>
      </c>
    </row>
    <row r="58">
      <c r="A58" s="36" t="inlineStr"/>
      <c r="B58" s="37" t="inlineStr">
        <is>
          <t>cargas que bajan por las columnas y corresponde hacerlo despues. Tampoco losas ni columnas.</t>
        </is>
      </c>
    </row>
    <row r="59">
      <c r="A59" s="36" t="inlineStr"/>
      <c r="B59" s="37" t="inlineStr"/>
    </row>
    <row r="60">
      <c r="A60" s="36" t="inlineStr">
        <is>
          <t>LIMITACIONES</t>
        </is>
      </c>
      <c r="B60" s="36" t="inlineStr">
        <is>
          <t>El ancho tributario B esta relevado solo en</t>
        </is>
      </c>
    </row>
    <row r="61">
      <c r="A61" s="36" t="inlineStr"/>
      <c r="B61" s="37" t="inlineStr">
        <is>
          <t>VI 02 (0,80 m) y VCH 03a (2,08 m). En las demas sigue adoptado en 2,00 m, a falta</t>
        </is>
      </c>
    </row>
    <row r="62">
      <c r="A62" s="36" t="inlineStr"/>
      <c r="B62" s="37" t="inlineStr">
        <is>
          <t>hipotesis mas influyente del calculo: ajustarla viga por viga en la columna B trib.</t>
        </is>
      </c>
    </row>
    <row r="63">
      <c r="A63" s="36" t="inlineStr"/>
      <c r="B63" s="37" t="inlineStr">
        <is>
          <t>El esquema se asigno por criterio: continua si integra una serie a-b-c o si supera 5,5 m.</t>
        </is>
      </c>
    </row>
    <row r="64">
      <c r="A64" s="36" t="inlineStr"/>
      <c r="B64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2026-10-21T21:43:26Z</dcterms:created>
  <dcterms:modified xmlns:dcterms="http://purl.org/dc/terms/" xmlns:xsi="http://www.w3.org/2001/XMLSchema-instance" xsi:type="dcterms:W3CDTF">2026-10-21T21:43:27Z</dcterms:modified>
</cp:coreProperties>
</file>