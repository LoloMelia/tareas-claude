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7" customWidth="1" min="4" max="4"/>
    <col width="9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8" customWidth="1" min="25" max="25"/>
    <col width="8" customWidth="1" min="26" max="26"/>
    <col width="7" customWidth="1" min="27" max="27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</row>
    <row r="3" ht="28" customHeight="1">
      <c r="A3" s="18" t="n"/>
      <c r="B3" s="18" t="n"/>
      <c r="C3" s="18" t="n"/>
      <c r="D3" s="19" t="inlineStr">
        <is>
          <t>esquema</t>
        </is>
      </c>
      <c r="E3" s="19" t="inlineStr">
        <is>
          <t>p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B trib.</t>
        </is>
      </c>
      <c r="Z3" s="19" t="inlineStr">
        <is>
          <t>h muro</t>
        </is>
      </c>
      <c r="AA3" s="19" t="inlineStr">
        <is>
          <t>rec.</t>
        </is>
      </c>
    </row>
    <row r="4" ht="1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 t="inlineStr">
        <is>
          <t>Continua</t>
        </is>
      </c>
      <c r="E4" s="24">
        <f>(Datos!$B$10*(VLOOKUP($A$4,Datos!$A$14:$E$15,2,0)*Y4+Datos!$B$7*J4*L4/10000+Datos!$B$16*Z4)+Datos!$B$11*VLOOKUP($A$4,Datos!$A$14:$E$15,3,0)*Y4)</f>
        <v/>
      </c>
      <c r="F4" s="24">
        <f>VLOOKUP(D4,Datos!$A$19:$E$23,4,0)*E4*C4</f>
        <v/>
      </c>
      <c r="G4" s="24">
        <f>F4</f>
        <v/>
      </c>
      <c r="H4" s="24">
        <f>VLOOKUP(D4,Datos!$A$19:$E$23,2,0)*E4*C4^2</f>
        <v/>
      </c>
      <c r="I4" s="24">
        <f>VLOOKUP(D4,Datos!$A$19:$E$23,3,0)*E4*C4^2</f>
        <v/>
      </c>
      <c r="J4" s="23" t="n">
        <v>15</v>
      </c>
      <c r="K4" s="7">
        <f>L4-AA4</f>
        <v/>
      </c>
      <c r="L4" s="23" t="n">
        <v>70</v>
      </c>
      <c r="M4" s="25">
        <f>IF(H4&lt;=0,"---",IF(H4*100/(Datos!$B$8*J4*K4^2*Datos!$B$5)&gt;=0.5,"REVISAR",MAX((1-SQRT(1-2*H4*100/(Datos!$B$8*J4*K4^2*Datos!$B$5)))*J4*K4*Datos!$B$5/Datos!$B$6,0.0033*J4*K4)))</f>
        <v/>
      </c>
      <c r="N4" s="23" t="n">
        <v>2</v>
      </c>
      <c r="O4" s="23" t="n">
        <v>25</v>
      </c>
      <c r="P4" s="25">
        <f>IF(I4&lt;=0,"---",IF(I4*100/(Datos!$B$8*J4*K4^2*Datos!$B$5)&gt;=0.5,"REVISAR",MAX((1-SQRT(1-2*I4*100/(Datos!$B$8*J4*K4^2*Datos!$B$5)))*J4*K4*Datos!$B$5/Datos!$B$6,0.0033*J4*K4)))</f>
        <v/>
      </c>
      <c r="Q4" s="23" t="n">
        <v>3</v>
      </c>
      <c r="R4" s="23" t="n">
        <v>25</v>
      </c>
      <c r="S4" s="25">
        <f>F4/(J4*0.85*K4)</f>
        <v/>
      </c>
      <c r="T4" s="25">
        <f>G4/(J4*0.85*K4)</f>
        <v/>
      </c>
      <c r="U4" s="23" t="n">
        <v>8</v>
      </c>
      <c r="V4" s="23" t="n">
        <v>15</v>
      </c>
      <c r="W4" s="7">
        <f>IF(NOT(AND(IF(ISNUMBER(M4),N4*PI()*(O4/10)^2/4&gt;=M4,TRUE),IF(ISNUMBER(P4),Q4*PI()*(R4/10)^2/4&gt;=P4,TRUE),IF(ISNUMBER(M4),M4&lt;=0.0163*J4*K4,TRUE),IF(ISNUMBER(P4),P4&lt;=0.0163*J4*K4,TRUE))),"NO VERIFICA FLEX.",IF(NOT(F4&lt;=Datos!$B$9*(0.53*SQRT(Datos!$B$5)*J4*K4+2*PI()*(U4/10)^2/4*Datos!$B$6*K4/V4)),"NO VERIF. CORTE",IF(NOT(L4&gt;=C4*100/VLOOKUP(D4,Datos!$A$19:$E$23,5,0)),"VERIFICAR FLECHA","VERIFICA")))</f>
        <v/>
      </c>
      <c r="X4" s="26" t="inlineStr">
        <is>
          <t>Armadura en 2 capas (rec. 6 cm).</t>
        </is>
      </c>
      <c r="Y4" s="23" t="n">
        <v>2</v>
      </c>
      <c r="Z4" s="23" t="n">
        <v>2.6</v>
      </c>
      <c r="AA4" s="23" t="n">
        <v>6</v>
      </c>
    </row>
    <row r="5" ht="16" customHeight="1">
      <c r="A5" s="27" t="n"/>
      <c r="B5" s="21" t="inlineStr">
        <is>
          <t>VI 01b</t>
        </is>
      </c>
      <c r="C5" s="22" t="n">
        <v>3.95</v>
      </c>
      <c r="D5" s="23" t="inlineStr">
        <is>
          <t>Continua</t>
        </is>
      </c>
      <c r="E5" s="24">
        <f>(Datos!$B$10*(VLOOKUP($A$4,Datos!$A$14:$E$15,2,0)*Y5+Datos!$B$7*J5*L5/10000+Datos!$B$16*Z5)+Datos!$B$11*VLOOKUP($A$4,Datos!$A$14:$E$15,3,0)*Y5)</f>
        <v/>
      </c>
      <c r="F5" s="24">
        <f>VLOOKUP(D5,Datos!$A$19:$E$23,4,0)*E5*C5</f>
        <v/>
      </c>
      <c r="G5" s="24">
        <f>F5</f>
        <v/>
      </c>
      <c r="H5" s="24">
        <f>VLOOKUP(D5,Datos!$A$19:$E$23,2,0)*E5*C5^2</f>
        <v/>
      </c>
      <c r="I5" s="24">
        <f>VLOOKUP(D5,Datos!$A$19:$E$23,3,0)*E5*C5^2</f>
        <v/>
      </c>
      <c r="J5" s="23" t="n">
        <v>15</v>
      </c>
      <c r="K5" s="7">
        <f>L5-AA5</f>
        <v/>
      </c>
      <c r="L5" s="23" t="n">
        <v>70</v>
      </c>
      <c r="M5" s="25">
        <f>IF(H5&lt;=0,"---",IF(H5*100/(Datos!$B$8*J5*K5^2*Datos!$B$5)&gt;=0.5,"REVISAR",MAX((1-SQRT(1-2*H5*100/(Datos!$B$8*J5*K5^2*Datos!$B$5)))*J5*K5*Datos!$B$5/Datos!$B$6,0.0033*J5*K5)))</f>
        <v/>
      </c>
      <c r="N5" s="23" t="n">
        <v>3</v>
      </c>
      <c r="O5" s="23" t="n">
        <v>12</v>
      </c>
      <c r="P5" s="25">
        <f>IF(I5&lt;=0,"---",IF(I5*100/(Datos!$B$8*J5*K5^2*Datos!$B$5)&gt;=0.5,"REVISAR",MAX((1-SQRT(1-2*I5*100/(Datos!$B$8*J5*K5^2*Datos!$B$5)))*J5*K5*Datos!$B$5/Datos!$B$6,0.0033*J5*K5)))</f>
        <v/>
      </c>
      <c r="Q5" s="23" t="n">
        <v>3</v>
      </c>
      <c r="R5" s="23" t="n">
        <v>12</v>
      </c>
      <c r="S5" s="25">
        <f>F5/(J5*0.85*K5)</f>
        <v/>
      </c>
      <c r="T5" s="25">
        <f>G5/(J5*0.85*K5)</f>
        <v/>
      </c>
      <c r="U5" s="23" t="n">
        <v>6</v>
      </c>
      <c r="V5" s="23" t="n">
        <v>30</v>
      </c>
      <c r="W5" s="7">
        <f>IF(NOT(AND(IF(ISNUMBER(M5),N5*PI()*(O5/10)^2/4&gt;=M5,TRUE),IF(ISNUMBER(P5),Q5*PI()*(R5/10)^2/4&gt;=P5,TRUE),IF(ISNUMBER(M5),M5&lt;=0.0163*J5*K5,TRUE),IF(ISNUMBER(P5),P5&lt;=0.0163*J5*K5,TRUE))),"NO VERIFICA FLEX.",IF(NOT(F5&lt;=Datos!$B$9*(0.53*SQRT(Datos!$B$5)*J5*K5+2*PI()*(U5/10)^2/4*Datos!$B$6*K5/V5)),"NO VERIF. CORTE",IF(NOT(L5&gt;=C5*100/VLOOKUP(D5,Datos!$A$19:$E$23,5,0)),"VERIFICAR FLECHA","VERIFICA")))</f>
        <v/>
      </c>
      <c r="X5" s="7" t="n"/>
      <c r="Y5" s="23" t="n">
        <v>2</v>
      </c>
      <c r="Z5" s="23" t="n">
        <v>2.6</v>
      </c>
      <c r="AA5" s="23" t="n">
        <v>3</v>
      </c>
    </row>
    <row r="6" ht="16" customHeight="1">
      <c r="A6" s="27" t="n"/>
      <c r="B6" s="21" t="inlineStr">
        <is>
          <t>VI 02</t>
        </is>
      </c>
      <c r="C6" s="22" t="n">
        <v>9.880000000000001</v>
      </c>
      <c r="D6" s="23" t="inlineStr">
        <is>
          <t>Continua</t>
        </is>
      </c>
      <c r="E6" s="24">
        <f>(Datos!$B$10*(VLOOKUP($A$4,Datos!$A$14:$E$15,2,0)*Y6+Datos!$B$7*J6*L6/10000+Datos!$B$16*Z6)+Datos!$B$11*VLOOKUP($A$4,Datos!$A$14:$E$15,3,0)*Y6)</f>
        <v/>
      </c>
      <c r="F6" s="24">
        <f>VLOOKUP(D6,Datos!$A$19:$E$23,4,0)*E6*C6</f>
        <v/>
      </c>
      <c r="G6" s="24">
        <f>F6</f>
        <v/>
      </c>
      <c r="H6" s="24">
        <f>VLOOKUP(D6,Datos!$A$19:$E$23,2,0)*E6*C6^2</f>
        <v/>
      </c>
      <c r="I6" s="24">
        <f>VLOOKUP(D6,Datos!$A$19:$E$23,3,0)*E6*C6^2</f>
        <v/>
      </c>
      <c r="J6" s="23" t="n">
        <v>15</v>
      </c>
      <c r="K6" s="7">
        <f>L6-AA6</f>
        <v/>
      </c>
      <c r="L6" s="23" t="n">
        <v>60</v>
      </c>
      <c r="M6" s="25">
        <f>IF(H6&lt;=0,"---",IF(H6*100/(Datos!$B$8*J6*K6^2*Datos!$B$5)&gt;=0.5,"REVISAR",MAX((1-SQRT(1-2*H6*100/(Datos!$B$8*J6*K6^2*Datos!$B$5)))*J6*K6*Datos!$B$5/Datos!$B$6,0.0033*J6*K6)))</f>
        <v/>
      </c>
      <c r="N6" s="23" t="n">
        <v>4</v>
      </c>
      <c r="O6" s="23" t="n">
        <v>20</v>
      </c>
      <c r="P6" s="25">
        <f>IF(I6&lt;=0,"---",IF(I6*100/(Datos!$B$8*J6*K6^2*Datos!$B$5)&gt;=0.5,"REVISAR",MAX((1-SQRT(1-2*I6*100/(Datos!$B$8*J6*K6^2*Datos!$B$5)))*J6*K6*Datos!$B$5/Datos!$B$6,0.0033*J6*K6)))</f>
        <v/>
      </c>
      <c r="Q6" s="23" t="n">
        <v>4</v>
      </c>
      <c r="R6" s="23" t="n">
        <v>25</v>
      </c>
      <c r="S6" s="25">
        <f>F6/(J6*0.85*K6)</f>
        <v/>
      </c>
      <c r="T6" s="25">
        <f>G6/(J6*0.85*K6)</f>
        <v/>
      </c>
      <c r="U6" s="23" t="n">
        <v>8</v>
      </c>
      <c r="V6" s="23" t="n">
        <v>10</v>
      </c>
      <c r="W6" s="7">
        <f>IF(NOT(AND(IF(ISNUMBER(M6),N6*PI()*(O6/10)^2/4&gt;=M6,TRUE),IF(ISNUMBER(P6),Q6*PI()*(R6/10)^2/4&gt;=P6,TRUE),IF(ISNUMBER(M6),M6&lt;=0.0163*J6*K6,TRUE),IF(ISNUMBER(P6),P6&lt;=0.0163*J6*K6,TRUE))),"NO VERIFICA FLEX.",IF(NOT(F6&lt;=Datos!$B$9*(0.53*SQRT(Datos!$B$5)*J6*K6+2*PI()*(U6/10)^2/4*Datos!$B$6*K6/V6)),"NO VERIF. CORTE",IF(NOT(L6&gt;=C6*100/VLOOKUP(D6,Datos!$A$19:$E$23,5,0)),"VERIFICAR FLECHA","VERIFICA")))</f>
        <v/>
      </c>
      <c r="X6" s="26" t="inlineStr">
        <is>
          <t>Armadura en 2 capas (rec. 6 cm). La armadura de apoyo necesaria supera la cuantia maxima: la seccion 15x60 no alcanza como tramo unico de 9,88 m. Requiere d=65 cm o apoyo intermedio.</t>
        </is>
      </c>
      <c r="Y6" s="23" t="n">
        <v>2</v>
      </c>
      <c r="Z6" s="23" t="n">
        <v>2.6</v>
      </c>
      <c r="AA6" s="23" t="n">
        <v>6</v>
      </c>
    </row>
    <row r="7" ht="16" customHeight="1">
      <c r="A7" s="27" t="n"/>
      <c r="B7" s="21" t="inlineStr">
        <is>
          <t>VI 03c</t>
        </is>
      </c>
      <c r="C7" s="22" t="n">
        <v>3.75</v>
      </c>
      <c r="D7" s="23" t="inlineStr">
        <is>
          <t>Continua</t>
        </is>
      </c>
      <c r="E7" s="24">
        <f>(Datos!$B$10*(VLOOKUP($A$4,Datos!$A$14:$E$15,2,0)*Y7+Datos!$B$7*J7*L7/10000+Datos!$B$16*Z7)+Datos!$B$11*VLOOKUP($A$4,Datos!$A$14:$E$15,3,0)*Y7)</f>
        <v/>
      </c>
      <c r="F7" s="24">
        <f>VLOOKUP(D7,Datos!$A$19:$E$23,4,0)*E7*C7</f>
        <v/>
      </c>
      <c r="G7" s="24">
        <f>F7</f>
        <v/>
      </c>
      <c r="H7" s="24">
        <f>VLOOKUP(D7,Datos!$A$19:$E$23,2,0)*E7*C7^2</f>
        <v/>
      </c>
      <c r="I7" s="24">
        <f>VLOOKUP(D7,Datos!$A$19:$E$23,3,0)*E7*C7^2</f>
        <v/>
      </c>
      <c r="J7" s="23" t="n">
        <v>15</v>
      </c>
      <c r="K7" s="7">
        <f>L7-AA7</f>
        <v/>
      </c>
      <c r="L7" s="23" t="n">
        <v>70</v>
      </c>
      <c r="M7" s="25">
        <f>IF(H7&lt;=0,"---",IF(H7*100/(Datos!$B$8*J7*K7^2*Datos!$B$5)&gt;=0.5,"REVISAR",MAX((1-SQRT(1-2*H7*100/(Datos!$B$8*J7*K7^2*Datos!$B$5)))*J7*K7*Datos!$B$5/Datos!$B$6,0.0033*J7*K7)))</f>
        <v/>
      </c>
      <c r="N7" s="23" t="n">
        <v>3</v>
      </c>
      <c r="O7" s="23" t="n">
        <v>12</v>
      </c>
      <c r="P7" s="25">
        <f>IF(I7&lt;=0,"---",IF(I7*100/(Datos!$B$8*J7*K7^2*Datos!$B$5)&gt;=0.5,"REVISAR",MAX((1-SQRT(1-2*I7*100/(Datos!$B$8*J7*K7^2*Datos!$B$5)))*J7*K7*Datos!$B$5/Datos!$B$6,0.0033*J7*K7)))</f>
        <v/>
      </c>
      <c r="Q7" s="23" t="n">
        <v>3</v>
      </c>
      <c r="R7" s="23" t="n">
        <v>12</v>
      </c>
      <c r="S7" s="25">
        <f>F7/(J7*0.85*K7)</f>
        <v/>
      </c>
      <c r="T7" s="25">
        <f>G7/(J7*0.85*K7)</f>
        <v/>
      </c>
      <c r="U7" s="23" t="n">
        <v>6</v>
      </c>
      <c r="V7" s="23" t="n">
        <v>30</v>
      </c>
      <c r="W7" s="7">
        <f>IF(NOT(AND(IF(ISNUMBER(M7),N7*PI()*(O7/10)^2/4&gt;=M7,TRUE),IF(ISNUMBER(P7),Q7*PI()*(R7/10)^2/4&gt;=P7,TRUE),IF(ISNUMBER(M7),M7&lt;=0.0163*J7*K7,TRUE),IF(ISNUMBER(P7),P7&lt;=0.0163*J7*K7,TRUE))),"NO VERIFICA FLEX.",IF(NOT(F7&lt;=Datos!$B$9*(0.53*SQRT(Datos!$B$5)*J7*K7+2*PI()*(U7/10)^2/4*Datos!$B$6*K7/V7)),"NO VERIF. CORTE",IF(NOT(L7&gt;=C7*100/VLOOKUP(D7,Datos!$A$19:$E$23,5,0)),"VERIFICAR FLECHA","VERIFICA")))</f>
        <v/>
      </c>
      <c r="X7" s="7" t="n"/>
      <c r="Y7" s="23" t="n">
        <v>2</v>
      </c>
      <c r="Z7" s="23" t="n">
        <v>2.6</v>
      </c>
      <c r="AA7" s="23" t="n">
        <v>3</v>
      </c>
    </row>
    <row r="8" ht="16" customHeight="1">
      <c r="A8" s="27" t="n"/>
      <c r="B8" s="21" t="inlineStr">
        <is>
          <t>VI 04a</t>
        </is>
      </c>
      <c r="C8" s="22" t="n">
        <v>3.75</v>
      </c>
      <c r="D8" s="23" t="inlineStr">
        <is>
          <t>Continua</t>
        </is>
      </c>
      <c r="E8" s="24">
        <f>(Datos!$B$10*(VLOOKUP($A$4,Datos!$A$14:$E$15,2,0)*Y8+Datos!$B$7*J8*L8/10000+Datos!$B$16*Z8)+Datos!$B$11*VLOOKUP($A$4,Datos!$A$14:$E$15,3,0)*Y8)</f>
        <v/>
      </c>
      <c r="F8" s="24">
        <f>VLOOKUP(D8,Datos!$A$19:$E$23,4,0)*E8*C8</f>
        <v/>
      </c>
      <c r="G8" s="24">
        <f>F8</f>
        <v/>
      </c>
      <c r="H8" s="24">
        <f>VLOOKUP(D8,Datos!$A$19:$E$23,2,0)*E8*C8^2</f>
        <v/>
      </c>
      <c r="I8" s="24">
        <f>VLOOKUP(D8,Datos!$A$19:$E$23,3,0)*E8*C8^2</f>
        <v/>
      </c>
      <c r="J8" s="23" t="n">
        <v>15</v>
      </c>
      <c r="K8" s="7">
        <f>L8-AA8</f>
        <v/>
      </c>
      <c r="L8" s="23" t="n">
        <v>70</v>
      </c>
      <c r="M8" s="25">
        <f>IF(H8&lt;=0,"---",IF(H8*100/(Datos!$B$8*J8*K8^2*Datos!$B$5)&gt;=0.5,"REVISAR",MAX((1-SQRT(1-2*H8*100/(Datos!$B$8*J8*K8^2*Datos!$B$5)))*J8*K8*Datos!$B$5/Datos!$B$6,0.0033*J8*K8)))</f>
        <v/>
      </c>
      <c r="N8" s="23" t="n">
        <v>3</v>
      </c>
      <c r="O8" s="23" t="n">
        <v>12</v>
      </c>
      <c r="P8" s="25">
        <f>IF(I8&lt;=0,"---",IF(I8*100/(Datos!$B$8*J8*K8^2*Datos!$B$5)&gt;=0.5,"REVISAR",MAX((1-SQRT(1-2*I8*100/(Datos!$B$8*J8*K8^2*Datos!$B$5)))*J8*K8*Datos!$B$5/Datos!$B$6,0.0033*J8*K8)))</f>
        <v/>
      </c>
      <c r="Q8" s="23" t="n">
        <v>3</v>
      </c>
      <c r="R8" s="23" t="n">
        <v>12</v>
      </c>
      <c r="S8" s="25">
        <f>F8/(J8*0.85*K8)</f>
        <v/>
      </c>
      <c r="T8" s="25">
        <f>G8/(J8*0.85*K8)</f>
        <v/>
      </c>
      <c r="U8" s="23" t="n">
        <v>6</v>
      </c>
      <c r="V8" s="23" t="n">
        <v>30</v>
      </c>
      <c r="W8" s="7">
        <f>IF(NOT(AND(IF(ISNUMBER(M8),N8*PI()*(O8/10)^2/4&gt;=M8,TRUE),IF(ISNUMBER(P8),Q8*PI()*(R8/10)^2/4&gt;=P8,TRUE),IF(ISNUMBER(M8),M8&lt;=0.0163*J8*K8,TRUE),IF(ISNUMBER(P8),P8&lt;=0.0163*J8*K8,TRUE))),"NO VERIFICA FLEX.",IF(NOT(F8&lt;=Datos!$B$9*(0.53*SQRT(Datos!$B$5)*J8*K8+2*PI()*(U8/10)^2/4*Datos!$B$6*K8/V8)),"NO VERIF. CORTE",IF(NOT(L8&gt;=C8*100/VLOOKUP(D8,Datos!$A$19:$E$23,5,0)),"VERIFICAR FLECHA","VERIFICA")))</f>
        <v/>
      </c>
      <c r="X8" s="7" t="n"/>
      <c r="Y8" s="23" t="n">
        <v>2</v>
      </c>
      <c r="Z8" s="23" t="n">
        <v>2.6</v>
      </c>
      <c r="AA8" s="23" t="n">
        <v>3</v>
      </c>
    </row>
    <row r="9" ht="16" customHeight="1">
      <c r="A9" s="27" t="n"/>
      <c r="B9" s="21" t="inlineStr">
        <is>
          <t>VI 04b</t>
        </is>
      </c>
      <c r="C9" s="22" t="n">
        <v>3.8</v>
      </c>
      <c r="D9" s="23" t="inlineStr">
        <is>
          <t>Continua</t>
        </is>
      </c>
      <c r="E9" s="24">
        <f>(Datos!$B$10*(VLOOKUP($A$4,Datos!$A$14:$E$15,2,0)*Y9+Datos!$B$7*J9*L9/10000+Datos!$B$16*Z9)+Datos!$B$11*VLOOKUP($A$4,Datos!$A$14:$E$15,3,0)*Y9)</f>
        <v/>
      </c>
      <c r="F9" s="24">
        <f>VLOOKUP(D9,Datos!$A$19:$E$23,4,0)*E9*C9</f>
        <v/>
      </c>
      <c r="G9" s="24">
        <f>F9</f>
        <v/>
      </c>
      <c r="H9" s="24">
        <f>VLOOKUP(D9,Datos!$A$19:$E$23,2,0)*E9*C9^2</f>
        <v/>
      </c>
      <c r="I9" s="24">
        <f>VLOOKUP(D9,Datos!$A$19:$E$23,3,0)*E9*C9^2</f>
        <v/>
      </c>
      <c r="J9" s="23" t="n">
        <v>15</v>
      </c>
      <c r="K9" s="7">
        <f>L9-AA9</f>
        <v/>
      </c>
      <c r="L9" s="23" t="n">
        <v>70</v>
      </c>
      <c r="M9" s="25">
        <f>IF(H9&lt;=0,"---",IF(H9*100/(Datos!$B$8*J9*K9^2*Datos!$B$5)&gt;=0.5,"REVISAR",MAX((1-SQRT(1-2*H9*100/(Datos!$B$8*J9*K9^2*Datos!$B$5)))*J9*K9*Datos!$B$5/Datos!$B$6,0.0033*J9*K9)))</f>
        <v/>
      </c>
      <c r="N9" s="23" t="n">
        <v>3</v>
      </c>
      <c r="O9" s="23" t="n">
        <v>12</v>
      </c>
      <c r="P9" s="25">
        <f>IF(I9&lt;=0,"---",IF(I9*100/(Datos!$B$8*J9*K9^2*Datos!$B$5)&gt;=0.5,"REVISAR",MAX((1-SQRT(1-2*I9*100/(Datos!$B$8*J9*K9^2*Datos!$B$5)))*J9*K9*Datos!$B$5/Datos!$B$6,0.0033*J9*K9)))</f>
        <v/>
      </c>
      <c r="Q9" s="23" t="n">
        <v>3</v>
      </c>
      <c r="R9" s="23" t="n">
        <v>12</v>
      </c>
      <c r="S9" s="25">
        <f>F9/(J9*0.85*K9)</f>
        <v/>
      </c>
      <c r="T9" s="25">
        <f>G9/(J9*0.85*K9)</f>
        <v/>
      </c>
      <c r="U9" s="23" t="n">
        <v>6</v>
      </c>
      <c r="V9" s="23" t="n">
        <v>30</v>
      </c>
      <c r="W9" s="7">
        <f>IF(NOT(AND(IF(ISNUMBER(M9),N9*PI()*(O9/10)^2/4&gt;=M9,TRUE),IF(ISNUMBER(P9),Q9*PI()*(R9/10)^2/4&gt;=P9,TRUE),IF(ISNUMBER(M9),M9&lt;=0.0163*J9*K9,TRUE),IF(ISNUMBER(P9),P9&lt;=0.0163*J9*K9,TRUE))),"NO VERIFICA FLEX.",IF(NOT(F9&lt;=Datos!$B$9*(0.53*SQRT(Datos!$B$5)*J9*K9+2*PI()*(U9/10)^2/4*Datos!$B$6*K9/V9)),"NO VERIF. CORTE",IF(NOT(L9&gt;=C9*100/VLOOKUP(D9,Datos!$A$19:$E$23,5,0)),"VERIFICAR FLECHA","VERIFICA")))</f>
        <v/>
      </c>
      <c r="X9" s="7" t="n"/>
      <c r="Y9" s="23" t="n">
        <v>2</v>
      </c>
      <c r="Z9" s="23" t="n">
        <v>2.6</v>
      </c>
      <c r="AA9" s="23" t="n">
        <v>3</v>
      </c>
    </row>
    <row r="10" ht="16" customHeight="1">
      <c r="A10" s="27" t="n"/>
      <c r="B10" s="21" t="inlineStr">
        <is>
          <t>VI 07a</t>
        </is>
      </c>
      <c r="C10" s="22" t="n">
        <v>3.37</v>
      </c>
      <c r="D10" s="23" t="inlineStr">
        <is>
          <t>Continua</t>
        </is>
      </c>
      <c r="E10" s="24">
        <f>(Datos!$B$10*(VLOOKUP($A$4,Datos!$A$14:$E$15,2,0)*Y10+Datos!$B$7*J10*L10/10000+Datos!$B$16*Z10)+Datos!$B$11*VLOOKUP($A$4,Datos!$A$14:$E$15,3,0)*Y10)</f>
        <v/>
      </c>
      <c r="F10" s="24">
        <f>VLOOKUP(D10,Datos!$A$19:$E$23,4,0)*E10*C10</f>
        <v/>
      </c>
      <c r="G10" s="24">
        <f>F10</f>
        <v/>
      </c>
      <c r="H10" s="24">
        <f>VLOOKUP(D10,Datos!$A$19:$E$23,2,0)*E10*C10^2</f>
        <v/>
      </c>
      <c r="I10" s="24">
        <f>VLOOKUP(D10,Datos!$A$19:$E$23,3,0)*E10*C10^2</f>
        <v/>
      </c>
      <c r="J10" s="23" t="n">
        <v>15</v>
      </c>
      <c r="K10" s="7">
        <f>L10-AA10</f>
        <v/>
      </c>
      <c r="L10" s="23" t="n">
        <v>70</v>
      </c>
      <c r="M10" s="25">
        <f>IF(H10&lt;=0,"---",IF(H10*100/(Datos!$B$8*J10*K10^2*Datos!$B$5)&gt;=0.5,"REVISAR",MAX((1-SQRT(1-2*H10*100/(Datos!$B$8*J10*K10^2*Datos!$B$5)))*J10*K10*Datos!$B$5/Datos!$B$6,0.0033*J10*K10)))</f>
        <v/>
      </c>
      <c r="N10" s="23" t="n">
        <v>3</v>
      </c>
      <c r="O10" s="23" t="n">
        <v>12</v>
      </c>
      <c r="P10" s="25">
        <f>IF(I10&lt;=0,"---",IF(I10*100/(Datos!$B$8*J10*K10^2*Datos!$B$5)&gt;=0.5,"REVISAR",MAX((1-SQRT(1-2*I10*100/(Datos!$B$8*J10*K10^2*Datos!$B$5)))*J10*K10*Datos!$B$5/Datos!$B$6,0.0033*J10*K10)))</f>
        <v/>
      </c>
      <c r="Q10" s="23" t="n">
        <v>3</v>
      </c>
      <c r="R10" s="23" t="n">
        <v>12</v>
      </c>
      <c r="S10" s="25">
        <f>F10/(J10*0.85*K10)</f>
        <v/>
      </c>
      <c r="T10" s="25">
        <f>G10/(J10*0.85*K10)</f>
        <v/>
      </c>
      <c r="U10" s="23" t="n">
        <v>6</v>
      </c>
      <c r="V10" s="23" t="n">
        <v>30</v>
      </c>
      <c r="W10" s="7">
        <f>IF(NOT(AND(IF(ISNUMBER(M10),N10*PI()*(O10/10)^2/4&gt;=M10,TRUE),IF(ISNUMBER(P10),Q10*PI()*(R10/10)^2/4&gt;=P10,TRUE),IF(ISNUMBER(M10),M10&lt;=0.0163*J10*K10,TRUE),IF(ISNUMBER(P10),P10&lt;=0.0163*J10*K10,TRUE))),"NO VERIFICA FLEX.",IF(NOT(F10&lt;=Datos!$B$9*(0.53*SQRT(Datos!$B$5)*J10*K10+2*PI()*(U10/10)^2/4*Datos!$B$6*K10/V10)),"NO VERIF. CORTE",IF(NOT(L10&gt;=C10*100/VLOOKUP(D10,Datos!$A$19:$E$23,5,0)),"VERIFICAR FLECHA","VERIFICA")))</f>
        <v/>
      </c>
      <c r="X10" s="7" t="n"/>
      <c r="Y10" s="23" t="n">
        <v>2</v>
      </c>
      <c r="Z10" s="23" t="n">
        <v>2.6</v>
      </c>
      <c r="AA10" s="23" t="n">
        <v>3</v>
      </c>
    </row>
    <row r="11" ht="16" customHeight="1">
      <c r="A11" s="27" t="n"/>
      <c r="B11" s="21" t="inlineStr">
        <is>
          <t>VI 07b</t>
        </is>
      </c>
      <c r="C11" s="22" t="n">
        <v>4.03</v>
      </c>
      <c r="D11" s="23" t="inlineStr">
        <is>
          <t>Continua</t>
        </is>
      </c>
      <c r="E11" s="24">
        <f>(Datos!$B$10*(VLOOKUP($A$4,Datos!$A$14:$E$15,2,0)*Y11+Datos!$B$7*J11*L11/10000+Datos!$B$16*Z11)+Datos!$B$11*VLOOKUP($A$4,Datos!$A$14:$E$15,3,0)*Y11)</f>
        <v/>
      </c>
      <c r="F11" s="24">
        <f>VLOOKUP(D11,Datos!$A$19:$E$23,4,0)*E11*C11</f>
        <v/>
      </c>
      <c r="G11" s="24">
        <f>F11</f>
        <v/>
      </c>
      <c r="H11" s="24">
        <f>VLOOKUP(D11,Datos!$A$19:$E$23,2,0)*E11*C11^2</f>
        <v/>
      </c>
      <c r="I11" s="24">
        <f>VLOOKUP(D11,Datos!$A$19:$E$23,3,0)*E11*C11^2</f>
        <v/>
      </c>
      <c r="J11" s="23" t="n">
        <v>15</v>
      </c>
      <c r="K11" s="7">
        <f>L11-AA11</f>
        <v/>
      </c>
      <c r="L11" s="23" t="n">
        <v>70</v>
      </c>
      <c r="M11" s="25">
        <f>IF(H11&lt;=0,"---",IF(H11*100/(Datos!$B$8*J11*K11^2*Datos!$B$5)&gt;=0.5,"REVISAR",MAX((1-SQRT(1-2*H11*100/(Datos!$B$8*J11*K11^2*Datos!$B$5)))*J11*K11*Datos!$B$5/Datos!$B$6,0.0033*J11*K11)))</f>
        <v/>
      </c>
      <c r="N11" s="23" t="n">
        <v>3</v>
      </c>
      <c r="O11" s="23" t="n">
        <v>12</v>
      </c>
      <c r="P11" s="25">
        <f>IF(I11&lt;=0,"---",IF(I11*100/(Datos!$B$8*J11*K11^2*Datos!$B$5)&gt;=0.5,"REVISAR",MAX((1-SQRT(1-2*I11*100/(Datos!$B$8*J11*K11^2*Datos!$B$5)))*J11*K11*Datos!$B$5/Datos!$B$6,0.0033*J11*K11)))</f>
        <v/>
      </c>
      <c r="Q11" s="23" t="n">
        <v>3</v>
      </c>
      <c r="R11" s="23" t="n">
        <v>12</v>
      </c>
      <c r="S11" s="25">
        <f>F11/(J11*0.85*K11)</f>
        <v/>
      </c>
      <c r="T11" s="25">
        <f>G11/(J11*0.85*K11)</f>
        <v/>
      </c>
      <c r="U11" s="23" t="n">
        <v>6</v>
      </c>
      <c r="V11" s="23" t="n">
        <v>30</v>
      </c>
      <c r="W11" s="7">
        <f>IF(NOT(AND(IF(ISNUMBER(M11),N11*PI()*(O11/10)^2/4&gt;=M11,TRUE),IF(ISNUMBER(P11),Q11*PI()*(R11/10)^2/4&gt;=P11,TRUE),IF(ISNUMBER(M11),M11&lt;=0.0163*J11*K11,TRUE),IF(ISNUMBER(P11),P11&lt;=0.0163*J11*K11,TRUE))),"NO VERIFICA FLEX.",IF(NOT(F11&lt;=Datos!$B$9*(0.53*SQRT(Datos!$B$5)*J11*K11+2*PI()*(U11/10)^2/4*Datos!$B$6*K11/V11)),"NO VERIF. CORTE",IF(NOT(L11&gt;=C11*100/VLOOKUP(D11,Datos!$A$19:$E$23,5,0)),"VERIFICAR FLECHA","VERIFICA")))</f>
        <v/>
      </c>
      <c r="X11" s="7" t="n"/>
      <c r="Y11" s="23" t="n">
        <v>2</v>
      </c>
      <c r="Z11" s="23" t="n">
        <v>2.6</v>
      </c>
      <c r="AA11" s="23" t="n">
        <v>3</v>
      </c>
    </row>
    <row r="12" ht="16" customHeight="1">
      <c r="A12" s="27" t="n"/>
      <c r="B12" s="21" t="inlineStr">
        <is>
          <t>VI 07c</t>
        </is>
      </c>
      <c r="C12" s="22" t="n">
        <v>8.6</v>
      </c>
      <c r="D12" s="23" t="inlineStr">
        <is>
          <t>Continua</t>
        </is>
      </c>
      <c r="E12" s="24">
        <f>(Datos!$B$10*(VLOOKUP($A$4,Datos!$A$14:$E$15,2,0)*Y12+Datos!$B$7*J12*L12/10000+Datos!$B$16*Z12)+Datos!$B$11*VLOOKUP($A$4,Datos!$A$14:$E$15,3,0)*Y12)</f>
        <v/>
      </c>
      <c r="F12" s="24">
        <f>VLOOKUP(D12,Datos!$A$19:$E$23,4,0)*E12*C12</f>
        <v/>
      </c>
      <c r="G12" s="24">
        <f>F12</f>
        <v/>
      </c>
      <c r="H12" s="24">
        <f>VLOOKUP(D12,Datos!$A$19:$E$23,2,0)*E12*C12^2</f>
        <v/>
      </c>
      <c r="I12" s="24">
        <f>VLOOKUP(D12,Datos!$A$19:$E$23,3,0)*E12*C12^2</f>
        <v/>
      </c>
      <c r="J12" s="23" t="n">
        <v>15</v>
      </c>
      <c r="K12" s="7">
        <f>L12-AA12</f>
        <v/>
      </c>
      <c r="L12" s="23" t="n">
        <v>70</v>
      </c>
      <c r="M12" s="25">
        <f>IF(H12&lt;=0,"---",IF(H12*100/(Datos!$B$8*J12*K12^2*Datos!$B$5)&gt;=0.5,"REVISAR",MAX((1-SQRT(1-2*H12*100/(Datos!$B$8*J12*K12^2*Datos!$B$5)))*J12*K12*Datos!$B$5/Datos!$B$6,0.0033*J12*K12)))</f>
        <v/>
      </c>
      <c r="N12" s="23" t="n">
        <v>2</v>
      </c>
      <c r="O12" s="23" t="n">
        <v>25</v>
      </c>
      <c r="P12" s="25">
        <f>IF(I12&lt;=0,"---",IF(I12*100/(Datos!$B$8*J12*K12^2*Datos!$B$5)&gt;=0.5,"REVISAR",MAX((1-SQRT(1-2*I12*100/(Datos!$B$8*J12*K12^2*Datos!$B$5)))*J12*K12*Datos!$B$5/Datos!$B$6,0.0033*J12*K12)))</f>
        <v/>
      </c>
      <c r="Q12" s="23" t="n">
        <v>4</v>
      </c>
      <c r="R12" s="23" t="n">
        <v>20</v>
      </c>
      <c r="S12" s="25">
        <f>F12/(J12*0.85*K12)</f>
        <v/>
      </c>
      <c r="T12" s="25">
        <f>G12/(J12*0.85*K12)</f>
        <v/>
      </c>
      <c r="U12" s="23" t="n">
        <v>6</v>
      </c>
      <c r="V12" s="23" t="n">
        <v>10</v>
      </c>
      <c r="W12" s="7">
        <f>IF(NOT(AND(IF(ISNUMBER(M12),N12*PI()*(O12/10)^2/4&gt;=M12,TRUE),IF(ISNUMBER(P12),Q12*PI()*(R12/10)^2/4&gt;=P12,TRUE),IF(ISNUMBER(M12),M12&lt;=0.0163*J12*K12,TRUE),IF(ISNUMBER(P12),P12&lt;=0.0163*J12*K12,TRUE))),"NO VERIFICA FLEX.",IF(NOT(F12&lt;=Datos!$B$9*(0.53*SQRT(Datos!$B$5)*J12*K12+2*PI()*(U12/10)^2/4*Datos!$B$6*K12/V12)),"NO VERIF. CORTE",IF(NOT(L12&gt;=C12*100/VLOOKUP(D12,Datos!$A$19:$E$23,5,0)),"VERIFICAR FLECHA","VERIFICA")))</f>
        <v/>
      </c>
      <c r="X12" s="26" t="inlineStr">
        <is>
          <t>Armadura en 2 capas (rec. 6 cm).</t>
        </is>
      </c>
      <c r="Y12" s="23" t="n">
        <v>2</v>
      </c>
      <c r="Z12" s="23" t="n">
        <v>2.6</v>
      </c>
      <c r="AA12" s="23" t="n">
        <v>6</v>
      </c>
    </row>
    <row r="13" ht="16" customHeight="1">
      <c r="A13" s="27" t="n"/>
      <c r="B13" s="21" t="inlineStr">
        <is>
          <t>VI 08a</t>
        </is>
      </c>
      <c r="C13" s="22" t="n">
        <v>3.65</v>
      </c>
      <c r="D13" s="23" t="inlineStr">
        <is>
          <t>Continua</t>
        </is>
      </c>
      <c r="E13" s="24">
        <f>(Datos!$B$10*(VLOOKUP($A$4,Datos!$A$14:$E$15,2,0)*Y13+Datos!$B$7*J13*L13/10000+Datos!$B$16*Z13)+Datos!$B$11*VLOOKUP($A$4,Datos!$A$14:$E$15,3,0)*Y13)</f>
        <v/>
      </c>
      <c r="F13" s="24">
        <f>VLOOKUP(D13,Datos!$A$19:$E$23,4,0)*E13*C13</f>
        <v/>
      </c>
      <c r="G13" s="24">
        <f>F13</f>
        <v/>
      </c>
      <c r="H13" s="24">
        <f>VLOOKUP(D13,Datos!$A$19:$E$23,2,0)*E13*C13^2</f>
        <v/>
      </c>
      <c r="I13" s="24">
        <f>VLOOKUP(D13,Datos!$A$19:$E$23,3,0)*E13*C13^2</f>
        <v/>
      </c>
      <c r="J13" s="23" t="n">
        <v>15</v>
      </c>
      <c r="K13" s="7">
        <f>L13-AA13</f>
        <v/>
      </c>
      <c r="L13" s="23" t="n">
        <v>70</v>
      </c>
      <c r="M13" s="25">
        <f>IF(H13&lt;=0,"---",IF(H13*100/(Datos!$B$8*J13*K13^2*Datos!$B$5)&gt;=0.5,"REVISAR",MAX((1-SQRT(1-2*H13*100/(Datos!$B$8*J13*K13^2*Datos!$B$5)))*J13*K13*Datos!$B$5/Datos!$B$6,0.0033*J13*K13)))</f>
        <v/>
      </c>
      <c r="N13" s="23" t="n">
        <v>3</v>
      </c>
      <c r="O13" s="23" t="n">
        <v>12</v>
      </c>
      <c r="P13" s="25">
        <f>IF(I13&lt;=0,"---",IF(I13*100/(Datos!$B$8*J13*K13^2*Datos!$B$5)&gt;=0.5,"REVISAR",MAX((1-SQRT(1-2*I13*100/(Datos!$B$8*J13*K13^2*Datos!$B$5)))*J13*K13*Datos!$B$5/Datos!$B$6,0.0033*J13*K13)))</f>
        <v/>
      </c>
      <c r="Q13" s="23" t="n">
        <v>3</v>
      </c>
      <c r="R13" s="23" t="n">
        <v>12</v>
      </c>
      <c r="S13" s="25">
        <f>F13/(J13*0.85*K13)</f>
        <v/>
      </c>
      <c r="T13" s="25">
        <f>G13/(J13*0.85*K13)</f>
        <v/>
      </c>
      <c r="U13" s="23" t="n">
        <v>6</v>
      </c>
      <c r="V13" s="23" t="n">
        <v>30</v>
      </c>
      <c r="W13" s="7">
        <f>IF(NOT(AND(IF(ISNUMBER(M13),N13*PI()*(O13/10)^2/4&gt;=M13,TRUE),IF(ISNUMBER(P13),Q13*PI()*(R13/10)^2/4&gt;=P13,TRUE),IF(ISNUMBER(M13),M13&lt;=0.0163*J13*K13,TRUE),IF(ISNUMBER(P13),P13&lt;=0.0163*J13*K13,TRUE))),"NO VERIFICA FLEX.",IF(NOT(F13&lt;=Datos!$B$9*(0.53*SQRT(Datos!$B$5)*J13*K13+2*PI()*(U13/10)^2/4*Datos!$B$6*K13/V13)),"NO VERIF. CORTE",IF(NOT(L13&gt;=C13*100/VLOOKUP(D13,Datos!$A$19:$E$23,5,0)),"VERIFICAR FLECHA","VERIFICA")))</f>
        <v/>
      </c>
      <c r="X13" s="7" t="n"/>
      <c r="Y13" s="23" t="n">
        <v>2</v>
      </c>
      <c r="Z13" s="23" t="n">
        <v>2.6</v>
      </c>
      <c r="AA13" s="23" t="n">
        <v>3</v>
      </c>
    </row>
    <row r="14" ht="16" customHeight="1">
      <c r="A14" s="27" t="n"/>
      <c r="B14" s="21" t="inlineStr">
        <is>
          <t>VI 08b</t>
        </is>
      </c>
      <c r="C14" s="22" t="n">
        <v>4.85</v>
      </c>
      <c r="D14" s="23" t="inlineStr">
        <is>
          <t>Continua</t>
        </is>
      </c>
      <c r="E14" s="24">
        <f>(Datos!$B$10*(VLOOKUP($A$4,Datos!$A$14:$E$15,2,0)*Y14+Datos!$B$7*J14*L14/10000+Datos!$B$16*Z14)+Datos!$B$11*VLOOKUP($A$4,Datos!$A$14:$E$15,3,0)*Y14)</f>
        <v/>
      </c>
      <c r="F14" s="24">
        <f>VLOOKUP(D14,Datos!$A$19:$E$23,4,0)*E14*C14</f>
        <v/>
      </c>
      <c r="G14" s="24">
        <f>F14</f>
        <v/>
      </c>
      <c r="H14" s="24">
        <f>VLOOKUP(D14,Datos!$A$19:$E$23,2,0)*E14*C14^2</f>
        <v/>
      </c>
      <c r="I14" s="24">
        <f>VLOOKUP(D14,Datos!$A$19:$E$23,3,0)*E14*C14^2</f>
        <v/>
      </c>
      <c r="J14" s="23" t="n">
        <v>15</v>
      </c>
      <c r="K14" s="7">
        <f>L14-AA14</f>
        <v/>
      </c>
      <c r="L14" s="23" t="n">
        <v>70</v>
      </c>
      <c r="M14" s="25">
        <f>IF(H14&lt;=0,"---",IF(H14*100/(Datos!$B$8*J14*K14^2*Datos!$B$5)&gt;=0.5,"REVISAR",MAX((1-SQRT(1-2*H14*100/(Datos!$B$8*J14*K14^2*Datos!$B$5)))*J14*K14*Datos!$B$5/Datos!$B$6,0.0033*J14*K14)))</f>
        <v/>
      </c>
      <c r="N14" s="23" t="n">
        <v>3</v>
      </c>
      <c r="O14" s="23" t="n">
        <v>12</v>
      </c>
      <c r="P14" s="25">
        <f>IF(I14&lt;=0,"---",IF(I14*100/(Datos!$B$8*J14*K14^2*Datos!$B$5)&gt;=0.5,"REVISAR",MAX((1-SQRT(1-2*I14*100/(Datos!$B$8*J14*K14^2*Datos!$B$5)))*J14*K14*Datos!$B$5/Datos!$B$6,0.0033*J14*K14)))</f>
        <v/>
      </c>
      <c r="Q14" s="23" t="n">
        <v>3</v>
      </c>
      <c r="R14" s="23" t="n">
        <v>12</v>
      </c>
      <c r="S14" s="25">
        <f>F14/(J14*0.85*K14)</f>
        <v/>
      </c>
      <c r="T14" s="25">
        <f>G14/(J14*0.85*K14)</f>
        <v/>
      </c>
      <c r="U14" s="23" t="n">
        <v>6</v>
      </c>
      <c r="V14" s="23" t="n">
        <v>30</v>
      </c>
      <c r="W14" s="7">
        <f>IF(NOT(AND(IF(ISNUMBER(M14),N14*PI()*(O14/10)^2/4&gt;=M14,TRUE),IF(ISNUMBER(P14),Q14*PI()*(R14/10)^2/4&gt;=P14,TRUE),IF(ISNUMBER(M14),M14&lt;=0.0163*J14*K14,TRUE),IF(ISNUMBER(P14),P14&lt;=0.0163*J14*K14,TRUE))),"NO VERIFICA FLEX.",IF(NOT(F14&lt;=Datos!$B$9*(0.53*SQRT(Datos!$B$5)*J14*K14+2*PI()*(U14/10)^2/4*Datos!$B$6*K14/V14)),"NO VERIF. CORTE",IF(NOT(L14&gt;=C14*100/VLOOKUP(D14,Datos!$A$19:$E$23,5,0)),"VERIFICAR FLECHA","VERIFICA")))</f>
        <v/>
      </c>
      <c r="X14" s="7" t="n"/>
      <c r="Y14" s="23" t="n">
        <v>2</v>
      </c>
      <c r="Z14" s="23" t="n">
        <v>2.6</v>
      </c>
      <c r="AA14" s="23" t="n">
        <v>3</v>
      </c>
    </row>
    <row r="15" ht="16" customHeight="1">
      <c r="A15" s="27" t="n"/>
      <c r="B15" s="21" t="inlineStr">
        <is>
          <t>VI 09</t>
        </is>
      </c>
      <c r="C15" s="22" t="n">
        <v>4.85</v>
      </c>
      <c r="D15" s="23" t="inlineStr">
        <is>
          <t>Simplemente apoyada</t>
        </is>
      </c>
      <c r="E15" s="24">
        <f>(Datos!$B$10*(VLOOKUP($A$4,Datos!$A$14:$E$15,2,0)*Y15+Datos!$B$7*J15*L15/10000+Datos!$B$16*Z15)+Datos!$B$11*VLOOKUP($A$4,Datos!$A$14:$E$15,3,0)*Y15)</f>
        <v/>
      </c>
      <c r="F15" s="24">
        <f>VLOOKUP(D15,Datos!$A$19:$E$23,4,0)*E15*C15</f>
        <v/>
      </c>
      <c r="G15" s="24">
        <f>F15</f>
        <v/>
      </c>
      <c r="H15" s="24">
        <f>VLOOKUP(D15,Datos!$A$19:$E$23,2,0)*E15*C15^2</f>
        <v/>
      </c>
      <c r="I15" s="24">
        <f>VLOOKUP(D15,Datos!$A$19:$E$23,3,0)*E15*C15^2</f>
        <v/>
      </c>
      <c r="J15" s="23" t="n">
        <v>15</v>
      </c>
      <c r="K15" s="7">
        <f>L15-AA15</f>
        <v/>
      </c>
      <c r="L15" s="23" t="n">
        <v>70</v>
      </c>
      <c r="M15" s="25">
        <f>IF(H15&lt;=0,"---",IF(H15*100/(Datos!$B$8*J15*K15^2*Datos!$B$5)&gt;=0.5,"REVISAR",MAX((1-SQRT(1-2*H15*100/(Datos!$B$8*J15*K15^2*Datos!$B$5)))*J15*K15*Datos!$B$5/Datos!$B$6,0.0033*J15*K15)))</f>
        <v/>
      </c>
      <c r="N15" s="23" t="n">
        <v>2</v>
      </c>
      <c r="O15" s="23" t="n">
        <v>16</v>
      </c>
      <c r="P15" s="25">
        <f>IF(I15&lt;=0,"---",IF(I15*100/(Datos!$B$8*J15*K15^2*Datos!$B$5)&gt;=0.5,"REVISAR",MAX((1-SQRT(1-2*I15*100/(Datos!$B$8*J15*K15^2*Datos!$B$5)))*J15*K15*Datos!$B$5/Datos!$B$6,0.0033*J15*K15)))</f>
        <v/>
      </c>
      <c r="Q15" s="23" t="inlineStr">
        <is>
          <t>---</t>
        </is>
      </c>
      <c r="R15" s="23" t="inlineStr">
        <is>
          <t>---</t>
        </is>
      </c>
      <c r="S15" s="25">
        <f>F15/(J15*0.85*K15)</f>
        <v/>
      </c>
      <c r="T15" s="25">
        <f>G15/(J15*0.85*K15)</f>
        <v/>
      </c>
      <c r="U15" s="23" t="n">
        <v>6</v>
      </c>
      <c r="V15" s="23" t="n">
        <v>30</v>
      </c>
      <c r="W15" s="7">
        <f>IF(NOT(AND(IF(ISNUMBER(M15),N15*PI()*(O15/10)^2/4&gt;=M15,TRUE),IF(ISNUMBER(P15),Q15*PI()*(R15/10)^2/4&gt;=P15,TRUE),IF(ISNUMBER(M15),M15&lt;=0.0163*J15*K15,TRUE),IF(ISNUMBER(P15),P15&lt;=0.0163*J15*K15,TRUE))),"NO VERIFICA FLEX.",IF(NOT(F15&lt;=Datos!$B$9*(0.53*SQRT(Datos!$B$5)*J15*K15+2*PI()*(U15/10)^2/4*Datos!$B$6*K15/V15)),"NO VERIF. CORTE",IF(NOT(L15&gt;=C15*100/VLOOKUP(D15,Datos!$A$19:$E$23,5,0)),"VERIFICAR FLECHA","VERIFICA")))</f>
        <v/>
      </c>
      <c r="X15" s="7" t="n"/>
      <c r="Y15" s="23" t="n">
        <v>2</v>
      </c>
      <c r="Z15" s="23" t="n">
        <v>2.6</v>
      </c>
      <c r="AA15" s="23" t="n">
        <v>3</v>
      </c>
    </row>
    <row r="16" ht="16" customHeight="1">
      <c r="A16" s="27" t="n"/>
      <c r="B16" s="21" t="inlineStr">
        <is>
          <t>VI 10a</t>
        </is>
      </c>
      <c r="C16" s="22" t="n">
        <v>2.55</v>
      </c>
      <c r="D16" s="23" t="inlineStr">
        <is>
          <t>Continua</t>
        </is>
      </c>
      <c r="E16" s="24">
        <f>(Datos!$B$10*(VLOOKUP($A$4,Datos!$A$14:$E$15,2,0)*Y16+Datos!$B$7*J16*L16/10000+Datos!$B$16*Z16)+Datos!$B$11*VLOOKUP($A$4,Datos!$A$14:$E$15,3,0)*Y16)</f>
        <v/>
      </c>
      <c r="F16" s="24">
        <f>VLOOKUP(D16,Datos!$A$19:$E$23,4,0)*E16*C16</f>
        <v/>
      </c>
      <c r="G16" s="24">
        <f>F16</f>
        <v/>
      </c>
      <c r="H16" s="24">
        <f>VLOOKUP(D16,Datos!$A$19:$E$23,2,0)*E16*C16^2</f>
        <v/>
      </c>
      <c r="I16" s="24">
        <f>VLOOKUP(D16,Datos!$A$19:$E$23,3,0)*E16*C16^2</f>
        <v/>
      </c>
      <c r="J16" s="23" t="n">
        <v>15</v>
      </c>
      <c r="K16" s="7">
        <f>L16-AA16</f>
        <v/>
      </c>
      <c r="L16" s="23" t="n">
        <v>70</v>
      </c>
      <c r="M16" s="25">
        <f>IF(H16&lt;=0,"---",IF(H16*100/(Datos!$B$8*J16*K16^2*Datos!$B$5)&gt;=0.5,"REVISAR",MAX((1-SQRT(1-2*H16*100/(Datos!$B$8*J16*K16^2*Datos!$B$5)))*J16*K16*Datos!$B$5/Datos!$B$6,0.0033*J16*K16)))</f>
        <v/>
      </c>
      <c r="N16" s="23" t="n">
        <v>3</v>
      </c>
      <c r="O16" s="23" t="n">
        <v>12</v>
      </c>
      <c r="P16" s="25">
        <f>IF(I16&lt;=0,"---",IF(I16*100/(Datos!$B$8*J16*K16^2*Datos!$B$5)&gt;=0.5,"REVISAR",MAX((1-SQRT(1-2*I16*100/(Datos!$B$8*J16*K16^2*Datos!$B$5)))*J16*K16*Datos!$B$5/Datos!$B$6,0.0033*J16*K16)))</f>
        <v/>
      </c>
      <c r="Q16" s="23" t="n">
        <v>3</v>
      </c>
      <c r="R16" s="23" t="n">
        <v>12</v>
      </c>
      <c r="S16" s="25">
        <f>F16/(J16*0.85*K16)</f>
        <v/>
      </c>
      <c r="T16" s="25">
        <f>G16/(J16*0.85*K16)</f>
        <v/>
      </c>
      <c r="U16" s="23" t="n">
        <v>6</v>
      </c>
      <c r="V16" s="23" t="n">
        <v>30</v>
      </c>
      <c r="W16" s="7">
        <f>IF(NOT(AND(IF(ISNUMBER(M16),N16*PI()*(O16/10)^2/4&gt;=M16,TRUE),IF(ISNUMBER(P16),Q16*PI()*(R16/10)^2/4&gt;=P16,TRUE),IF(ISNUMBER(M16),M16&lt;=0.0163*J16*K16,TRUE),IF(ISNUMBER(P16),P16&lt;=0.0163*J16*K16,TRUE))),"NO VERIFICA FLEX.",IF(NOT(F16&lt;=Datos!$B$9*(0.53*SQRT(Datos!$B$5)*J16*K16+2*PI()*(U16/10)^2/4*Datos!$B$6*K16/V16)),"NO VERIF. CORTE",IF(NOT(L16&gt;=C16*100/VLOOKUP(D16,Datos!$A$19:$E$23,5,0)),"VERIFICAR FLECHA","VERIFICA")))</f>
        <v/>
      </c>
      <c r="X16" s="7" t="n"/>
      <c r="Y16" s="23" t="n">
        <v>2</v>
      </c>
      <c r="Z16" s="23" t="n">
        <v>2.6</v>
      </c>
      <c r="AA16" s="23" t="n">
        <v>3</v>
      </c>
    </row>
    <row r="17" ht="16" customHeight="1">
      <c r="A17" s="27" t="n"/>
      <c r="B17" s="21" t="inlineStr">
        <is>
          <t>VI 10b</t>
        </is>
      </c>
      <c r="C17" s="22" t="n">
        <v>4</v>
      </c>
      <c r="D17" s="23" t="inlineStr">
        <is>
          <t>Continua</t>
        </is>
      </c>
      <c r="E17" s="24">
        <f>(Datos!$B$10*(VLOOKUP($A$4,Datos!$A$14:$E$15,2,0)*Y17+Datos!$B$7*J17*L17/10000+Datos!$B$16*Z17)+Datos!$B$11*VLOOKUP($A$4,Datos!$A$14:$E$15,3,0)*Y17)</f>
        <v/>
      </c>
      <c r="F17" s="24">
        <f>VLOOKUP(D17,Datos!$A$19:$E$23,4,0)*E17*C17</f>
        <v/>
      </c>
      <c r="G17" s="24">
        <f>F17</f>
        <v/>
      </c>
      <c r="H17" s="24">
        <f>VLOOKUP(D17,Datos!$A$19:$E$23,2,0)*E17*C17^2</f>
        <v/>
      </c>
      <c r="I17" s="24">
        <f>VLOOKUP(D17,Datos!$A$19:$E$23,3,0)*E17*C17^2</f>
        <v/>
      </c>
      <c r="J17" s="23" t="n">
        <v>15</v>
      </c>
      <c r="K17" s="7">
        <f>L17-AA17</f>
        <v/>
      </c>
      <c r="L17" s="23" t="n">
        <v>70</v>
      </c>
      <c r="M17" s="25">
        <f>IF(H17&lt;=0,"---",IF(H17*100/(Datos!$B$8*J17*K17^2*Datos!$B$5)&gt;=0.5,"REVISAR",MAX((1-SQRT(1-2*H17*100/(Datos!$B$8*J17*K17^2*Datos!$B$5)))*J17*K17*Datos!$B$5/Datos!$B$6,0.0033*J17*K17)))</f>
        <v/>
      </c>
      <c r="N17" s="23" t="n">
        <v>3</v>
      </c>
      <c r="O17" s="23" t="n">
        <v>12</v>
      </c>
      <c r="P17" s="25">
        <f>IF(I17&lt;=0,"---",IF(I17*100/(Datos!$B$8*J17*K17^2*Datos!$B$5)&gt;=0.5,"REVISAR",MAX((1-SQRT(1-2*I17*100/(Datos!$B$8*J17*K17^2*Datos!$B$5)))*J17*K17*Datos!$B$5/Datos!$B$6,0.0033*J17*K17)))</f>
        <v/>
      </c>
      <c r="Q17" s="23" t="n">
        <v>3</v>
      </c>
      <c r="R17" s="23" t="n">
        <v>12</v>
      </c>
      <c r="S17" s="25">
        <f>F17/(J17*0.85*K17)</f>
        <v/>
      </c>
      <c r="T17" s="25">
        <f>G17/(J17*0.85*K17)</f>
        <v/>
      </c>
      <c r="U17" s="23" t="n">
        <v>6</v>
      </c>
      <c r="V17" s="23" t="n">
        <v>30</v>
      </c>
      <c r="W17" s="7">
        <f>IF(NOT(AND(IF(ISNUMBER(M17),N17*PI()*(O17/10)^2/4&gt;=M17,TRUE),IF(ISNUMBER(P17),Q17*PI()*(R17/10)^2/4&gt;=P17,TRUE),IF(ISNUMBER(M17),M17&lt;=0.0163*J17*K17,TRUE),IF(ISNUMBER(P17),P17&lt;=0.0163*J17*K17,TRUE))),"NO VERIFICA FLEX.",IF(NOT(F17&lt;=Datos!$B$9*(0.53*SQRT(Datos!$B$5)*J17*K17+2*PI()*(U17/10)^2/4*Datos!$B$6*K17/V17)),"NO VERIF. CORTE",IF(NOT(L17&gt;=C17*100/VLOOKUP(D17,Datos!$A$19:$E$23,5,0)),"VERIFICAR FLECHA","VERIFICA")))</f>
        <v/>
      </c>
      <c r="X17" s="7" t="n"/>
      <c r="Y17" s="23" t="n">
        <v>2</v>
      </c>
      <c r="Z17" s="23" t="n">
        <v>2.6</v>
      </c>
      <c r="AA17" s="23" t="n">
        <v>3</v>
      </c>
    </row>
    <row r="18" ht="16" customHeight="1">
      <c r="A18" s="27" t="n"/>
      <c r="B18" s="21" t="inlineStr">
        <is>
          <t>VI 10c</t>
        </is>
      </c>
      <c r="C18" s="22" t="n">
        <v>3.6</v>
      </c>
      <c r="D18" s="23" t="inlineStr">
        <is>
          <t>Continua</t>
        </is>
      </c>
      <c r="E18" s="24">
        <f>(Datos!$B$10*(VLOOKUP($A$4,Datos!$A$14:$E$15,2,0)*Y18+Datos!$B$7*J18*L18/10000+Datos!$B$16*Z18)+Datos!$B$11*VLOOKUP($A$4,Datos!$A$14:$E$15,3,0)*Y18)</f>
        <v/>
      </c>
      <c r="F18" s="24">
        <f>VLOOKUP(D18,Datos!$A$19:$E$23,4,0)*E18*C18</f>
        <v/>
      </c>
      <c r="G18" s="24">
        <f>F18</f>
        <v/>
      </c>
      <c r="H18" s="24">
        <f>VLOOKUP(D18,Datos!$A$19:$E$23,2,0)*E18*C18^2</f>
        <v/>
      </c>
      <c r="I18" s="24">
        <f>VLOOKUP(D18,Datos!$A$19:$E$23,3,0)*E18*C18^2</f>
        <v/>
      </c>
      <c r="J18" s="23" t="n">
        <v>15</v>
      </c>
      <c r="K18" s="7">
        <f>L18-AA18</f>
        <v/>
      </c>
      <c r="L18" s="23" t="n">
        <v>70</v>
      </c>
      <c r="M18" s="25">
        <f>IF(H18&lt;=0,"---",IF(H18*100/(Datos!$B$8*J18*K18^2*Datos!$B$5)&gt;=0.5,"REVISAR",MAX((1-SQRT(1-2*H18*100/(Datos!$B$8*J18*K18^2*Datos!$B$5)))*J18*K18*Datos!$B$5/Datos!$B$6,0.0033*J18*K18)))</f>
        <v/>
      </c>
      <c r="N18" s="23" t="n">
        <v>3</v>
      </c>
      <c r="O18" s="23" t="n">
        <v>12</v>
      </c>
      <c r="P18" s="25">
        <f>IF(I18&lt;=0,"---",IF(I18*100/(Datos!$B$8*J18*K18^2*Datos!$B$5)&gt;=0.5,"REVISAR",MAX((1-SQRT(1-2*I18*100/(Datos!$B$8*J18*K18^2*Datos!$B$5)))*J18*K18*Datos!$B$5/Datos!$B$6,0.0033*J18*K18)))</f>
        <v/>
      </c>
      <c r="Q18" s="23" t="n">
        <v>3</v>
      </c>
      <c r="R18" s="23" t="n">
        <v>12</v>
      </c>
      <c r="S18" s="25">
        <f>F18/(J18*0.85*K18)</f>
        <v/>
      </c>
      <c r="T18" s="25">
        <f>G18/(J18*0.85*K18)</f>
        <v/>
      </c>
      <c r="U18" s="23" t="n">
        <v>6</v>
      </c>
      <c r="V18" s="23" t="n">
        <v>30</v>
      </c>
      <c r="W18" s="7">
        <f>IF(NOT(AND(IF(ISNUMBER(M18),N18*PI()*(O18/10)^2/4&gt;=M18,TRUE),IF(ISNUMBER(P18),Q18*PI()*(R18/10)^2/4&gt;=P18,TRUE),IF(ISNUMBER(M18),M18&lt;=0.0163*J18*K18,TRUE),IF(ISNUMBER(P18),P18&lt;=0.0163*J18*K18,TRUE))),"NO VERIFICA FLEX.",IF(NOT(F18&lt;=Datos!$B$9*(0.53*SQRT(Datos!$B$5)*J18*K18+2*PI()*(U18/10)^2/4*Datos!$B$6*K18/V18)),"NO VERIF. CORTE",IF(NOT(L18&gt;=C18*100/VLOOKUP(D18,Datos!$A$19:$E$23,5,0)),"VERIFICAR FLECHA","VERIFICA")))</f>
        <v/>
      </c>
      <c r="X18" s="7" t="n"/>
      <c r="Y18" s="23" t="n">
        <v>2</v>
      </c>
      <c r="Z18" s="23" t="n">
        <v>2.6</v>
      </c>
      <c r="AA18" s="23" t="n">
        <v>3</v>
      </c>
    </row>
    <row r="19" ht="16" customHeight="1">
      <c r="A19" s="27" t="n"/>
      <c r="B19" s="21" t="inlineStr">
        <is>
          <t>VI 11a</t>
        </is>
      </c>
      <c r="C19" s="22" t="n">
        <v>7.68</v>
      </c>
      <c r="D19" s="23" t="inlineStr">
        <is>
          <t>Continua</t>
        </is>
      </c>
      <c r="E19" s="24">
        <f>(Datos!$B$10*(VLOOKUP($A$4,Datos!$A$14:$E$15,2,0)*Y19+Datos!$B$7*J19*L19/10000+Datos!$B$16*Z19)+Datos!$B$11*VLOOKUP($A$4,Datos!$A$14:$E$15,3,0)*Y19)</f>
        <v/>
      </c>
      <c r="F19" s="24">
        <f>VLOOKUP(D19,Datos!$A$19:$E$23,4,0)*E19*C19</f>
        <v/>
      </c>
      <c r="G19" s="24">
        <f>F19</f>
        <v/>
      </c>
      <c r="H19" s="24">
        <f>VLOOKUP(D19,Datos!$A$19:$E$23,2,0)*E19*C19^2</f>
        <v/>
      </c>
      <c r="I19" s="24">
        <f>VLOOKUP(D19,Datos!$A$19:$E$23,3,0)*E19*C19^2</f>
        <v/>
      </c>
      <c r="J19" s="23" t="n">
        <v>15</v>
      </c>
      <c r="K19" s="7">
        <f>L19-AA19</f>
        <v/>
      </c>
      <c r="L19" s="23" t="n">
        <v>70</v>
      </c>
      <c r="M19" s="25">
        <f>IF(H19&lt;=0,"---",IF(H19*100/(Datos!$B$8*J19*K19^2*Datos!$B$5)&gt;=0.5,"REVISAR",MAX((1-SQRT(1-2*H19*100/(Datos!$B$8*J19*K19^2*Datos!$B$5)))*J19*K19*Datos!$B$5/Datos!$B$6,0.0033*J19*K19)))</f>
        <v/>
      </c>
      <c r="N19" s="23" t="n">
        <v>2</v>
      </c>
      <c r="O19" s="23" t="n">
        <v>20</v>
      </c>
      <c r="P19" s="25">
        <f>IF(I19&lt;=0,"---",IF(I19*100/(Datos!$B$8*J19*K19^2*Datos!$B$5)&gt;=0.5,"REVISAR",MAX((1-SQRT(1-2*I19*100/(Datos!$B$8*J19*K19^2*Datos!$B$5)))*J19*K19*Datos!$B$5/Datos!$B$6,0.0033*J19*K19)))</f>
        <v/>
      </c>
      <c r="Q19" s="23" t="n">
        <v>2</v>
      </c>
      <c r="R19" s="23" t="n">
        <v>25</v>
      </c>
      <c r="S19" s="25">
        <f>F19/(J19*0.85*K19)</f>
        <v/>
      </c>
      <c r="T19" s="25">
        <f>G19/(J19*0.85*K19)</f>
        <v/>
      </c>
      <c r="U19" s="23" t="n">
        <v>6</v>
      </c>
      <c r="V19" s="23" t="n">
        <v>15</v>
      </c>
      <c r="W19" s="7">
        <f>IF(NOT(AND(IF(ISNUMBER(M19),N19*PI()*(O19/10)^2/4&gt;=M19,TRUE),IF(ISNUMBER(P19),Q19*PI()*(R19/10)^2/4&gt;=P19,TRUE),IF(ISNUMBER(M19),M19&lt;=0.0163*J19*K19,TRUE),IF(ISNUMBER(P19),P19&lt;=0.0163*J19*K19,TRUE))),"NO VERIFICA FLEX.",IF(NOT(F19&lt;=Datos!$B$9*(0.53*SQRT(Datos!$B$5)*J19*K19+2*PI()*(U19/10)^2/4*Datos!$B$6*K19/V19)),"NO VERIF. CORTE",IF(NOT(L19&gt;=C19*100/VLOOKUP(D19,Datos!$A$19:$E$23,5,0)),"VERIFICAR FLECHA","VERIFICA")))</f>
        <v/>
      </c>
      <c r="X19" s="26" t="inlineStr">
        <is>
          <t>El plano rotula 'VI 111'; se interpreta 11a por el orden a-b-c. Confirmar en el DWG.</t>
        </is>
      </c>
      <c r="Y19" s="23" t="n">
        <v>2</v>
      </c>
      <c r="Z19" s="23" t="n">
        <v>2.6</v>
      </c>
      <c r="AA19" s="23" t="n">
        <v>3</v>
      </c>
    </row>
    <row r="20" ht="16" customHeight="1">
      <c r="A20" s="27" t="n"/>
      <c r="B20" s="21" t="inlineStr">
        <is>
          <t>VI 11b</t>
        </is>
      </c>
      <c r="C20" s="22" t="n">
        <v>3.45</v>
      </c>
      <c r="D20" s="23" t="inlineStr">
        <is>
          <t>Continua</t>
        </is>
      </c>
      <c r="E20" s="24">
        <f>(Datos!$B$10*(VLOOKUP($A$4,Datos!$A$14:$E$15,2,0)*Y20+Datos!$B$7*J20*L20/10000+Datos!$B$16*Z20)+Datos!$B$11*VLOOKUP($A$4,Datos!$A$14:$E$15,3,0)*Y20)</f>
        <v/>
      </c>
      <c r="F20" s="24">
        <f>VLOOKUP(D20,Datos!$A$19:$E$23,4,0)*E20*C20</f>
        <v/>
      </c>
      <c r="G20" s="24">
        <f>F20</f>
        <v/>
      </c>
      <c r="H20" s="24">
        <f>VLOOKUP(D20,Datos!$A$19:$E$23,2,0)*E20*C20^2</f>
        <v/>
      </c>
      <c r="I20" s="24">
        <f>VLOOKUP(D20,Datos!$A$19:$E$23,3,0)*E20*C20^2</f>
        <v/>
      </c>
      <c r="J20" s="23" t="n">
        <v>15</v>
      </c>
      <c r="K20" s="7">
        <f>L20-AA20</f>
        <v/>
      </c>
      <c r="L20" s="23" t="n">
        <v>70</v>
      </c>
      <c r="M20" s="25">
        <f>IF(H20&lt;=0,"---",IF(H20*100/(Datos!$B$8*J20*K20^2*Datos!$B$5)&gt;=0.5,"REVISAR",MAX((1-SQRT(1-2*H20*100/(Datos!$B$8*J20*K20^2*Datos!$B$5)))*J20*K20*Datos!$B$5/Datos!$B$6,0.0033*J20*K20)))</f>
        <v/>
      </c>
      <c r="N20" s="23" t="n">
        <v>3</v>
      </c>
      <c r="O20" s="23" t="n">
        <v>12</v>
      </c>
      <c r="P20" s="25">
        <f>IF(I20&lt;=0,"---",IF(I20*100/(Datos!$B$8*J20*K20^2*Datos!$B$5)&gt;=0.5,"REVISAR",MAX((1-SQRT(1-2*I20*100/(Datos!$B$8*J20*K20^2*Datos!$B$5)))*J20*K20*Datos!$B$5/Datos!$B$6,0.0033*J20*K20)))</f>
        <v/>
      </c>
      <c r="Q20" s="23" t="n">
        <v>3</v>
      </c>
      <c r="R20" s="23" t="n">
        <v>12</v>
      </c>
      <c r="S20" s="25">
        <f>F20/(J20*0.85*K20)</f>
        <v/>
      </c>
      <c r="T20" s="25">
        <f>G20/(J20*0.85*K20)</f>
        <v/>
      </c>
      <c r="U20" s="23" t="n">
        <v>6</v>
      </c>
      <c r="V20" s="23" t="n">
        <v>30</v>
      </c>
      <c r="W20" s="7">
        <f>IF(NOT(AND(IF(ISNUMBER(M20),N20*PI()*(O20/10)^2/4&gt;=M20,TRUE),IF(ISNUMBER(P20),Q20*PI()*(R20/10)^2/4&gt;=P20,TRUE),IF(ISNUMBER(M20),M20&lt;=0.0163*J20*K20,TRUE),IF(ISNUMBER(P20),P20&lt;=0.0163*J20*K20,TRUE))),"NO VERIFICA FLEX.",IF(NOT(F20&lt;=Datos!$B$9*(0.53*SQRT(Datos!$B$5)*J20*K20+2*PI()*(U20/10)^2/4*Datos!$B$6*K20/V20)),"NO VERIF. CORTE",IF(NOT(L20&gt;=C20*100/VLOOKUP(D20,Datos!$A$19:$E$23,5,0)),"VERIFICAR FLECHA","VERIFICA")))</f>
        <v/>
      </c>
      <c r="X20" s="7" t="n"/>
      <c r="Y20" s="23" t="n">
        <v>2</v>
      </c>
      <c r="Z20" s="23" t="n">
        <v>2.6</v>
      </c>
      <c r="AA20" s="23" t="n">
        <v>3</v>
      </c>
    </row>
    <row r="21" ht="16" customHeight="1">
      <c r="A21" s="27" t="n"/>
      <c r="B21" s="21" t="inlineStr">
        <is>
          <t>VI 11c</t>
        </is>
      </c>
      <c r="C21" s="22" t="n">
        <v>5.02</v>
      </c>
      <c r="D21" s="23" t="inlineStr">
        <is>
          <t>Continua</t>
        </is>
      </c>
      <c r="E21" s="24">
        <f>(Datos!$B$10*(VLOOKUP($A$4,Datos!$A$14:$E$15,2,0)*Y21+Datos!$B$7*J21*L21/10000+Datos!$B$16*Z21)+Datos!$B$11*VLOOKUP($A$4,Datos!$A$14:$E$15,3,0)*Y21)</f>
        <v/>
      </c>
      <c r="F21" s="24">
        <f>VLOOKUP(D21,Datos!$A$19:$E$23,4,0)*E21*C21</f>
        <v/>
      </c>
      <c r="G21" s="24">
        <f>F21</f>
        <v/>
      </c>
      <c r="H21" s="24">
        <f>VLOOKUP(D21,Datos!$A$19:$E$23,2,0)*E21*C21^2</f>
        <v/>
      </c>
      <c r="I21" s="24">
        <f>VLOOKUP(D21,Datos!$A$19:$E$23,3,0)*E21*C21^2</f>
        <v/>
      </c>
      <c r="J21" s="23" t="n">
        <v>15</v>
      </c>
      <c r="K21" s="7">
        <f>L21-AA21</f>
        <v/>
      </c>
      <c r="L21" s="23" t="n">
        <v>70</v>
      </c>
      <c r="M21" s="25">
        <f>IF(H21&lt;=0,"---",IF(H21*100/(Datos!$B$8*J21*K21^2*Datos!$B$5)&gt;=0.5,"REVISAR",MAX((1-SQRT(1-2*H21*100/(Datos!$B$8*J21*K21^2*Datos!$B$5)))*J21*K21*Datos!$B$5/Datos!$B$6,0.0033*J21*K21)))</f>
        <v/>
      </c>
      <c r="N21" s="23" t="n">
        <v>3</v>
      </c>
      <c r="O21" s="23" t="n">
        <v>12</v>
      </c>
      <c r="P21" s="25">
        <f>IF(I21&lt;=0,"---",IF(I21*100/(Datos!$B$8*J21*K21^2*Datos!$B$5)&gt;=0.5,"REVISAR",MAX((1-SQRT(1-2*I21*100/(Datos!$B$8*J21*K21^2*Datos!$B$5)))*J21*K21*Datos!$B$5/Datos!$B$6,0.0033*J21*K21)))</f>
        <v/>
      </c>
      <c r="Q21" s="23" t="n">
        <v>3</v>
      </c>
      <c r="R21" s="23" t="n">
        <v>12</v>
      </c>
      <c r="S21" s="25">
        <f>F21/(J21*0.85*K21)</f>
        <v/>
      </c>
      <c r="T21" s="25">
        <f>G21/(J21*0.85*K21)</f>
        <v/>
      </c>
      <c r="U21" s="23" t="n">
        <v>6</v>
      </c>
      <c r="V21" s="23" t="n">
        <v>30</v>
      </c>
      <c r="W21" s="7">
        <f>IF(NOT(AND(IF(ISNUMBER(M21),N21*PI()*(O21/10)^2/4&gt;=M21,TRUE),IF(ISNUMBER(P21),Q21*PI()*(R21/10)^2/4&gt;=P21,TRUE),IF(ISNUMBER(M21),M21&lt;=0.0163*J21*K21,TRUE),IF(ISNUMBER(P21),P21&lt;=0.0163*J21*K21,TRUE))),"NO VERIFICA FLEX.",IF(NOT(F21&lt;=Datos!$B$9*(0.53*SQRT(Datos!$B$5)*J21*K21+2*PI()*(U21/10)^2/4*Datos!$B$6*K21/V21)),"NO VERIF. CORTE",IF(NOT(L21&gt;=C21*100/VLOOKUP(D21,Datos!$A$19:$E$23,5,0)),"VERIFICAR FLECHA","VERIFICA")))</f>
        <v/>
      </c>
      <c r="X21" s="7" t="n"/>
      <c r="Y21" s="23" t="n">
        <v>2</v>
      </c>
      <c r="Z21" s="23" t="n">
        <v>2.6</v>
      </c>
      <c r="AA21" s="23" t="n">
        <v>3</v>
      </c>
    </row>
    <row r="22" ht="16" customHeight="1">
      <c r="A22" s="27" t="n"/>
      <c r="B22" s="21" t="inlineStr">
        <is>
          <t>VCH 03a</t>
        </is>
      </c>
      <c r="C22" s="22" t="n">
        <v>3.71</v>
      </c>
      <c r="D22" s="23" t="inlineStr">
        <is>
          <t>Continua</t>
        </is>
      </c>
      <c r="E22" s="24">
        <f>(Datos!$B$10*(VLOOKUP($A$4,Datos!$A$14:$E$15,2,0)*Y22+Datos!$B$7*J22*L22/10000+Datos!$B$16*Z22)+Datos!$B$11*VLOOKUP($A$4,Datos!$A$14:$E$15,3,0)*Y22)</f>
        <v/>
      </c>
      <c r="F22" s="24">
        <f>VLOOKUP(D22,Datos!$A$19:$E$23,4,0)*E22*C22</f>
        <v/>
      </c>
      <c r="G22" s="24">
        <f>F22</f>
        <v/>
      </c>
      <c r="H22" s="24">
        <f>VLOOKUP(D22,Datos!$A$19:$E$23,2,0)*E22*C22^2</f>
        <v/>
      </c>
      <c r="I22" s="24">
        <f>VLOOKUP(D22,Datos!$A$19:$E$23,3,0)*E22*C22^2</f>
        <v/>
      </c>
      <c r="J22" s="23" t="n">
        <v>40</v>
      </c>
      <c r="K22" s="7">
        <f>L22-AA22</f>
        <v/>
      </c>
      <c r="L22" s="23" t="n">
        <v>13</v>
      </c>
      <c r="M22" s="25">
        <f>IF(H22&lt;=0,"---",IF(H22*100/(Datos!$B$8*J22*K22^2*Datos!$B$5)&gt;=0.5,"REVISAR",MAX((1-SQRT(1-2*H22*100/(Datos!$B$8*J22*K22^2*Datos!$B$5)))*J22*K22*Datos!$B$5/Datos!$B$6,0.0033*J22*K22)))</f>
        <v/>
      </c>
      <c r="N22" s="23" t="n">
        <v>9</v>
      </c>
      <c r="O22" s="23" t="n">
        <v>8</v>
      </c>
      <c r="P22" s="25">
        <f>IF(I22&lt;=0,"---",IF(I22*100/(Datos!$B$8*J22*K22^2*Datos!$B$5)&gt;=0.5,"REVISAR",MAX((1-SQRT(1-2*I22*100/(Datos!$B$8*J22*K22^2*Datos!$B$5)))*J22*K22*Datos!$B$5/Datos!$B$6,0.0033*J22*K22)))</f>
        <v/>
      </c>
      <c r="Q22" s="23" t="n">
        <v>6</v>
      </c>
      <c r="R22" s="23" t="n">
        <v>12</v>
      </c>
      <c r="S22" s="25">
        <f>F22/(J22*0.85*K22)</f>
        <v/>
      </c>
      <c r="T22" s="25">
        <f>G22/(J22*0.85*K22)</f>
        <v/>
      </c>
      <c r="U22" s="23" t="n">
        <v>12</v>
      </c>
      <c r="V22" s="23" t="n">
        <v>5</v>
      </c>
      <c r="W22" s="7">
        <f>IF(NOT(AND(IF(ISNUMBER(M22),N22*PI()*(O22/10)^2/4&gt;=M22,TRUE),IF(ISNUMBER(P22),Q22*PI()*(R22/10)^2/4&gt;=P22,TRUE),IF(ISNUMBER(M22),M22&lt;=0.0163*J22*K22,TRUE),IF(ISNUMBER(P22),P22&lt;=0.0163*J22*K22,TRUE))),"NO VERIFICA FLEX.",IF(NOT(F22&lt;=Datos!$B$9*(0.53*SQRT(Datos!$B$5)*J22*K22+2*PI()*(U22/10)^2/4*Datos!$B$6*K22/V22)),"NO VERIF. CORTE",IF(NOT(L22&gt;=C22*100/VLOOKUP(D22,Datos!$A$19:$E$23,5,0)),"VERIFICAR FLECHA","VERIFICA")))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3" t="n">
        <v>0.6</v>
      </c>
      <c r="Z22" s="23" t="n">
        <v>2.6</v>
      </c>
      <c r="AA22" s="23" t="n">
        <v>3</v>
      </c>
    </row>
    <row r="23" ht="16" customHeight="1">
      <c r="A23" s="27" t="n"/>
      <c r="B23" s="21" t="inlineStr">
        <is>
          <t>VCH 03b</t>
        </is>
      </c>
      <c r="C23" s="22" t="n">
        <v>2.13</v>
      </c>
      <c r="D23" s="23" t="inlineStr">
        <is>
          <t>Continua</t>
        </is>
      </c>
      <c r="E23" s="24">
        <f>(Datos!$B$10*(VLOOKUP($A$4,Datos!$A$14:$E$15,2,0)*Y23+Datos!$B$7*J23*L23/10000+Datos!$B$16*Z23)+Datos!$B$11*VLOOKUP($A$4,Datos!$A$14:$E$15,3,0)*Y23)</f>
        <v/>
      </c>
      <c r="F23" s="24">
        <f>VLOOKUP(D23,Datos!$A$19:$E$23,4,0)*E23*C23</f>
        <v/>
      </c>
      <c r="G23" s="24">
        <f>F23</f>
        <v/>
      </c>
      <c r="H23" s="24">
        <f>VLOOKUP(D23,Datos!$A$19:$E$23,2,0)*E23*C23^2</f>
        <v/>
      </c>
      <c r="I23" s="24">
        <f>VLOOKUP(D23,Datos!$A$19:$E$23,3,0)*E23*C23^2</f>
        <v/>
      </c>
      <c r="J23" s="23" t="n">
        <v>40</v>
      </c>
      <c r="K23" s="7">
        <f>L23-AA23</f>
        <v/>
      </c>
      <c r="L23" s="23" t="n">
        <v>13</v>
      </c>
      <c r="M23" s="25">
        <f>IF(H23&lt;=0,"---",IF(H23*100/(Datos!$B$8*J23*K23^2*Datos!$B$5)&gt;=0.5,"REVISAR",MAX((1-SQRT(1-2*H23*100/(Datos!$B$8*J23*K23^2*Datos!$B$5)))*J23*K23*Datos!$B$5/Datos!$B$6,0.0033*J23*K23)))</f>
        <v/>
      </c>
      <c r="N23" s="23" t="n">
        <v>5</v>
      </c>
      <c r="O23" s="23" t="n">
        <v>6</v>
      </c>
      <c r="P23" s="25">
        <f>IF(I23&lt;=0,"---",IF(I23*100/(Datos!$B$8*J23*K23^2*Datos!$B$5)&gt;=0.5,"REVISAR",MAX((1-SQRT(1-2*I23*100/(Datos!$B$8*J23*K23^2*Datos!$B$5)))*J23*K23*Datos!$B$5/Datos!$B$6,0.0033*J23*K23)))</f>
        <v/>
      </c>
      <c r="Q23" s="23" t="n">
        <v>7</v>
      </c>
      <c r="R23" s="23" t="n">
        <v>6</v>
      </c>
      <c r="S23" s="25">
        <f>F23/(J23*0.85*K23)</f>
        <v/>
      </c>
      <c r="T23" s="25">
        <f>G23/(J23*0.85*K23)</f>
        <v/>
      </c>
      <c r="U23" s="23" t="n">
        <v>12</v>
      </c>
      <c r="V23" s="23" t="n">
        <v>5</v>
      </c>
      <c r="W23" s="7">
        <f>IF(NOT(AND(IF(ISNUMBER(M23),N23*PI()*(O23/10)^2/4&gt;=M23,TRUE),IF(ISNUMBER(P23),Q23*PI()*(R23/10)^2/4&gt;=P23,TRUE),IF(ISNUMBER(M23),M23&lt;=0.0163*J23*K23,TRUE),IF(ISNUMBER(P23),P23&lt;=0.0163*J23*K23,TRUE))),"NO VERIFICA FLEX.",IF(NOT(F23&lt;=Datos!$B$9*(0.53*SQRT(Datos!$B$5)*J23*K23+2*PI()*(U23/10)^2/4*Datos!$B$6*K23/V23)),"NO VERIF. CORTE",IF(NOT(L23&gt;=C23*100/VLOOKUP(D23,Datos!$A$19:$E$23,5,0)),"VERIFICAR FLECHA","VERIFICA")))</f>
        <v/>
      </c>
      <c r="X23" s="26" t="inlineStr">
        <is>
          <t>Separacion de estribos menor a 10 cm: revisar constructividad.</t>
        </is>
      </c>
      <c r="Y23" s="23" t="n">
        <v>0.6</v>
      </c>
      <c r="Z23" s="23" t="n">
        <v>2.6</v>
      </c>
      <c r="AA23" s="23" t="n">
        <v>3</v>
      </c>
    </row>
    <row r="24" ht="16" customHeight="1">
      <c r="A24" s="28" t="n"/>
      <c r="B24" s="29" t="inlineStr">
        <is>
          <t>VCH 05</t>
        </is>
      </c>
      <c r="C24" s="30" t="n">
        <v>3.71</v>
      </c>
      <c r="D24" s="31" t="inlineStr">
        <is>
          <t>Simplemente apoyada</t>
        </is>
      </c>
      <c r="E24" s="32">
        <f>(Datos!$B$10*(VLOOKUP($A$4,Datos!$A$14:$E$15,2,0)*Y24+Datos!$B$7*J24*L24/10000+Datos!$B$16*Z24)+Datos!$B$11*VLOOKUP($A$4,Datos!$A$14:$E$15,3,0)*Y24)</f>
        <v/>
      </c>
      <c r="F24" s="32">
        <f>VLOOKUP(D24,Datos!$A$19:$E$23,4,0)*E24*C24</f>
        <v/>
      </c>
      <c r="G24" s="32">
        <f>F24</f>
        <v/>
      </c>
      <c r="H24" s="32">
        <f>VLOOKUP(D24,Datos!$A$19:$E$23,2,0)*E24*C24^2</f>
        <v/>
      </c>
      <c r="I24" s="32">
        <f>VLOOKUP(D24,Datos!$A$19:$E$23,3,0)*E24*C24^2</f>
        <v/>
      </c>
      <c r="J24" s="31" t="n">
        <v>12</v>
      </c>
      <c r="K24" s="33">
        <f>L24-AA24</f>
        <v/>
      </c>
      <c r="L24" s="31" t="n">
        <v>45</v>
      </c>
      <c r="M24" s="34">
        <f>IF(H24&lt;=0,"---",IF(H24*100/(Datos!$B$8*J24*K24^2*Datos!$B$5)&gt;=0.5,"REVISAR",MAX((1-SQRT(1-2*H24*100/(Datos!$B$8*J24*K24^2*Datos!$B$5)))*J24*K24*Datos!$B$5/Datos!$B$6,0.0033*J24*K24)))</f>
        <v/>
      </c>
      <c r="N24" s="31" t="n">
        <v>2</v>
      </c>
      <c r="O24" s="31" t="n">
        <v>12</v>
      </c>
      <c r="P24" s="34">
        <f>IF(I24&lt;=0,"---",IF(I24*100/(Datos!$B$8*J24*K24^2*Datos!$B$5)&gt;=0.5,"REVISAR",MAX((1-SQRT(1-2*I24*100/(Datos!$B$8*J24*K24^2*Datos!$B$5)))*J24*K24*Datos!$B$5/Datos!$B$6,0.0033*J24*K24)))</f>
        <v/>
      </c>
      <c r="Q24" s="31" t="inlineStr">
        <is>
          <t>---</t>
        </is>
      </c>
      <c r="R24" s="31" t="inlineStr">
        <is>
          <t>---</t>
        </is>
      </c>
      <c r="S24" s="34">
        <f>F24/(J24*0.85*K24)</f>
        <v/>
      </c>
      <c r="T24" s="34">
        <f>G24/(J24*0.85*K24)</f>
        <v/>
      </c>
      <c r="U24" s="31" t="n">
        <v>6</v>
      </c>
      <c r="V24" s="31" t="n">
        <v>20</v>
      </c>
      <c r="W24" s="33">
        <f>IF(NOT(AND(IF(ISNUMBER(M24),N24*PI()*(O24/10)^2/4&gt;=M24,TRUE),IF(ISNUMBER(P24),Q24*PI()*(R24/10)^2/4&gt;=P24,TRUE),IF(ISNUMBER(M24),M24&lt;=0.0163*J24*K24,TRUE),IF(ISNUMBER(P24),P24&lt;=0.0163*J24*K24,TRUE))),"NO VERIFICA FLEX.",IF(NOT(F24&lt;=Datos!$B$9*(0.53*SQRT(Datos!$B$5)*J24*K24+2*PI()*(U24/10)^2/4*Datos!$B$6*K24/V24)),"NO VERIF. CORTE",IF(NOT(L24&gt;=C24*100/VLOOKUP(D24,Datos!$A$19:$E$23,5,0)),"VERIFICAR FLECHA","VERIFICA")))</f>
        <v/>
      </c>
      <c r="X24" s="33" t="n"/>
      <c r="Y24" s="31" t="n">
        <v>0.6</v>
      </c>
      <c r="Z24" s="31" t="n">
        <v>2.6</v>
      </c>
      <c r="AA24" s="31" t="n">
        <v>3</v>
      </c>
    </row>
    <row r="25" ht="1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 t="inlineStr">
        <is>
          <t>Continua</t>
        </is>
      </c>
      <c r="E25" s="24">
        <f>(Datos!$B$10*(VLOOKUP($A$25,Datos!$A$14:$E$15,2,0)*Y25+Datos!$B$7*J25*L25/10000+Datos!$B$16*Z25)+Datos!$B$11*VLOOKUP($A$25,Datos!$A$14:$E$15,3,0)*Y25)</f>
        <v/>
      </c>
      <c r="F25" s="24">
        <f>VLOOKUP(D25,Datos!$A$19:$E$23,4,0)*E25*C25</f>
        <v/>
      </c>
      <c r="G25" s="24">
        <f>F25</f>
        <v/>
      </c>
      <c r="H25" s="24">
        <f>VLOOKUP(D25,Datos!$A$19:$E$23,2,0)*E25*C25^2</f>
        <v/>
      </c>
      <c r="I25" s="24">
        <f>VLOOKUP(D25,Datos!$A$19:$E$23,3,0)*E25*C25^2</f>
        <v/>
      </c>
      <c r="J25" s="23" t="n">
        <v>15</v>
      </c>
      <c r="K25" s="7">
        <f>L25-AA25</f>
        <v/>
      </c>
      <c r="L25" s="23" t="n">
        <v>70</v>
      </c>
      <c r="M25" s="25">
        <f>IF(H25&lt;=0,"---",IF(H25*100/(Datos!$B$8*J25*K25^2*Datos!$B$5)&gt;=0.5,"REVISAR",MAX((1-SQRT(1-2*H25*100/(Datos!$B$8*J25*K25^2*Datos!$B$5)))*J25*K25*Datos!$B$5/Datos!$B$6,0.0033*J25*K25)))</f>
        <v/>
      </c>
      <c r="N25" s="23" t="n">
        <v>2</v>
      </c>
      <c r="O25" s="23" t="n">
        <v>25</v>
      </c>
      <c r="P25" s="25">
        <f>IF(I25&lt;=0,"---",IF(I25*100/(Datos!$B$8*J25*K25^2*Datos!$B$5)&gt;=0.5,"REVISAR",MAX((1-SQRT(1-2*I25*100/(Datos!$B$8*J25*K25^2*Datos!$B$5)))*J25*K25*Datos!$B$5/Datos!$B$6,0.0033*J25*K25)))</f>
        <v/>
      </c>
      <c r="Q25" s="23" t="n">
        <v>2</v>
      </c>
      <c r="R25" s="23" t="n">
        <v>25</v>
      </c>
      <c r="S25" s="25">
        <f>F25/(J25*0.85*K25)</f>
        <v/>
      </c>
      <c r="T25" s="25">
        <f>G25/(J25*0.85*K25)</f>
        <v/>
      </c>
      <c r="U25" s="23" t="n">
        <v>6</v>
      </c>
      <c r="V25" s="23" t="n">
        <v>15</v>
      </c>
      <c r="W25" s="7">
        <f>IF(NOT(AND(IF(ISNUMBER(M25),N25*PI()*(O25/10)^2/4&gt;=M25,TRUE),IF(ISNUMBER(P25),Q25*PI()*(R25/10)^2/4&gt;=P25,TRUE),IF(ISNUMBER(M25),M25&lt;=0.0163*J25*K25,TRUE),IF(ISNUMBER(P25),P25&lt;=0.0163*J25*K25,TRUE))),"NO VERIFICA FLEX.",IF(NOT(F25&lt;=Datos!$B$9*(0.53*SQRT(Datos!$B$5)*J25*K25+2*PI()*(U25/10)^2/4*Datos!$B$6*K25/V25)),"NO VERIF. CORTE",IF(NOT(L25&gt;=C25*100/VLOOKUP(D25,Datos!$A$19:$E$23,5,0)),"VERIFICAR FLECHA","VERIFICA")))</f>
        <v/>
      </c>
      <c r="X25" s="7" t="n"/>
      <c r="Y25" s="23" t="n">
        <v>2</v>
      </c>
      <c r="Z25" s="23" t="n">
        <v>1</v>
      </c>
      <c r="AA25" s="23" t="n">
        <v>3</v>
      </c>
    </row>
    <row r="26" ht="16" customHeight="1">
      <c r="A26" s="27" t="n"/>
      <c r="B26" s="21" t="inlineStr">
        <is>
          <t>VI 13a</t>
        </is>
      </c>
      <c r="C26" s="22" t="n">
        <v>6</v>
      </c>
      <c r="D26" s="23" t="inlineStr">
        <is>
          <t>Continua</t>
        </is>
      </c>
      <c r="E26" s="24">
        <f>(Datos!$B$10*(VLOOKUP($A$25,Datos!$A$14:$E$15,2,0)*Y26+Datos!$B$7*J26*L26/10000+Datos!$B$16*Z26)+Datos!$B$11*VLOOKUP($A$25,Datos!$A$14:$E$15,3,0)*Y26)</f>
        <v/>
      </c>
      <c r="F26" s="24">
        <f>VLOOKUP(D26,Datos!$A$19:$E$23,4,0)*E26*C26</f>
        <v/>
      </c>
      <c r="G26" s="24">
        <f>F26</f>
        <v/>
      </c>
      <c r="H26" s="24">
        <f>VLOOKUP(D26,Datos!$A$19:$E$23,2,0)*E26*C26^2</f>
        <v/>
      </c>
      <c r="I26" s="24">
        <f>VLOOKUP(D26,Datos!$A$19:$E$23,3,0)*E26*C26^2</f>
        <v/>
      </c>
      <c r="J26" s="23" t="n">
        <v>15</v>
      </c>
      <c r="K26" s="7">
        <f>L26-AA26</f>
        <v/>
      </c>
      <c r="L26" s="23" t="n">
        <v>50</v>
      </c>
      <c r="M26" s="25">
        <f>IF(H26&lt;=0,"---",IF(H26*100/(Datos!$B$8*J26*K26^2*Datos!$B$5)&gt;=0.5,"REVISAR",MAX((1-SQRT(1-2*H26*100/(Datos!$B$8*J26*K26^2*Datos!$B$5)))*J26*K26*Datos!$B$5/Datos!$B$6,0.0033*J26*K26)))</f>
        <v/>
      </c>
      <c r="N26" s="23" t="n">
        <v>3</v>
      </c>
      <c r="O26" s="23" t="n">
        <v>12</v>
      </c>
      <c r="P26" s="25">
        <f>IF(I26&lt;=0,"---",IF(I26*100/(Datos!$B$8*J26*K26^2*Datos!$B$5)&gt;=0.5,"REVISAR",MAX((1-SQRT(1-2*I26*100/(Datos!$B$8*J26*K26^2*Datos!$B$5)))*J26*K26*Datos!$B$5/Datos!$B$6,0.0033*J26*K26)))</f>
        <v/>
      </c>
      <c r="Q26" s="23" t="n">
        <v>2</v>
      </c>
      <c r="R26" s="23" t="n">
        <v>20</v>
      </c>
      <c r="S26" s="25">
        <f>F26/(J26*0.85*K26)</f>
        <v/>
      </c>
      <c r="T26" s="25">
        <f>G26/(J26*0.85*K26)</f>
        <v/>
      </c>
      <c r="U26" s="23" t="n">
        <v>6</v>
      </c>
      <c r="V26" s="23" t="n">
        <v>20</v>
      </c>
      <c r="W26" s="7">
        <f>IF(NOT(AND(IF(ISNUMBER(M26),N26*PI()*(O26/10)^2/4&gt;=M26,TRUE),IF(ISNUMBER(P26),Q26*PI()*(R26/10)^2/4&gt;=P26,TRUE),IF(ISNUMBER(M26),M26&lt;=0.0163*J26*K26,TRUE),IF(ISNUMBER(P26),P26&lt;=0.0163*J26*K26,TRUE))),"NO VERIFICA FLEX.",IF(NOT(F26&lt;=Datos!$B$9*(0.53*SQRT(Datos!$B$5)*J26*K26+2*PI()*(U26/10)^2/4*Datos!$B$6*K26/V26)),"NO VERIF. CORTE",IF(NOT(L26&gt;=C26*100/VLOOKUP(D26,Datos!$A$19:$E$23,5,0)),"VERIFICAR FLECHA","VERIFICA")))</f>
        <v/>
      </c>
      <c r="X26" s="7" t="n"/>
      <c r="Y26" s="23" t="n">
        <v>2</v>
      </c>
      <c r="Z26" s="23" t="n">
        <v>1</v>
      </c>
      <c r="AA26" s="23" t="n">
        <v>3</v>
      </c>
    </row>
    <row r="27" ht="16" customHeight="1">
      <c r="A27" s="27" t="n"/>
      <c r="B27" s="21" t="inlineStr">
        <is>
          <t>VI 13b</t>
        </is>
      </c>
      <c r="C27" s="22" t="n">
        <v>3.75</v>
      </c>
      <c r="D27" s="23" t="inlineStr">
        <is>
          <t>Continua</t>
        </is>
      </c>
      <c r="E27" s="24">
        <f>(Datos!$B$10*(VLOOKUP($A$25,Datos!$A$14:$E$15,2,0)*Y27+Datos!$B$7*J27*L27/10000+Datos!$B$16*Z27)+Datos!$B$11*VLOOKUP($A$25,Datos!$A$14:$E$15,3,0)*Y27)</f>
        <v/>
      </c>
      <c r="F27" s="24">
        <f>VLOOKUP(D27,Datos!$A$19:$E$23,4,0)*E27*C27</f>
        <v/>
      </c>
      <c r="G27" s="24">
        <f>F27</f>
        <v/>
      </c>
      <c r="H27" s="24">
        <f>VLOOKUP(D27,Datos!$A$19:$E$23,2,0)*E27*C27^2</f>
        <v/>
      </c>
      <c r="I27" s="24">
        <f>VLOOKUP(D27,Datos!$A$19:$E$23,3,0)*E27*C27^2</f>
        <v/>
      </c>
      <c r="J27" s="23" t="n">
        <v>15</v>
      </c>
      <c r="K27" s="7">
        <f>L27-AA27</f>
        <v/>
      </c>
      <c r="L27" s="23" t="n">
        <v>50</v>
      </c>
      <c r="M27" s="25">
        <f>IF(H27&lt;=0,"---",IF(H27*100/(Datos!$B$8*J27*K27^2*Datos!$B$5)&gt;=0.5,"REVISAR",MAX((1-SQRT(1-2*H27*100/(Datos!$B$8*J27*K27^2*Datos!$B$5)))*J27*K27*Datos!$B$5/Datos!$B$6,0.0033*J27*K27)))</f>
        <v/>
      </c>
      <c r="N27" s="23" t="n">
        <v>3</v>
      </c>
      <c r="O27" s="23" t="n">
        <v>10</v>
      </c>
      <c r="P27" s="25">
        <f>IF(I27&lt;=0,"---",IF(I27*100/(Datos!$B$8*J27*K27^2*Datos!$B$5)&gt;=0.5,"REVISAR",MAX((1-SQRT(1-2*I27*100/(Datos!$B$8*J27*K27^2*Datos!$B$5)))*J27*K27*Datos!$B$5/Datos!$B$6,0.0033*J27*K27)))</f>
        <v/>
      </c>
      <c r="Q27" s="23" t="n">
        <v>3</v>
      </c>
      <c r="R27" s="23" t="n">
        <v>10</v>
      </c>
      <c r="S27" s="25">
        <f>F27/(J27*0.85*K27)</f>
        <v/>
      </c>
      <c r="T27" s="25">
        <f>G27/(J27*0.85*K27)</f>
        <v/>
      </c>
      <c r="U27" s="23" t="n">
        <v>6</v>
      </c>
      <c r="V27" s="23" t="n">
        <v>20</v>
      </c>
      <c r="W27" s="7">
        <f>IF(NOT(AND(IF(ISNUMBER(M27),N27*PI()*(O27/10)^2/4&gt;=M27,TRUE),IF(ISNUMBER(P27),Q27*PI()*(R27/10)^2/4&gt;=P27,TRUE),IF(ISNUMBER(M27),M27&lt;=0.0163*J27*K27,TRUE),IF(ISNUMBER(P27),P27&lt;=0.0163*J27*K27,TRUE))),"NO VERIFICA FLEX.",IF(NOT(F27&lt;=Datos!$B$9*(0.53*SQRT(Datos!$B$5)*J27*K27+2*PI()*(U27/10)^2/4*Datos!$B$6*K27/V27)),"NO VERIF. CORTE",IF(NOT(L27&gt;=C27*100/VLOOKUP(D27,Datos!$A$19:$E$23,5,0)),"VERIFICAR FLECHA","VERIFICA")))</f>
        <v/>
      </c>
      <c r="X27" s="7" t="n"/>
      <c r="Y27" s="23" t="n">
        <v>2</v>
      </c>
      <c r="Z27" s="23" t="n">
        <v>1</v>
      </c>
      <c r="AA27" s="23" t="n">
        <v>3</v>
      </c>
    </row>
    <row r="28" ht="16" customHeight="1">
      <c r="A28" s="27" t="n"/>
      <c r="B28" s="21" t="inlineStr">
        <is>
          <t>VI 14</t>
        </is>
      </c>
      <c r="C28" s="22" t="n">
        <v>6</v>
      </c>
      <c r="D28" s="23" t="inlineStr">
        <is>
          <t>Continua</t>
        </is>
      </c>
      <c r="E28" s="24">
        <f>(Datos!$B$10*(VLOOKUP($A$25,Datos!$A$14:$E$15,2,0)*Y28+Datos!$B$7*J28*L28/10000+Datos!$B$16*Z28)+Datos!$B$11*VLOOKUP($A$25,Datos!$A$14:$E$15,3,0)*Y28)</f>
        <v/>
      </c>
      <c r="F28" s="24">
        <f>VLOOKUP(D28,Datos!$A$19:$E$23,4,0)*E28*C28</f>
        <v/>
      </c>
      <c r="G28" s="24">
        <f>F28</f>
        <v/>
      </c>
      <c r="H28" s="24">
        <f>VLOOKUP(D28,Datos!$A$19:$E$23,2,0)*E28*C28^2</f>
        <v/>
      </c>
      <c r="I28" s="24">
        <f>VLOOKUP(D28,Datos!$A$19:$E$23,3,0)*E28*C28^2</f>
        <v/>
      </c>
      <c r="J28" s="23" t="n">
        <v>15</v>
      </c>
      <c r="K28" s="7">
        <f>L28-AA28</f>
        <v/>
      </c>
      <c r="L28" s="23" t="n">
        <v>70</v>
      </c>
      <c r="M28" s="25">
        <f>IF(H28&lt;=0,"---",IF(H28*100/(Datos!$B$8*J28*K28^2*Datos!$B$5)&gt;=0.5,"REVISAR",MAX((1-SQRT(1-2*H28*100/(Datos!$B$8*J28*K28^2*Datos!$B$5)))*J28*K28*Datos!$B$5/Datos!$B$6,0.0033*J28*K28)))</f>
        <v/>
      </c>
      <c r="N28" s="23" t="n">
        <v>3</v>
      </c>
      <c r="O28" s="23" t="n">
        <v>12</v>
      </c>
      <c r="P28" s="25">
        <f>IF(I28&lt;=0,"---",IF(I28*100/(Datos!$B$8*J28*K28^2*Datos!$B$5)&gt;=0.5,"REVISAR",MAX((1-SQRT(1-2*I28*100/(Datos!$B$8*J28*K28^2*Datos!$B$5)))*J28*K28*Datos!$B$5/Datos!$B$6,0.0033*J28*K28)))</f>
        <v/>
      </c>
      <c r="Q28" s="23" t="n">
        <v>3</v>
      </c>
      <c r="R28" s="23" t="n">
        <v>12</v>
      </c>
      <c r="S28" s="25">
        <f>F28/(J28*0.85*K28)</f>
        <v/>
      </c>
      <c r="T28" s="25">
        <f>G28/(J28*0.85*K28)</f>
        <v/>
      </c>
      <c r="U28" s="23" t="n">
        <v>6</v>
      </c>
      <c r="V28" s="23" t="n">
        <v>30</v>
      </c>
      <c r="W28" s="7">
        <f>IF(NOT(AND(IF(ISNUMBER(M28),N28*PI()*(O28/10)^2/4&gt;=M28,TRUE),IF(ISNUMBER(P28),Q28*PI()*(R28/10)^2/4&gt;=P28,TRUE),IF(ISNUMBER(M28),M28&lt;=0.0163*J28*K28,TRUE),IF(ISNUMBER(P28),P28&lt;=0.0163*J28*K28,TRUE))),"NO VERIFICA FLEX.",IF(NOT(F28&lt;=Datos!$B$9*(0.53*SQRT(Datos!$B$5)*J28*K28+2*PI()*(U28/10)^2/4*Datos!$B$6*K28/V28)),"NO VERIF. CORTE",IF(NOT(L28&gt;=C28*100/VLOOKUP(D28,Datos!$A$19:$E$23,5,0)),"VERIFICAR FLECHA","VERIFICA")))</f>
        <v/>
      </c>
      <c r="X28" s="7" t="n"/>
      <c r="Y28" s="23" t="n">
        <v>2</v>
      </c>
      <c r="Z28" s="23" t="n">
        <v>1</v>
      </c>
      <c r="AA28" s="23" t="n">
        <v>3</v>
      </c>
    </row>
    <row r="29" ht="16" customHeight="1">
      <c r="A29" s="27" t="n"/>
      <c r="B29" s="21" t="inlineStr">
        <is>
          <t>VI 15a</t>
        </is>
      </c>
      <c r="C29" s="22" t="n">
        <v>4.03</v>
      </c>
      <c r="D29" s="23" t="inlineStr">
        <is>
          <t>Continua</t>
        </is>
      </c>
      <c r="E29" s="24">
        <f>(Datos!$B$10*(VLOOKUP($A$25,Datos!$A$14:$E$15,2,0)*Y29+Datos!$B$7*J29*L29/10000+Datos!$B$16*Z29)+Datos!$B$11*VLOOKUP($A$25,Datos!$A$14:$E$15,3,0)*Y29)</f>
        <v/>
      </c>
      <c r="F29" s="24">
        <f>VLOOKUP(D29,Datos!$A$19:$E$23,4,0)*E29*C29</f>
        <v/>
      </c>
      <c r="G29" s="24">
        <f>F29</f>
        <v/>
      </c>
      <c r="H29" s="24">
        <f>VLOOKUP(D29,Datos!$A$19:$E$23,2,0)*E29*C29^2</f>
        <v/>
      </c>
      <c r="I29" s="24">
        <f>VLOOKUP(D29,Datos!$A$19:$E$23,3,0)*E29*C29^2</f>
        <v/>
      </c>
      <c r="J29" s="23" t="n">
        <v>15</v>
      </c>
      <c r="K29" s="7">
        <f>L29-AA29</f>
        <v/>
      </c>
      <c r="L29" s="23" t="n">
        <v>70</v>
      </c>
      <c r="M29" s="25">
        <f>IF(H29&lt;=0,"---",IF(H29*100/(Datos!$B$8*J29*K29^2*Datos!$B$5)&gt;=0.5,"REVISAR",MAX((1-SQRT(1-2*H29*100/(Datos!$B$8*J29*K29^2*Datos!$B$5)))*J29*K29*Datos!$B$5/Datos!$B$6,0.0033*J29*K29)))</f>
        <v/>
      </c>
      <c r="N29" s="23" t="n">
        <v>3</v>
      </c>
      <c r="O29" s="23" t="n">
        <v>12</v>
      </c>
      <c r="P29" s="25">
        <f>IF(I29&lt;=0,"---",IF(I29*100/(Datos!$B$8*J29*K29^2*Datos!$B$5)&gt;=0.5,"REVISAR",MAX((1-SQRT(1-2*I29*100/(Datos!$B$8*J29*K29^2*Datos!$B$5)))*J29*K29*Datos!$B$5/Datos!$B$6,0.0033*J29*K29)))</f>
        <v/>
      </c>
      <c r="Q29" s="23" t="n">
        <v>3</v>
      </c>
      <c r="R29" s="23" t="n">
        <v>12</v>
      </c>
      <c r="S29" s="25">
        <f>F29/(J29*0.85*K29)</f>
        <v/>
      </c>
      <c r="T29" s="25">
        <f>G29/(J29*0.85*K29)</f>
        <v/>
      </c>
      <c r="U29" s="23" t="n">
        <v>6</v>
      </c>
      <c r="V29" s="23" t="n">
        <v>30</v>
      </c>
      <c r="W29" s="7">
        <f>IF(NOT(AND(IF(ISNUMBER(M29),N29*PI()*(O29/10)^2/4&gt;=M29,TRUE),IF(ISNUMBER(P29),Q29*PI()*(R29/10)^2/4&gt;=P29,TRUE),IF(ISNUMBER(M29),M29&lt;=0.0163*J29*K29,TRUE),IF(ISNUMBER(P29),P29&lt;=0.0163*J29*K29,TRUE))),"NO VERIFICA FLEX.",IF(NOT(F29&lt;=Datos!$B$9*(0.53*SQRT(Datos!$B$5)*J29*K29+2*PI()*(U29/10)^2/4*Datos!$B$6*K29/V29)),"NO VERIF. CORTE",IF(NOT(L29&gt;=C29*100/VLOOKUP(D29,Datos!$A$19:$E$23,5,0)),"VERIFICAR FLECHA","VERIFICA")))</f>
        <v/>
      </c>
      <c r="X29" s="7" t="n"/>
      <c r="Y29" s="23" t="n">
        <v>2</v>
      </c>
      <c r="Z29" s="23" t="n">
        <v>1</v>
      </c>
      <c r="AA29" s="23" t="n">
        <v>3</v>
      </c>
    </row>
    <row r="30" ht="16" customHeight="1">
      <c r="A30" s="27" t="n"/>
      <c r="B30" s="21" t="inlineStr">
        <is>
          <t>VI 15b</t>
        </is>
      </c>
      <c r="C30" s="22" t="n">
        <v>4.85</v>
      </c>
      <c r="D30" s="23" t="inlineStr">
        <is>
          <t>Continua</t>
        </is>
      </c>
      <c r="E30" s="24">
        <f>(Datos!$B$10*(VLOOKUP($A$25,Datos!$A$14:$E$15,2,0)*Y30+Datos!$B$7*J30*L30/10000+Datos!$B$16*Z30)+Datos!$B$11*VLOOKUP($A$25,Datos!$A$14:$E$15,3,0)*Y30)</f>
        <v/>
      </c>
      <c r="F30" s="24">
        <f>VLOOKUP(D30,Datos!$A$19:$E$23,4,0)*E30*C30</f>
        <v/>
      </c>
      <c r="G30" s="24">
        <f>F30</f>
        <v/>
      </c>
      <c r="H30" s="24">
        <f>VLOOKUP(D30,Datos!$A$19:$E$23,2,0)*E30*C30^2</f>
        <v/>
      </c>
      <c r="I30" s="24">
        <f>VLOOKUP(D30,Datos!$A$19:$E$23,3,0)*E30*C30^2</f>
        <v/>
      </c>
      <c r="J30" s="23" t="n">
        <v>15</v>
      </c>
      <c r="K30" s="7">
        <f>L30-AA30</f>
        <v/>
      </c>
      <c r="L30" s="23" t="n">
        <v>70</v>
      </c>
      <c r="M30" s="25">
        <f>IF(H30&lt;=0,"---",IF(H30*100/(Datos!$B$8*J30*K30^2*Datos!$B$5)&gt;=0.5,"REVISAR",MAX((1-SQRT(1-2*H30*100/(Datos!$B$8*J30*K30^2*Datos!$B$5)))*J30*K30*Datos!$B$5/Datos!$B$6,0.0033*J30*K30)))</f>
        <v/>
      </c>
      <c r="N30" s="23" t="n">
        <v>3</v>
      </c>
      <c r="O30" s="23" t="n">
        <v>12</v>
      </c>
      <c r="P30" s="25">
        <f>IF(I30&lt;=0,"---",IF(I30*100/(Datos!$B$8*J30*K30^2*Datos!$B$5)&gt;=0.5,"REVISAR",MAX((1-SQRT(1-2*I30*100/(Datos!$B$8*J30*K30^2*Datos!$B$5)))*J30*K30*Datos!$B$5/Datos!$B$6,0.0033*J30*K30)))</f>
        <v/>
      </c>
      <c r="Q30" s="23" t="n">
        <v>3</v>
      </c>
      <c r="R30" s="23" t="n">
        <v>12</v>
      </c>
      <c r="S30" s="25">
        <f>F30/(J30*0.85*K30)</f>
        <v/>
      </c>
      <c r="T30" s="25">
        <f>G30/(J30*0.85*K30)</f>
        <v/>
      </c>
      <c r="U30" s="23" t="n">
        <v>6</v>
      </c>
      <c r="V30" s="23" t="n">
        <v>30</v>
      </c>
      <c r="W30" s="7">
        <f>IF(NOT(AND(IF(ISNUMBER(M30),N30*PI()*(O30/10)^2/4&gt;=M30,TRUE),IF(ISNUMBER(P30),Q30*PI()*(R30/10)^2/4&gt;=P30,TRUE),IF(ISNUMBER(M30),M30&lt;=0.0163*J30*K30,TRUE),IF(ISNUMBER(P30),P30&lt;=0.0163*J30*K30,TRUE))),"NO VERIFICA FLEX.",IF(NOT(F30&lt;=Datos!$B$9*(0.53*SQRT(Datos!$B$5)*J30*K30+2*PI()*(U30/10)^2/4*Datos!$B$6*K30/V30)),"NO VERIF. CORTE",IF(NOT(L30&gt;=C30*100/VLOOKUP(D30,Datos!$A$19:$E$23,5,0)),"VERIFICAR FLECHA","VERIFICA")))</f>
        <v/>
      </c>
      <c r="X30" s="7" t="n"/>
      <c r="Y30" s="23" t="n">
        <v>2</v>
      </c>
      <c r="Z30" s="23" t="n">
        <v>1</v>
      </c>
      <c r="AA30" s="23" t="n">
        <v>3</v>
      </c>
    </row>
    <row r="31" ht="16" customHeight="1">
      <c r="A31" s="27" t="n"/>
      <c r="B31" s="21" t="inlineStr">
        <is>
          <t>VI 16a</t>
        </is>
      </c>
      <c r="C31" s="22" t="n">
        <v>3.58</v>
      </c>
      <c r="D31" s="23" t="inlineStr">
        <is>
          <t>Continua</t>
        </is>
      </c>
      <c r="E31" s="24">
        <f>(Datos!$B$10*(VLOOKUP($A$25,Datos!$A$14:$E$15,2,0)*Y31+Datos!$B$7*J31*L31/10000+Datos!$B$16*Z31)+Datos!$B$11*VLOOKUP($A$25,Datos!$A$14:$E$15,3,0)*Y31)</f>
        <v/>
      </c>
      <c r="F31" s="24">
        <f>VLOOKUP(D31,Datos!$A$19:$E$23,4,0)*E31*C31</f>
        <v/>
      </c>
      <c r="G31" s="24">
        <f>F31</f>
        <v/>
      </c>
      <c r="H31" s="24">
        <f>VLOOKUP(D31,Datos!$A$19:$E$23,2,0)*E31*C31^2</f>
        <v/>
      </c>
      <c r="I31" s="24">
        <f>VLOOKUP(D31,Datos!$A$19:$E$23,3,0)*E31*C31^2</f>
        <v/>
      </c>
      <c r="J31" s="23" t="n">
        <v>15</v>
      </c>
      <c r="K31" s="7">
        <f>L31-AA31</f>
        <v/>
      </c>
      <c r="L31" s="23" t="n">
        <v>70</v>
      </c>
      <c r="M31" s="25">
        <f>IF(H31&lt;=0,"---",IF(H31*100/(Datos!$B$8*J31*K31^2*Datos!$B$5)&gt;=0.5,"REVISAR",MAX((1-SQRT(1-2*H31*100/(Datos!$B$8*J31*K31^2*Datos!$B$5)))*J31*K31*Datos!$B$5/Datos!$B$6,0.0033*J31*K31)))</f>
        <v/>
      </c>
      <c r="N31" s="23" t="n">
        <v>3</v>
      </c>
      <c r="O31" s="23" t="n">
        <v>12</v>
      </c>
      <c r="P31" s="25">
        <f>IF(I31&lt;=0,"---",IF(I31*100/(Datos!$B$8*J31*K31^2*Datos!$B$5)&gt;=0.5,"REVISAR",MAX((1-SQRT(1-2*I31*100/(Datos!$B$8*J31*K31^2*Datos!$B$5)))*J31*K31*Datos!$B$5/Datos!$B$6,0.0033*J31*K31)))</f>
        <v/>
      </c>
      <c r="Q31" s="23" t="n">
        <v>3</v>
      </c>
      <c r="R31" s="23" t="n">
        <v>12</v>
      </c>
      <c r="S31" s="25">
        <f>F31/(J31*0.85*K31)</f>
        <v/>
      </c>
      <c r="T31" s="25">
        <f>G31/(J31*0.85*K31)</f>
        <v/>
      </c>
      <c r="U31" s="23" t="n">
        <v>6</v>
      </c>
      <c r="V31" s="23" t="n">
        <v>30</v>
      </c>
      <c r="W31" s="7">
        <f>IF(NOT(AND(IF(ISNUMBER(M31),N31*PI()*(O31/10)^2/4&gt;=M31,TRUE),IF(ISNUMBER(P31),Q31*PI()*(R31/10)^2/4&gt;=P31,TRUE),IF(ISNUMBER(M31),M31&lt;=0.0163*J31*K31,TRUE),IF(ISNUMBER(P31),P31&lt;=0.0163*J31*K31,TRUE))),"NO VERIFICA FLEX.",IF(NOT(F31&lt;=Datos!$B$9*(0.53*SQRT(Datos!$B$5)*J31*K31+2*PI()*(U31/10)^2/4*Datos!$B$6*K31/V31)),"NO VERIF. CORTE",IF(NOT(L31&gt;=C31*100/VLOOKUP(D31,Datos!$A$19:$E$23,5,0)),"VERIFICAR FLECHA","VERIFICA")))</f>
        <v/>
      </c>
      <c r="X31" s="7" t="n"/>
      <c r="Y31" s="23" t="n">
        <v>2</v>
      </c>
      <c r="Z31" s="23" t="n">
        <v>1</v>
      </c>
      <c r="AA31" s="23" t="n">
        <v>3</v>
      </c>
    </row>
    <row r="32" ht="16" customHeight="1">
      <c r="A32" s="27" t="n"/>
      <c r="B32" s="21" t="inlineStr">
        <is>
          <t>VI 16b</t>
        </is>
      </c>
      <c r="C32" s="22" t="n">
        <v>1.12</v>
      </c>
      <c r="D32" s="23" t="inlineStr">
        <is>
          <t>Continua</t>
        </is>
      </c>
      <c r="E32" s="24">
        <f>(Datos!$B$10*(VLOOKUP($A$25,Datos!$A$14:$E$15,2,0)*Y32+Datos!$B$7*J32*L32/10000+Datos!$B$16*Z32)+Datos!$B$11*VLOOKUP($A$25,Datos!$A$14:$E$15,3,0)*Y32)</f>
        <v/>
      </c>
      <c r="F32" s="24">
        <f>VLOOKUP(D32,Datos!$A$19:$E$23,4,0)*E32*C32</f>
        <v/>
      </c>
      <c r="G32" s="24">
        <f>F32</f>
        <v/>
      </c>
      <c r="H32" s="24">
        <f>VLOOKUP(D32,Datos!$A$19:$E$23,2,0)*E32*C32^2</f>
        <v/>
      </c>
      <c r="I32" s="24">
        <f>VLOOKUP(D32,Datos!$A$19:$E$23,3,0)*E32*C32^2</f>
        <v/>
      </c>
      <c r="J32" s="23" t="n">
        <v>15</v>
      </c>
      <c r="K32" s="7">
        <f>L32-AA32</f>
        <v/>
      </c>
      <c r="L32" s="23" t="n">
        <v>70</v>
      </c>
      <c r="M32" s="25">
        <f>IF(H32&lt;=0,"---",IF(H32*100/(Datos!$B$8*J32*K32^2*Datos!$B$5)&gt;=0.5,"REVISAR",MAX((1-SQRT(1-2*H32*100/(Datos!$B$8*J32*K32^2*Datos!$B$5)))*J32*K32*Datos!$B$5/Datos!$B$6,0.0033*J32*K32)))</f>
        <v/>
      </c>
      <c r="N32" s="23" t="n">
        <v>3</v>
      </c>
      <c r="O32" s="23" t="n">
        <v>12</v>
      </c>
      <c r="P32" s="25">
        <f>IF(I32&lt;=0,"---",IF(I32*100/(Datos!$B$8*J32*K32^2*Datos!$B$5)&gt;=0.5,"REVISAR",MAX((1-SQRT(1-2*I32*100/(Datos!$B$8*J32*K32^2*Datos!$B$5)))*J32*K32*Datos!$B$5/Datos!$B$6,0.0033*J32*K32)))</f>
        <v/>
      </c>
      <c r="Q32" s="23" t="n">
        <v>3</v>
      </c>
      <c r="R32" s="23" t="n">
        <v>12</v>
      </c>
      <c r="S32" s="25">
        <f>F32/(J32*0.85*K32)</f>
        <v/>
      </c>
      <c r="T32" s="25">
        <f>G32/(J32*0.85*K32)</f>
        <v/>
      </c>
      <c r="U32" s="23" t="n">
        <v>6</v>
      </c>
      <c r="V32" s="23" t="n">
        <v>30</v>
      </c>
      <c r="W32" s="7">
        <f>IF(NOT(AND(IF(ISNUMBER(M32),N32*PI()*(O32/10)^2/4&gt;=M32,TRUE),IF(ISNUMBER(P32),Q32*PI()*(R32/10)^2/4&gt;=P32,TRUE),IF(ISNUMBER(M32),M32&lt;=0.0163*J32*K32,TRUE),IF(ISNUMBER(P32),P32&lt;=0.0163*J32*K32,TRUE))),"NO VERIFICA FLEX.",IF(NOT(F32&lt;=Datos!$B$9*(0.53*SQRT(Datos!$B$5)*J32*K32+2*PI()*(U32/10)^2/4*Datos!$B$6*K32/V32)),"NO VERIF. CORTE",IF(NOT(L32&gt;=C32*100/VLOOKUP(D32,Datos!$A$19:$E$23,5,0)),"VERIFICAR FLECHA","VERIFICA")))</f>
        <v/>
      </c>
      <c r="X32" s="7" t="n"/>
      <c r="Y32" s="23" t="n">
        <v>2</v>
      </c>
      <c r="Z32" s="23" t="n">
        <v>1</v>
      </c>
      <c r="AA32" s="23" t="n">
        <v>3</v>
      </c>
    </row>
    <row r="33" ht="16" customHeight="1">
      <c r="A33" s="28" t="n"/>
      <c r="B33" s="29" t="inlineStr">
        <is>
          <t>VI 17</t>
        </is>
      </c>
      <c r="C33" s="30" t="n">
        <v>4.35</v>
      </c>
      <c r="D33" s="31" t="inlineStr">
        <is>
          <t>Simplemente apoyada</t>
        </is>
      </c>
      <c r="E33" s="32">
        <f>(Datos!$B$10*(VLOOKUP($A$25,Datos!$A$14:$E$15,2,0)*Y33+Datos!$B$7*J33*L33/10000+Datos!$B$16*Z33)+Datos!$B$11*VLOOKUP($A$25,Datos!$A$14:$E$15,3,0)*Y33)</f>
        <v/>
      </c>
      <c r="F33" s="32">
        <f>VLOOKUP(D33,Datos!$A$19:$E$23,4,0)*E33*C33</f>
        <v/>
      </c>
      <c r="G33" s="32">
        <f>F33</f>
        <v/>
      </c>
      <c r="H33" s="32">
        <f>VLOOKUP(D33,Datos!$A$19:$E$23,2,0)*E33*C33^2</f>
        <v/>
      </c>
      <c r="I33" s="32">
        <f>VLOOKUP(D33,Datos!$A$19:$E$23,3,0)*E33*C33^2</f>
        <v/>
      </c>
      <c r="J33" s="31" t="n">
        <v>15</v>
      </c>
      <c r="K33" s="33">
        <f>L33-AA33</f>
        <v/>
      </c>
      <c r="L33" s="31" t="n">
        <v>70</v>
      </c>
      <c r="M33" s="34">
        <f>IF(H33&lt;=0,"---",IF(H33*100/(Datos!$B$8*J33*K33^2*Datos!$B$5)&gt;=0.5,"REVISAR",MAX((1-SQRT(1-2*H33*100/(Datos!$B$8*J33*K33^2*Datos!$B$5)))*J33*K33*Datos!$B$5/Datos!$B$6,0.0033*J33*K33)))</f>
        <v/>
      </c>
      <c r="N33" s="31" t="n">
        <v>3</v>
      </c>
      <c r="O33" s="31" t="n">
        <v>12</v>
      </c>
      <c r="P33" s="34">
        <f>IF(I33&lt;=0,"---",IF(I33*100/(Datos!$B$8*J33*K33^2*Datos!$B$5)&gt;=0.5,"REVISAR",MAX((1-SQRT(1-2*I33*100/(Datos!$B$8*J33*K33^2*Datos!$B$5)))*J33*K33*Datos!$B$5/Datos!$B$6,0.0033*J33*K33)))</f>
        <v/>
      </c>
      <c r="Q33" s="31" t="inlineStr">
        <is>
          <t>---</t>
        </is>
      </c>
      <c r="R33" s="31" t="inlineStr">
        <is>
          <t>---</t>
        </is>
      </c>
      <c r="S33" s="34">
        <f>F33/(J33*0.85*K33)</f>
        <v/>
      </c>
      <c r="T33" s="34">
        <f>G33/(J33*0.85*K33)</f>
        <v/>
      </c>
      <c r="U33" s="31" t="n">
        <v>6</v>
      </c>
      <c r="V33" s="31" t="n">
        <v>30</v>
      </c>
      <c r="W33" s="33">
        <f>IF(NOT(AND(IF(ISNUMBER(M33),N33*PI()*(O33/10)^2/4&gt;=M33,TRUE),IF(ISNUMBER(P33),Q33*PI()*(R33/10)^2/4&gt;=P33,TRUE),IF(ISNUMBER(M33),M33&lt;=0.0163*J33*K33,TRUE),IF(ISNUMBER(P33),P33&lt;=0.0163*J33*K33,TRUE))),"NO VERIFICA FLEX.",IF(NOT(F33&lt;=Datos!$B$9*(0.53*SQRT(Datos!$B$5)*J33*K33+2*PI()*(U33/10)^2/4*Datos!$B$6*K33/V33)),"NO VERIF. CORTE",IF(NOT(L33&gt;=C33*100/VLOOKUP(D33,Datos!$A$19:$E$23,5,0)),"VERIFICAR FLECHA","VERIFICA")))</f>
        <v/>
      </c>
      <c r="X33" s="33" t="n"/>
      <c r="Y33" s="31" t="n">
        <v>2</v>
      </c>
      <c r="Z33" s="31" t="n">
        <v>1</v>
      </c>
      <c r="AA33" s="31" t="n">
        <v>3</v>
      </c>
    </row>
  </sheetData>
  <mergeCells count="18">
    <mergeCell ref="F2:G2"/>
    <mergeCell ref="A4:A24"/>
    <mergeCell ref="J2:L2"/>
    <mergeCell ref="Y2:AA2"/>
    <mergeCell ref="D2:E2"/>
    <mergeCell ref="A25:A33"/>
    <mergeCell ref="P2:R2"/>
    <mergeCell ref="S2:U2"/>
    <mergeCell ref="I2:I3"/>
    <mergeCell ref="V2"/>
    <mergeCell ref="B2:B3"/>
    <mergeCell ref="A2:A3"/>
    <mergeCell ref="X2:X3"/>
    <mergeCell ref="C2:C3"/>
    <mergeCell ref="A1:AA1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2">
    <dataValidation sqref="D4:D33" showDropDown="0" showInputMessage="0" showErrorMessage="0" allowBlank="1" type="list">
      <formula1>=Datos!$A$19:$A$23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RESULTADO</t>
        </is>
      </c>
      <c r="B34" s="36" t="inlineStr">
        <is>
          <t>30 vigas: 21 del entrepiso PA y 9 de la losa de techo. 28 verifican.</t>
        </is>
      </c>
    </row>
    <row r="35">
      <c r="A35" s="36" t="inlineStr"/>
      <c r="B35" s="37" t="inlineStr">
        <is>
          <t>VI 02 (15x60, 9,88 m): la armadura de apoyo necesaria (18,6 cm2) supera la cuantia</t>
        </is>
      </c>
    </row>
    <row r="36">
      <c r="A36" s="36" t="inlineStr"/>
      <c r="B36" s="37" t="inlineStr">
        <is>
          <t xml:space="preserve">   maxima de la seccion (13,2 cm2). No alcanza como tramo unico: necesita d = 65 cm o</t>
        </is>
      </c>
    </row>
    <row r="37">
      <c r="A37" s="36" t="inlineStr"/>
      <c r="B37" s="37" t="inlineStr">
        <is>
          <t xml:space="preserve">   un apoyo intermedio. Como la casa esta construida, lo mas probable es que exista una</t>
        </is>
      </c>
    </row>
    <row r="38">
      <c r="A38" s="36" t="inlineStr"/>
      <c r="B38" s="37" t="inlineStr">
        <is>
          <t xml:space="preserve">   columna intermedia no identificada al leer el plano.</t>
        </is>
      </c>
    </row>
    <row r="39">
      <c r="A39" s="36" t="inlineStr"/>
      <c r="B39" s="37" t="inlineStr">
        <is>
          <t>VCH 03a (40x13, 3,71 m): excede la cuantia maxima y no llega a la altura minima por</t>
        </is>
      </c>
    </row>
    <row r="40">
      <c r="A40" s="36" t="inlineStr"/>
      <c r="B40" s="37" t="inlineStr">
        <is>
          <t xml:space="preserve">   flecha. Revisar el ancho tributario: si solo recibe el muro y no losa, baja mucho.</t>
        </is>
      </c>
    </row>
    <row r="41">
      <c r="A41" s="36" t="inlineStr"/>
      <c r="B41" s="37" t="inlineStr"/>
    </row>
    <row r="42">
      <c r="A42" s="36" t="inlineStr">
        <is>
          <t>7. ALCANCE</t>
        </is>
      </c>
      <c r="B42" s="36" t="inlineStr">
        <is>
          <t>No se incluyen las 31 vigas de fundacion (VF01 a VF18c): su calculo depende de las</t>
        </is>
      </c>
    </row>
    <row r="43">
      <c r="A43" s="36" t="inlineStr"/>
      <c r="B43" s="37" t="inlineStr">
        <is>
          <t>cargas que bajan por las columnas y corresponde hacerlo despues. Tampoco losas ni columnas.</t>
        </is>
      </c>
    </row>
    <row r="44">
      <c r="A44" s="36" t="inlineStr"/>
      <c r="B44" s="37" t="inlineStr"/>
    </row>
    <row r="45">
      <c r="A45" s="36" t="inlineStr">
        <is>
          <t>LIMITACIONES</t>
        </is>
      </c>
      <c r="B45" s="36" t="inlineStr">
        <is>
          <t>El ancho tributario B se adopto uniforme en 2,00 m (0,60 m en vigas chatas) por no</t>
        </is>
      </c>
    </row>
    <row r="46">
      <c r="A46" s="36" t="inlineStr"/>
      <c r="B46" s="37" t="inlineStr">
        <is>
          <t>disponer de la planta acotada con el reparto de losas. Es la hipotesis mas influyente:</t>
        </is>
      </c>
    </row>
    <row r="47">
      <c r="A47" s="36" t="inlineStr"/>
      <c r="B47" s="37" t="inlineStr">
        <is>
          <t>ajustarla viga por viga en la columna B trib. y todo se recalcula.</t>
        </is>
      </c>
    </row>
    <row r="48">
      <c r="A48" s="36" t="inlineStr"/>
      <c r="B48" s="37" t="inlineStr">
        <is>
          <t>El esquema se asigno por criterio: continua si integra una serie a-b-c o si supera 5,5 m.</t>
        </is>
      </c>
    </row>
    <row r="49">
      <c r="A49" s="36" t="inlineStr"/>
      <c r="B49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2026-10-19T22:20:47Z</dcterms:created>
  <dcterms:modified xmlns:dcterms="http://purl.org/dc/terms/" xmlns:xsi="http://www.w3.org/2001/XMLSchema-instance" xsi:type="dcterms:W3CDTF">2026-10-19T22:20:47Z</dcterms:modified>
</cp:coreProperties>
</file>