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gas" sheetId="1" state="visible" r:id="rId1"/>
    <sheet xmlns:r="http://schemas.openxmlformats.org/officeDocument/2006/relationships" name="Notas y formulas" sheetId="2" state="visible" r:id="rId2"/>
  </sheets>
  <definedNames>
    <definedName name="_xlnm._FilterDatabase" localSheetId="0" hidden="1">'Vigas'!$A$3:$AB$71</definedName>
    <definedName name="_xlnm.Print_Titles" localSheetId="0">'Vigas'!$1:$3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2"/>
    </font>
    <font>
      <b val="1"/>
      <sz val="9"/>
    </font>
    <font>
      <b val="1"/>
      <sz val="8"/>
    </font>
    <font>
      <b val="1"/>
      <sz val="10"/>
    </font>
    <font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FBFBF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6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7" customWidth="1" min="4" max="4"/>
    <col width="7" customWidth="1" min="5" max="5"/>
    <col width="8" customWidth="1" min="6" max="6"/>
    <col width="8" customWidth="1" min="7" max="7"/>
    <col width="8" customWidth="1" min="8" max="8"/>
    <col width="8" customWidth="1" min="9" max="9"/>
    <col width="15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5" customWidth="1" min="17" max="17"/>
    <col width="6" customWidth="1" min="18" max="18"/>
    <col width="8" customWidth="1" min="19" max="19"/>
    <col width="5" customWidth="1" min="20" max="20"/>
    <col width="6" customWidth="1" min="21" max="21"/>
    <col width="8" customWidth="1" min="22" max="22"/>
    <col width="6" customWidth="1" min="23" max="23"/>
    <col width="7" customWidth="1" min="24" max="24"/>
    <col width="9" customWidth="1" min="25" max="25"/>
    <col width="9" customWidth="1" min="26" max="26"/>
    <col width="10" customWidth="1" min="27" max="27"/>
    <col width="34" customWidth="1" min="28" max="28"/>
  </cols>
  <sheetData>
    <row r="1" ht="24" customHeight="1">
      <c r="A1" s="1" t="inlineStr">
        <is>
          <t>PLANILLA DE VIGAS - HORMIGON ARMADO   |   PE1 Municipal - numeracion segun plano de estructura</t>
        </is>
      </c>
    </row>
    <row r="2" ht="18" customHeight="1">
      <c r="A2" s="2" t="inlineStr">
        <is>
          <t>Nivel</t>
        </is>
      </c>
      <c r="B2" s="2" t="inlineStr">
        <is>
          <t>Viga</t>
        </is>
      </c>
      <c r="C2" s="2" t="inlineStr">
        <is>
          <t>Tramo</t>
        </is>
      </c>
      <c r="D2" s="3" t="inlineStr">
        <is>
          <t>GEOMETRIA</t>
        </is>
      </c>
      <c r="J2" s="3" t="inlineStr">
        <is>
          <t>ESQUEMA</t>
        </is>
      </c>
      <c r="K2" s="3" t="inlineStr">
        <is>
          <t>CARGAS</t>
        </is>
      </c>
      <c r="N2" s="3" t="inlineStr">
        <is>
          <t>SOLICITACIONES</t>
        </is>
      </c>
      <c r="Q2" s="3" t="inlineStr">
        <is>
          <t>ARM. INFERIOR</t>
        </is>
      </c>
      <c r="T2" s="3" t="inlineStr">
        <is>
          <t>ARM. SUPERIOR</t>
        </is>
      </c>
      <c r="W2" s="3" t="inlineStr">
        <is>
          <t>ESTRIBOS</t>
        </is>
      </c>
      <c r="Z2" s="3" t="inlineStr">
        <is>
          <t>VERIFICACION</t>
        </is>
      </c>
      <c r="AB2" s="2" t="inlineStr">
        <is>
          <t>Observaciones</t>
        </is>
      </c>
    </row>
    <row r="3" ht="32" customHeight="1">
      <c r="D3" s="4" t="inlineStr">
        <is>
          <t>b
(cm)</t>
        </is>
      </c>
      <c r="E3" s="4" t="inlineStr">
        <is>
          <t>h
(cm)</t>
        </is>
      </c>
      <c r="F3" s="4" t="inlineStr">
        <is>
          <t>L
(cm)</t>
        </is>
      </c>
      <c r="G3" s="4" t="inlineStr">
        <is>
          <t>L
(m)</t>
        </is>
      </c>
      <c r="H3" s="4" t="inlineStr">
        <is>
          <t>Recubr.
r (cm)</t>
        </is>
      </c>
      <c r="I3" s="4" t="inlineStr">
        <is>
          <t>d
(cm)</t>
        </is>
      </c>
      <c r="J3" s="4" t="inlineStr">
        <is>
          <t>Tipo de apoyo</t>
        </is>
      </c>
      <c r="K3" s="4" t="inlineStr">
        <is>
          <t>g
(kN/m)</t>
        </is>
      </c>
      <c r="L3" s="4" t="inlineStr">
        <is>
          <t>q
(kN/m)</t>
        </is>
      </c>
      <c r="M3" s="4" t="inlineStr">
        <is>
          <t>Pu
(kN/m)</t>
        </is>
      </c>
      <c r="N3" s="4" t="inlineStr">
        <is>
          <t>Md tramo
(kNm)</t>
        </is>
      </c>
      <c r="O3" s="4" t="inlineStr">
        <is>
          <t>Md apoyo
(kNm)</t>
        </is>
      </c>
      <c r="P3" s="4" t="inlineStr">
        <is>
          <t>Vd
(kN)</t>
        </is>
      </c>
      <c r="Q3" s="4" t="inlineStr">
        <is>
          <t>n</t>
        </is>
      </c>
      <c r="R3" s="4" t="inlineStr">
        <is>
          <t>D
(mm)</t>
        </is>
      </c>
      <c r="S3" s="4" t="inlineStr">
        <is>
          <t>As
(cm2)</t>
        </is>
      </c>
      <c r="T3" s="4" t="inlineStr">
        <is>
          <t>n</t>
        </is>
      </c>
      <c r="U3" s="4" t="inlineStr">
        <is>
          <t>D
(mm)</t>
        </is>
      </c>
      <c r="V3" s="4" t="inlineStr">
        <is>
          <t>As
(cm2)</t>
        </is>
      </c>
      <c r="W3" s="4" t="inlineStr">
        <is>
          <t>D
(mm)</t>
        </is>
      </c>
      <c r="X3" s="4" t="inlineStr">
        <is>
          <t>sep.
(cm)</t>
        </is>
      </c>
      <c r="Y3" s="4" t="inlineStr">
        <is>
          <t>Zona</t>
        </is>
      </c>
      <c r="Z3" s="4" t="inlineStr">
        <is>
          <t>As min
(cm2)</t>
        </is>
      </c>
      <c r="AA3" s="4" t="inlineStr">
        <is>
          <t>Verif.</t>
        </is>
      </c>
    </row>
    <row r="4" ht="18" customHeight="1">
      <c r="A4" s="5" t="inlineStr">
        <is>
          <t>LOSA DE FUNDACION   (vigas de fundacion / cabezales CBZ 01-03)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</row>
    <row r="5" ht="17" customHeight="1">
      <c r="A5" s="7" t="inlineStr">
        <is>
          <t>LOSA DE FUNDACION</t>
        </is>
      </c>
      <c r="B5" s="8" t="inlineStr">
        <is>
          <t>VF01 (1)</t>
        </is>
      </c>
      <c r="C5" s="7" t="n"/>
      <c r="D5" s="7" t="n">
        <v>20</v>
      </c>
      <c r="E5" s="7" t="n">
        <v>35</v>
      </c>
      <c r="F5" s="7" t="n">
        <v>77</v>
      </c>
      <c r="G5" s="9">
        <f>IF(F5="","",F5/100)</f>
        <v/>
      </c>
      <c r="H5" s="7" t="n">
        <v>3</v>
      </c>
      <c r="I5" s="10">
        <f>IF(COUNT(E5,H5)&lt;2,"",E5-H5)</f>
        <v/>
      </c>
      <c r="J5" s="7" t="n"/>
      <c r="K5" s="11" t="n"/>
      <c r="L5" s="11" t="n"/>
      <c r="M5" s="9">
        <f>IF(COUNT(K5,L5)=0,"",1.2*K5+1.6*L5)</f>
        <v/>
      </c>
      <c r="N5" s="9">
        <f>IF(COUNT(G5,M5)&lt;2,"",M5*G5^2/10)</f>
        <v/>
      </c>
      <c r="O5" s="9">
        <f>IF(COUNT(G5,M5)&lt;2,"",M5*G5^2/11)</f>
        <v/>
      </c>
      <c r="P5" s="9">
        <f>IF(COUNT(G5,M5)&lt;2,"",1.15*M5*G5/2)</f>
        <v/>
      </c>
      <c r="Q5" s="7" t="n"/>
      <c r="R5" s="7" t="n"/>
      <c r="S5" s="9">
        <f>IF(COUNT(Q5,R5)&lt;2,"",Q5*PI()*R5^2/400)</f>
        <v/>
      </c>
      <c r="T5" s="7" t="n"/>
      <c r="U5" s="7" t="n"/>
      <c r="V5" s="9">
        <f>IF(COUNT(T5,U5)&lt;2,"",T5*PI()*U5^2/400)</f>
        <v/>
      </c>
      <c r="W5" s="7" t="n"/>
      <c r="X5" s="7" t="n"/>
      <c r="Y5" s="7" t="n"/>
      <c r="Z5" s="9">
        <f>IF(COUNT(D5,I5)&lt;2,"",0.0033*D5*I5)</f>
        <v/>
      </c>
      <c r="AA5" s="10">
        <f>IF(OR(S5="",Z5=""),"",IF(S5&gt;=Z5,"CUMPLE","NO CUMPLE"))</f>
        <v/>
      </c>
      <c r="AB5" s="7" t="n"/>
    </row>
    <row r="6" ht="17" customHeight="1">
      <c r="A6" s="7" t="inlineStr">
        <is>
          <t>LOSA DE FUNDACION</t>
        </is>
      </c>
      <c r="B6" s="8" t="inlineStr">
        <is>
          <t>VF01 (2)</t>
        </is>
      </c>
      <c r="C6" s="7" t="n"/>
      <c r="D6" s="7" t="n">
        <v>20</v>
      </c>
      <c r="E6" s="7" t="n">
        <v>35</v>
      </c>
      <c r="F6" s="7" t="n">
        <v>77</v>
      </c>
      <c r="G6" s="9">
        <f>IF(F6="","",F6/100)</f>
        <v/>
      </c>
      <c r="H6" s="7" t="n">
        <v>3</v>
      </c>
      <c r="I6" s="10">
        <f>IF(COUNT(E6,H6)&lt;2,"",E6-H6)</f>
        <v/>
      </c>
      <c r="J6" s="7" t="n"/>
      <c r="K6" s="11" t="n"/>
      <c r="L6" s="11" t="n"/>
      <c r="M6" s="9">
        <f>IF(COUNT(K6,L6)=0,"",1.2*K6+1.6*L6)</f>
        <v/>
      </c>
      <c r="N6" s="9">
        <f>IF(COUNT(G6,M6)&lt;2,"",M6*G6^2/10)</f>
        <v/>
      </c>
      <c r="O6" s="9">
        <f>IF(COUNT(G6,M6)&lt;2,"",M6*G6^2/11)</f>
        <v/>
      </c>
      <c r="P6" s="9">
        <f>IF(COUNT(G6,M6)&lt;2,"",1.15*M6*G6/2)</f>
        <v/>
      </c>
      <c r="Q6" s="7" t="n"/>
      <c r="R6" s="7" t="n"/>
      <c r="S6" s="9">
        <f>IF(COUNT(Q6,R6)&lt;2,"",Q6*PI()*R6^2/400)</f>
        <v/>
      </c>
      <c r="T6" s="7" t="n"/>
      <c r="U6" s="7" t="n"/>
      <c r="V6" s="9">
        <f>IF(COUNT(T6,U6)&lt;2,"",T6*PI()*U6^2/400)</f>
        <v/>
      </c>
      <c r="W6" s="7" t="n"/>
      <c r="X6" s="7" t="n"/>
      <c r="Y6" s="7" t="n"/>
      <c r="Z6" s="9">
        <f>IF(COUNT(D6,I6)&lt;2,"",0.0033*D6*I6)</f>
        <v/>
      </c>
      <c r="AA6" s="10">
        <f>IF(OR(S6="",Z6=""),"",IF(S6&gt;=Z6,"CUMPLE","NO CUMPLE"))</f>
        <v/>
      </c>
      <c r="AB6" s="7" t="n"/>
    </row>
    <row r="7" ht="17" customHeight="1">
      <c r="A7" s="7" t="inlineStr">
        <is>
          <t>LOSA DE FUNDACION</t>
        </is>
      </c>
      <c r="B7" s="8" t="inlineStr">
        <is>
          <t>VF01 (3)</t>
        </is>
      </c>
      <c r="C7" s="7" t="n"/>
      <c r="D7" s="7" t="n">
        <v>20</v>
      </c>
      <c r="E7" s="7" t="n">
        <v>35</v>
      </c>
      <c r="F7" s="7" t="n">
        <v>77</v>
      </c>
      <c r="G7" s="9">
        <f>IF(F7="","",F7/100)</f>
        <v/>
      </c>
      <c r="H7" s="7" t="n">
        <v>3</v>
      </c>
      <c r="I7" s="10">
        <f>IF(COUNT(E7,H7)&lt;2,"",E7-H7)</f>
        <v/>
      </c>
      <c r="J7" s="7" t="n"/>
      <c r="K7" s="11" t="n"/>
      <c r="L7" s="11" t="n"/>
      <c r="M7" s="9">
        <f>IF(COUNT(K7,L7)=0,"",1.2*K7+1.6*L7)</f>
        <v/>
      </c>
      <c r="N7" s="9">
        <f>IF(COUNT(G7,M7)&lt;2,"",M7*G7^2/10)</f>
        <v/>
      </c>
      <c r="O7" s="9">
        <f>IF(COUNT(G7,M7)&lt;2,"",M7*G7^2/11)</f>
        <v/>
      </c>
      <c r="P7" s="9">
        <f>IF(COUNT(G7,M7)&lt;2,"",1.15*M7*G7/2)</f>
        <v/>
      </c>
      <c r="Q7" s="7" t="n"/>
      <c r="R7" s="7" t="n"/>
      <c r="S7" s="9">
        <f>IF(COUNT(Q7,R7)&lt;2,"",Q7*PI()*R7^2/400)</f>
        <v/>
      </c>
      <c r="T7" s="7" t="n"/>
      <c r="U7" s="7" t="n"/>
      <c r="V7" s="9">
        <f>IF(COUNT(T7,U7)&lt;2,"",T7*PI()*U7^2/400)</f>
        <v/>
      </c>
      <c r="W7" s="7" t="n"/>
      <c r="X7" s="7" t="n"/>
      <c r="Y7" s="7" t="n"/>
      <c r="Z7" s="9">
        <f>IF(COUNT(D7,I7)&lt;2,"",0.0033*D7*I7)</f>
        <v/>
      </c>
      <c r="AA7" s="10">
        <f>IF(OR(S7="",Z7=""),"",IF(S7&gt;=Z7,"CUMPLE","NO CUMPLE"))</f>
        <v/>
      </c>
      <c r="AB7" s="7" t="n"/>
    </row>
    <row r="8" ht="17" customHeight="1">
      <c r="A8" s="7" t="inlineStr">
        <is>
          <t>LOSA DE FUNDACION</t>
        </is>
      </c>
      <c r="B8" s="8" t="inlineStr">
        <is>
          <t>VF02</t>
        </is>
      </c>
      <c r="C8" s="7" t="n"/>
      <c r="D8" s="7" t="n">
        <v>25</v>
      </c>
      <c r="E8" s="7" t="n">
        <v>35</v>
      </c>
      <c r="F8" s="7" t="n">
        <v>328</v>
      </c>
      <c r="G8" s="9">
        <f>IF(F8="","",F8/100)</f>
        <v/>
      </c>
      <c r="H8" s="7" t="n">
        <v>3</v>
      </c>
      <c r="I8" s="10">
        <f>IF(COUNT(E8,H8)&lt;2,"",E8-H8)</f>
        <v/>
      </c>
      <c r="J8" s="7" t="n"/>
      <c r="K8" s="11" t="n"/>
      <c r="L8" s="11" t="n"/>
      <c r="M8" s="9">
        <f>IF(COUNT(K8,L8)=0,"",1.2*K8+1.6*L8)</f>
        <v/>
      </c>
      <c r="N8" s="9">
        <f>IF(COUNT(G8,M8)&lt;2,"",M8*G8^2/10)</f>
        <v/>
      </c>
      <c r="O8" s="9">
        <f>IF(COUNT(G8,M8)&lt;2,"",M8*G8^2/11)</f>
        <v/>
      </c>
      <c r="P8" s="9">
        <f>IF(COUNT(G8,M8)&lt;2,"",1.15*M8*G8/2)</f>
        <v/>
      </c>
      <c r="Q8" s="7" t="n"/>
      <c r="R8" s="7" t="n"/>
      <c r="S8" s="9">
        <f>IF(COUNT(Q8,R8)&lt;2,"",Q8*PI()*R8^2/400)</f>
        <v/>
      </c>
      <c r="T8" s="7" t="n"/>
      <c r="U8" s="7" t="n"/>
      <c r="V8" s="9">
        <f>IF(COUNT(T8,U8)&lt;2,"",T8*PI()*U8^2/400)</f>
        <v/>
      </c>
      <c r="W8" s="7" t="n"/>
      <c r="X8" s="7" t="n"/>
      <c r="Y8" s="7" t="n"/>
      <c r="Z8" s="9">
        <f>IF(COUNT(D8,I8)&lt;2,"",0.0033*D8*I8)</f>
        <v/>
      </c>
      <c r="AA8" s="10">
        <f>IF(OR(S8="",Z8=""),"",IF(S8&gt;=Z8,"CUMPLE","NO CUMPLE"))</f>
        <v/>
      </c>
      <c r="AB8" s="7" t="n"/>
    </row>
    <row r="9" ht="17" customHeight="1">
      <c r="A9" s="7" t="inlineStr">
        <is>
          <t>LOSA DE FUNDACION</t>
        </is>
      </c>
      <c r="B9" s="8" t="inlineStr">
        <is>
          <t>VF03</t>
        </is>
      </c>
      <c r="C9" s="7" t="n"/>
      <c r="D9" s="7" t="n">
        <v>22</v>
      </c>
      <c r="E9" s="7" t="n">
        <v>25</v>
      </c>
      <c r="F9" s="7" t="n">
        <v>928</v>
      </c>
      <c r="G9" s="9">
        <f>IF(F9="","",F9/100)</f>
        <v/>
      </c>
      <c r="H9" s="7" t="n">
        <v>3</v>
      </c>
      <c r="I9" s="10">
        <f>IF(COUNT(E9,H9)&lt;2,"",E9-H9)</f>
        <v/>
      </c>
      <c r="J9" s="7" t="n"/>
      <c r="K9" s="11" t="n"/>
      <c r="L9" s="11" t="n"/>
      <c r="M9" s="9">
        <f>IF(COUNT(K9,L9)=0,"",1.2*K9+1.6*L9)</f>
        <v/>
      </c>
      <c r="N9" s="9">
        <f>IF(COUNT(G9,M9)&lt;2,"",M9*G9^2/10)</f>
        <v/>
      </c>
      <c r="O9" s="9">
        <f>IF(COUNT(G9,M9)&lt;2,"",M9*G9^2/11)</f>
        <v/>
      </c>
      <c r="P9" s="9">
        <f>IF(COUNT(G9,M9)&lt;2,"",1.15*M9*G9/2)</f>
        <v/>
      </c>
      <c r="Q9" s="7" t="n"/>
      <c r="R9" s="7" t="n"/>
      <c r="S9" s="9">
        <f>IF(COUNT(Q9,R9)&lt;2,"",Q9*PI()*R9^2/400)</f>
        <v/>
      </c>
      <c r="T9" s="7" t="n"/>
      <c r="U9" s="7" t="n"/>
      <c r="V9" s="9">
        <f>IF(COUNT(T9,U9)&lt;2,"",T9*PI()*U9^2/400)</f>
        <v/>
      </c>
      <c r="W9" s="7" t="n"/>
      <c r="X9" s="7" t="n"/>
      <c r="Y9" s="7" t="n"/>
      <c r="Z9" s="9">
        <f>IF(COUNT(D9,I9)&lt;2,"",0.0033*D9*I9)</f>
        <v/>
      </c>
      <c r="AA9" s="10">
        <f>IF(OR(S9="",Z9=""),"",IF(S9&gt;=Z9,"CUMPLE","NO CUMPLE"))</f>
        <v/>
      </c>
      <c r="AB9" s="7" t="n"/>
    </row>
    <row r="10" ht="17" customHeight="1">
      <c r="A10" s="7" t="inlineStr">
        <is>
          <t>LOSA DE FUNDACION</t>
        </is>
      </c>
      <c r="B10" s="8" t="inlineStr">
        <is>
          <t>VF04a</t>
        </is>
      </c>
      <c r="C10" s="7" t="n"/>
      <c r="D10" s="7" t="n"/>
      <c r="E10" s="7" t="n">
        <v>35</v>
      </c>
      <c r="F10" s="7" t="n">
        <v>533</v>
      </c>
      <c r="G10" s="9">
        <f>IF(F10="","",F10/100)</f>
        <v/>
      </c>
      <c r="H10" s="7" t="n">
        <v>3</v>
      </c>
      <c r="I10" s="10">
        <f>IF(COUNT(E10,H10)&lt;2,"",E10-H10)</f>
        <v/>
      </c>
      <c r="J10" s="7" t="n"/>
      <c r="K10" s="11" t="n"/>
      <c r="L10" s="11" t="n"/>
      <c r="M10" s="9">
        <f>IF(COUNT(K10,L10)=0,"",1.2*K10+1.6*L10)</f>
        <v/>
      </c>
      <c r="N10" s="9">
        <f>IF(COUNT(G10,M10)&lt;2,"",M10*G10^2/10)</f>
        <v/>
      </c>
      <c r="O10" s="9">
        <f>IF(COUNT(G10,M10)&lt;2,"",M10*G10^2/11)</f>
        <v/>
      </c>
      <c r="P10" s="9">
        <f>IF(COUNT(G10,M10)&lt;2,"",1.15*M10*G10/2)</f>
        <v/>
      </c>
      <c r="Q10" s="7" t="n"/>
      <c r="R10" s="7" t="n"/>
      <c r="S10" s="9">
        <f>IF(COUNT(Q10,R10)&lt;2,"",Q10*PI()*R10^2/400)</f>
        <v/>
      </c>
      <c r="T10" s="7" t="n"/>
      <c r="U10" s="7" t="n"/>
      <c r="V10" s="9">
        <f>IF(COUNT(T10,U10)&lt;2,"",T10*PI()*U10^2/400)</f>
        <v/>
      </c>
      <c r="W10" s="7" t="n"/>
      <c r="X10" s="7" t="n"/>
      <c r="Y10" s="7" t="n"/>
      <c r="Z10" s="9">
        <f>IF(COUNT(D10,I10)&lt;2,"",0.0033*D10*I10)</f>
        <v/>
      </c>
      <c r="AA10" s="10">
        <f>IF(OR(S10="",Z10=""),"",IF(S10&gt;=Z10,"CUMPLE","NO CUMPLE"))</f>
        <v/>
      </c>
      <c r="AB10" s="12" t="inlineStr">
        <is>
          <t>Ancho ilegible en el PDF - VERIFICAR (20 o 22)</t>
        </is>
      </c>
    </row>
    <row r="11" ht="17" customHeight="1">
      <c r="A11" s="7" t="inlineStr">
        <is>
          <t>LOSA DE FUNDACION</t>
        </is>
      </c>
      <c r="B11" s="8" t="inlineStr">
        <is>
          <t>VF04b</t>
        </is>
      </c>
      <c r="C11" s="7" t="n"/>
      <c r="D11" s="7" t="n">
        <v>20</v>
      </c>
      <c r="E11" s="7" t="n">
        <v>25</v>
      </c>
      <c r="F11" s="7" t="n">
        <v>330</v>
      </c>
      <c r="G11" s="9">
        <f>IF(F11="","",F11/100)</f>
        <v/>
      </c>
      <c r="H11" s="7" t="n">
        <v>3</v>
      </c>
      <c r="I11" s="10">
        <f>IF(COUNT(E11,H11)&lt;2,"",E11-H11)</f>
        <v/>
      </c>
      <c r="J11" s="7" t="n"/>
      <c r="K11" s="11" t="n"/>
      <c r="L11" s="11" t="n"/>
      <c r="M11" s="9">
        <f>IF(COUNT(K11,L11)=0,"",1.2*K11+1.6*L11)</f>
        <v/>
      </c>
      <c r="N11" s="9">
        <f>IF(COUNT(G11,M11)&lt;2,"",M11*G11^2/10)</f>
        <v/>
      </c>
      <c r="O11" s="9">
        <f>IF(COUNT(G11,M11)&lt;2,"",M11*G11^2/11)</f>
        <v/>
      </c>
      <c r="P11" s="9">
        <f>IF(COUNT(G11,M11)&lt;2,"",1.15*M11*G11/2)</f>
        <v/>
      </c>
      <c r="Q11" s="7" t="n"/>
      <c r="R11" s="7" t="n"/>
      <c r="S11" s="9">
        <f>IF(COUNT(Q11,R11)&lt;2,"",Q11*PI()*R11^2/400)</f>
        <v/>
      </c>
      <c r="T11" s="7" t="n"/>
      <c r="U11" s="7" t="n"/>
      <c r="V11" s="9">
        <f>IF(COUNT(T11,U11)&lt;2,"",T11*PI()*U11^2/400)</f>
        <v/>
      </c>
      <c r="W11" s="7" t="n"/>
      <c r="X11" s="7" t="n"/>
      <c r="Y11" s="7" t="n"/>
      <c r="Z11" s="9">
        <f>IF(COUNT(D11,I11)&lt;2,"",0.0033*D11*I11)</f>
        <v/>
      </c>
      <c r="AA11" s="10">
        <f>IF(OR(S11="",Z11=""),"",IF(S11&gt;=Z11,"CUMPLE","NO CUMPLE"))</f>
        <v/>
      </c>
      <c r="AB11" s="7" t="n"/>
    </row>
    <row r="12" ht="17" customHeight="1">
      <c r="A12" s="7" t="inlineStr">
        <is>
          <t>LOSA DE FUNDACION</t>
        </is>
      </c>
      <c r="B12" s="8" t="inlineStr">
        <is>
          <t>VF04c</t>
        </is>
      </c>
      <c r="C12" s="7" t="n"/>
      <c r="D12" s="7" t="n">
        <v>20</v>
      </c>
      <c r="E12" s="7" t="n">
        <v>25</v>
      </c>
      <c r="F12" s="7" t="n">
        <v>308</v>
      </c>
      <c r="G12" s="9">
        <f>IF(F12="","",F12/100)</f>
        <v/>
      </c>
      <c r="H12" s="7" t="n">
        <v>3</v>
      </c>
      <c r="I12" s="10">
        <f>IF(COUNT(E12,H12)&lt;2,"",E12-H12)</f>
        <v/>
      </c>
      <c r="J12" s="7" t="n"/>
      <c r="K12" s="11" t="n"/>
      <c r="L12" s="11" t="n"/>
      <c r="M12" s="9">
        <f>IF(COUNT(K12,L12)=0,"",1.2*K12+1.6*L12)</f>
        <v/>
      </c>
      <c r="N12" s="9">
        <f>IF(COUNT(G12,M12)&lt;2,"",M12*G12^2/10)</f>
        <v/>
      </c>
      <c r="O12" s="9">
        <f>IF(COUNT(G12,M12)&lt;2,"",M12*G12^2/11)</f>
        <v/>
      </c>
      <c r="P12" s="9">
        <f>IF(COUNT(G12,M12)&lt;2,"",1.15*M12*G12/2)</f>
        <v/>
      </c>
      <c r="Q12" s="7" t="n"/>
      <c r="R12" s="7" t="n"/>
      <c r="S12" s="9">
        <f>IF(COUNT(Q12,R12)&lt;2,"",Q12*PI()*R12^2/400)</f>
        <v/>
      </c>
      <c r="T12" s="7" t="n"/>
      <c r="U12" s="7" t="n"/>
      <c r="V12" s="9">
        <f>IF(COUNT(T12,U12)&lt;2,"",T12*PI()*U12^2/400)</f>
        <v/>
      </c>
      <c r="W12" s="7" t="n"/>
      <c r="X12" s="7" t="n"/>
      <c r="Y12" s="7" t="n"/>
      <c r="Z12" s="9">
        <f>IF(COUNT(D12,I12)&lt;2,"",0.0033*D12*I12)</f>
        <v/>
      </c>
      <c r="AA12" s="10">
        <f>IF(OR(S12="",Z12=""),"",IF(S12&gt;=Z12,"CUMPLE","NO CUMPLE"))</f>
        <v/>
      </c>
      <c r="AB12" s="7" t="n"/>
    </row>
    <row r="13" ht="17" customHeight="1">
      <c r="A13" s="7" t="inlineStr">
        <is>
          <t>LOSA DE FUNDACION</t>
        </is>
      </c>
      <c r="B13" s="8" t="inlineStr">
        <is>
          <t>VF05</t>
        </is>
      </c>
      <c r="C13" s="7" t="n"/>
      <c r="D13" s="7" t="n">
        <v>15</v>
      </c>
      <c r="E13" s="7" t="n">
        <v>25</v>
      </c>
      <c r="F13" s="7" t="n">
        <v>226</v>
      </c>
      <c r="G13" s="9">
        <f>IF(F13="","",F13/100)</f>
        <v/>
      </c>
      <c r="H13" s="7" t="n">
        <v>3</v>
      </c>
      <c r="I13" s="10">
        <f>IF(COUNT(E13,H13)&lt;2,"",E13-H13)</f>
        <v/>
      </c>
      <c r="J13" s="7" t="n"/>
      <c r="K13" s="11" t="n"/>
      <c r="L13" s="11" t="n"/>
      <c r="M13" s="9">
        <f>IF(COUNT(K13,L13)=0,"",1.2*K13+1.6*L13)</f>
        <v/>
      </c>
      <c r="N13" s="9">
        <f>IF(COUNT(G13,M13)&lt;2,"",M13*G13^2/10)</f>
        <v/>
      </c>
      <c r="O13" s="9">
        <f>IF(COUNT(G13,M13)&lt;2,"",M13*G13^2/11)</f>
        <v/>
      </c>
      <c r="P13" s="9">
        <f>IF(COUNT(G13,M13)&lt;2,"",1.15*M13*G13/2)</f>
        <v/>
      </c>
      <c r="Q13" s="7" t="n"/>
      <c r="R13" s="7" t="n"/>
      <c r="S13" s="9">
        <f>IF(COUNT(Q13,R13)&lt;2,"",Q13*PI()*R13^2/400)</f>
        <v/>
      </c>
      <c r="T13" s="7" t="n"/>
      <c r="U13" s="7" t="n"/>
      <c r="V13" s="9">
        <f>IF(COUNT(T13,U13)&lt;2,"",T13*PI()*U13^2/400)</f>
        <v/>
      </c>
      <c r="W13" s="7" t="n"/>
      <c r="X13" s="7" t="n"/>
      <c r="Y13" s="7" t="n"/>
      <c r="Z13" s="9">
        <f>IF(COUNT(D13,I13)&lt;2,"",0.0033*D13*I13)</f>
        <v/>
      </c>
      <c r="AA13" s="10">
        <f>IF(OR(S13="",Z13=""),"",IF(S13&gt;=Z13,"CUMPLE","NO CUMPLE"))</f>
        <v/>
      </c>
      <c r="AB13" s="7" t="n"/>
    </row>
    <row r="14" ht="17" customHeight="1">
      <c r="A14" s="7" t="inlineStr">
        <is>
          <t>LOSA DE FUNDACION</t>
        </is>
      </c>
      <c r="B14" s="8" t="inlineStr">
        <is>
          <t>VF06a</t>
        </is>
      </c>
      <c r="C14" s="7" t="n"/>
      <c r="D14" s="7" t="n"/>
      <c r="E14" s="7" t="n"/>
      <c r="F14" s="7" t="n"/>
      <c r="G14" s="9">
        <f>IF(F14="","",F14/100)</f>
        <v/>
      </c>
      <c r="H14" s="7" t="n">
        <v>3</v>
      </c>
      <c r="I14" s="10">
        <f>IF(COUNT(E14,H14)&lt;2,"",E14-H14)</f>
        <v/>
      </c>
      <c r="J14" s="7" t="n"/>
      <c r="K14" s="11" t="n"/>
      <c r="L14" s="11" t="n"/>
      <c r="M14" s="9">
        <f>IF(COUNT(K14,L14)=0,"",1.2*K14+1.6*L14)</f>
        <v/>
      </c>
      <c r="N14" s="9">
        <f>IF(COUNT(G14,M14)&lt;2,"",M14*G14^2/10)</f>
        <v/>
      </c>
      <c r="O14" s="9">
        <f>IF(COUNT(G14,M14)&lt;2,"",M14*G14^2/11)</f>
        <v/>
      </c>
      <c r="P14" s="9">
        <f>IF(COUNT(G14,M14)&lt;2,"",1.15*M14*G14/2)</f>
        <v/>
      </c>
      <c r="Q14" s="7" t="n"/>
      <c r="R14" s="7" t="n"/>
      <c r="S14" s="9">
        <f>IF(COUNT(Q14,R14)&lt;2,"",Q14*PI()*R14^2/400)</f>
        <v/>
      </c>
      <c r="T14" s="7" t="n"/>
      <c r="U14" s="7" t="n"/>
      <c r="V14" s="9">
        <f>IF(COUNT(T14,U14)&lt;2,"",T14*PI()*U14^2/400)</f>
        <v/>
      </c>
      <c r="W14" s="7" t="n"/>
      <c r="X14" s="7" t="n"/>
      <c r="Y14" s="7" t="n"/>
      <c r="Z14" s="9">
        <f>IF(COUNT(D14,I14)&lt;2,"",0.0033*D14*I14)</f>
        <v/>
      </c>
      <c r="AA14" s="10">
        <f>IF(OR(S14="",Z14=""),"",IF(S14&gt;=Z14,"CUMPLE","NO CUMPLE"))</f>
        <v/>
      </c>
      <c r="AB14" s="12" t="inlineStr">
        <is>
          <t>Sin cota legible en el PDF - COMPLETAR</t>
        </is>
      </c>
    </row>
    <row r="15" ht="17" customHeight="1">
      <c r="A15" s="7" t="inlineStr">
        <is>
          <t>LOSA DE FUNDACION</t>
        </is>
      </c>
      <c r="B15" s="8" t="inlineStr">
        <is>
          <t>VF06b</t>
        </is>
      </c>
      <c r="C15" s="7" t="n"/>
      <c r="D15" s="7" t="n"/>
      <c r="E15" s="7" t="n"/>
      <c r="F15" s="7" t="n"/>
      <c r="G15" s="9">
        <f>IF(F15="","",F15/100)</f>
        <v/>
      </c>
      <c r="H15" s="7" t="n">
        <v>3</v>
      </c>
      <c r="I15" s="10">
        <f>IF(COUNT(E15,H15)&lt;2,"",E15-H15)</f>
        <v/>
      </c>
      <c r="J15" s="7" t="n"/>
      <c r="K15" s="11" t="n"/>
      <c r="L15" s="11" t="n"/>
      <c r="M15" s="9">
        <f>IF(COUNT(K15,L15)=0,"",1.2*K15+1.6*L15)</f>
        <v/>
      </c>
      <c r="N15" s="9">
        <f>IF(COUNT(G15,M15)&lt;2,"",M15*G15^2/10)</f>
        <v/>
      </c>
      <c r="O15" s="9">
        <f>IF(COUNT(G15,M15)&lt;2,"",M15*G15^2/11)</f>
        <v/>
      </c>
      <c r="P15" s="9">
        <f>IF(COUNT(G15,M15)&lt;2,"",1.15*M15*G15/2)</f>
        <v/>
      </c>
      <c r="Q15" s="7" t="n"/>
      <c r="R15" s="7" t="n"/>
      <c r="S15" s="9">
        <f>IF(COUNT(Q15,R15)&lt;2,"",Q15*PI()*R15^2/400)</f>
        <v/>
      </c>
      <c r="T15" s="7" t="n"/>
      <c r="U15" s="7" t="n"/>
      <c r="V15" s="9">
        <f>IF(COUNT(T15,U15)&lt;2,"",T15*PI()*U15^2/400)</f>
        <v/>
      </c>
      <c r="W15" s="7" t="n"/>
      <c r="X15" s="7" t="n"/>
      <c r="Y15" s="7" t="n"/>
      <c r="Z15" s="9">
        <f>IF(COUNT(D15,I15)&lt;2,"",0.0033*D15*I15)</f>
        <v/>
      </c>
      <c r="AA15" s="10">
        <f>IF(OR(S15="",Z15=""),"",IF(S15&gt;=Z15,"CUMPLE","NO CUMPLE"))</f>
        <v/>
      </c>
      <c r="AB15" s="12" t="inlineStr">
        <is>
          <t>Sin cota legible en el PDF - COMPLETAR</t>
        </is>
      </c>
    </row>
    <row r="16" ht="17" customHeight="1">
      <c r="A16" s="7" t="inlineStr">
        <is>
          <t>LOSA DE FUNDACION</t>
        </is>
      </c>
      <c r="B16" s="8" t="inlineStr">
        <is>
          <t>VF06c</t>
        </is>
      </c>
      <c r="C16" s="7" t="n"/>
      <c r="D16" s="7" t="n">
        <v>20</v>
      </c>
      <c r="E16" s="7" t="n">
        <v>25</v>
      </c>
      <c r="F16" s="7" t="n">
        <v>330</v>
      </c>
      <c r="G16" s="9">
        <f>IF(F16="","",F16/100)</f>
        <v/>
      </c>
      <c r="H16" s="7" t="n">
        <v>3</v>
      </c>
      <c r="I16" s="10">
        <f>IF(COUNT(E16,H16)&lt;2,"",E16-H16)</f>
        <v/>
      </c>
      <c r="J16" s="7" t="n"/>
      <c r="K16" s="11" t="n"/>
      <c r="L16" s="11" t="n"/>
      <c r="M16" s="9">
        <f>IF(COUNT(K16,L16)=0,"",1.2*K16+1.6*L16)</f>
        <v/>
      </c>
      <c r="N16" s="9">
        <f>IF(COUNT(G16,M16)&lt;2,"",M16*G16^2/10)</f>
        <v/>
      </c>
      <c r="O16" s="9">
        <f>IF(COUNT(G16,M16)&lt;2,"",M16*G16^2/11)</f>
        <v/>
      </c>
      <c r="P16" s="9">
        <f>IF(COUNT(G16,M16)&lt;2,"",1.15*M16*G16/2)</f>
        <v/>
      </c>
      <c r="Q16" s="7" t="n"/>
      <c r="R16" s="7" t="n"/>
      <c r="S16" s="9">
        <f>IF(COUNT(Q16,R16)&lt;2,"",Q16*PI()*R16^2/400)</f>
        <v/>
      </c>
      <c r="T16" s="7" t="n"/>
      <c r="U16" s="7" t="n"/>
      <c r="V16" s="9">
        <f>IF(COUNT(T16,U16)&lt;2,"",T16*PI()*U16^2/400)</f>
        <v/>
      </c>
      <c r="W16" s="7" t="n"/>
      <c r="X16" s="7" t="n"/>
      <c r="Y16" s="7" t="n"/>
      <c r="Z16" s="9">
        <f>IF(COUNT(D16,I16)&lt;2,"",0.0033*D16*I16)</f>
        <v/>
      </c>
      <c r="AA16" s="10">
        <f>IF(OR(S16="",Z16=""),"",IF(S16&gt;=Z16,"CUMPLE","NO CUMPLE"))</f>
        <v/>
      </c>
      <c r="AB16" s="7" t="n"/>
    </row>
    <row r="17" ht="17" customHeight="1">
      <c r="A17" s="7" t="inlineStr">
        <is>
          <t>LOSA DE FUNDACION</t>
        </is>
      </c>
      <c r="B17" s="8" t="inlineStr">
        <is>
          <t>VF06d</t>
        </is>
      </c>
      <c r="C17" s="7" t="n"/>
      <c r="D17" s="7" t="n">
        <v>22</v>
      </c>
      <c r="E17" s="7" t="n">
        <v>25</v>
      </c>
      <c r="F17" s="7" t="n">
        <v>303</v>
      </c>
      <c r="G17" s="9">
        <f>IF(F17="","",F17/100)</f>
        <v/>
      </c>
      <c r="H17" s="7" t="n">
        <v>3</v>
      </c>
      <c r="I17" s="10">
        <f>IF(COUNT(E17,H17)&lt;2,"",E17-H17)</f>
        <v/>
      </c>
      <c r="J17" s="7" t="n"/>
      <c r="K17" s="11" t="n"/>
      <c r="L17" s="11" t="n"/>
      <c r="M17" s="9">
        <f>IF(COUNT(K17,L17)=0,"",1.2*K17+1.6*L17)</f>
        <v/>
      </c>
      <c r="N17" s="9">
        <f>IF(COUNT(G17,M17)&lt;2,"",M17*G17^2/10)</f>
        <v/>
      </c>
      <c r="O17" s="9">
        <f>IF(COUNT(G17,M17)&lt;2,"",M17*G17^2/11)</f>
        <v/>
      </c>
      <c r="P17" s="9">
        <f>IF(COUNT(G17,M17)&lt;2,"",1.15*M17*G17/2)</f>
        <v/>
      </c>
      <c r="Q17" s="7" t="n"/>
      <c r="R17" s="7" t="n"/>
      <c r="S17" s="9">
        <f>IF(COUNT(Q17,R17)&lt;2,"",Q17*PI()*R17^2/400)</f>
        <v/>
      </c>
      <c r="T17" s="7" t="n"/>
      <c r="U17" s="7" t="n"/>
      <c r="V17" s="9">
        <f>IF(COUNT(T17,U17)&lt;2,"",T17*PI()*U17^2/400)</f>
        <v/>
      </c>
      <c r="W17" s="7" t="n"/>
      <c r="X17" s="7" t="n"/>
      <c r="Y17" s="7" t="n"/>
      <c r="Z17" s="9">
        <f>IF(COUNT(D17,I17)&lt;2,"",0.0033*D17*I17)</f>
        <v/>
      </c>
      <c r="AA17" s="10">
        <f>IF(OR(S17="",Z17=""),"",IF(S17&gt;=Z17,"CUMPLE","NO CUMPLE"))</f>
        <v/>
      </c>
      <c r="AB17" s="7" t="n"/>
    </row>
    <row r="18" ht="17" customHeight="1">
      <c r="A18" s="7" t="inlineStr">
        <is>
          <t>LOSA DE FUNDACION</t>
        </is>
      </c>
      <c r="B18" s="8" t="inlineStr">
        <is>
          <t>VF07</t>
        </is>
      </c>
      <c r="C18" s="7" t="n"/>
      <c r="D18" s="7" t="n">
        <v>20</v>
      </c>
      <c r="E18" s="7" t="n">
        <v>25</v>
      </c>
      <c r="F18" s="7" t="n">
        <v>350</v>
      </c>
      <c r="G18" s="9">
        <f>IF(F18="","",F18/100)</f>
        <v/>
      </c>
      <c r="H18" s="7" t="n">
        <v>3</v>
      </c>
      <c r="I18" s="10">
        <f>IF(COUNT(E18,H18)&lt;2,"",E18-H18)</f>
        <v/>
      </c>
      <c r="J18" s="7" t="n"/>
      <c r="K18" s="11" t="n"/>
      <c r="L18" s="11" t="n"/>
      <c r="M18" s="9">
        <f>IF(COUNT(K18,L18)=0,"",1.2*K18+1.6*L18)</f>
        <v/>
      </c>
      <c r="N18" s="9">
        <f>IF(COUNT(G18,M18)&lt;2,"",M18*G18^2/10)</f>
        <v/>
      </c>
      <c r="O18" s="9">
        <f>IF(COUNT(G18,M18)&lt;2,"",M18*G18^2/11)</f>
        <v/>
      </c>
      <c r="P18" s="9">
        <f>IF(COUNT(G18,M18)&lt;2,"",1.15*M18*G18/2)</f>
        <v/>
      </c>
      <c r="Q18" s="7" t="n"/>
      <c r="R18" s="7" t="n"/>
      <c r="S18" s="9">
        <f>IF(COUNT(Q18,R18)&lt;2,"",Q18*PI()*R18^2/400)</f>
        <v/>
      </c>
      <c r="T18" s="7" t="n"/>
      <c r="U18" s="7" t="n"/>
      <c r="V18" s="9">
        <f>IF(COUNT(T18,U18)&lt;2,"",T18*PI()*U18^2/400)</f>
        <v/>
      </c>
      <c r="W18" s="7" t="n"/>
      <c r="X18" s="7" t="n"/>
      <c r="Y18" s="7" t="n"/>
      <c r="Z18" s="9">
        <f>IF(COUNT(D18,I18)&lt;2,"",0.0033*D18*I18)</f>
        <v/>
      </c>
      <c r="AA18" s="10">
        <f>IF(OR(S18="",Z18=""),"",IF(S18&gt;=Z18,"CUMPLE","NO CUMPLE"))</f>
        <v/>
      </c>
      <c r="AB18" s="7" t="n"/>
    </row>
    <row r="19" ht="17" customHeight="1">
      <c r="A19" s="7" t="inlineStr">
        <is>
          <t>LOSA DE FUNDACION</t>
        </is>
      </c>
      <c r="B19" s="8" t="inlineStr">
        <is>
          <t>VF08</t>
        </is>
      </c>
      <c r="C19" s="7" t="n"/>
      <c r="D19" s="7" t="n">
        <v>25</v>
      </c>
      <c r="E19" s="7" t="n">
        <v>35</v>
      </c>
      <c r="F19" s="7" t="n">
        <v>350</v>
      </c>
      <c r="G19" s="9">
        <f>IF(F19="","",F19/100)</f>
        <v/>
      </c>
      <c r="H19" s="7" t="n">
        <v>3</v>
      </c>
      <c r="I19" s="10">
        <f>IF(COUNT(E19,H19)&lt;2,"",E19-H19)</f>
        <v/>
      </c>
      <c r="J19" s="7" t="n"/>
      <c r="K19" s="11" t="n"/>
      <c r="L19" s="11" t="n"/>
      <c r="M19" s="9">
        <f>IF(COUNT(K19,L19)=0,"",1.2*K19+1.6*L19)</f>
        <v/>
      </c>
      <c r="N19" s="9">
        <f>IF(COUNT(G19,M19)&lt;2,"",M19*G19^2/10)</f>
        <v/>
      </c>
      <c r="O19" s="9">
        <f>IF(COUNT(G19,M19)&lt;2,"",M19*G19^2/11)</f>
        <v/>
      </c>
      <c r="P19" s="9">
        <f>IF(COUNT(G19,M19)&lt;2,"",1.15*M19*G19/2)</f>
        <v/>
      </c>
      <c r="Q19" s="7" t="n"/>
      <c r="R19" s="7" t="n"/>
      <c r="S19" s="9">
        <f>IF(COUNT(Q19,R19)&lt;2,"",Q19*PI()*R19^2/400)</f>
        <v/>
      </c>
      <c r="T19" s="7" t="n"/>
      <c r="U19" s="7" t="n"/>
      <c r="V19" s="9">
        <f>IF(COUNT(T19,U19)&lt;2,"",T19*PI()*U19^2/400)</f>
        <v/>
      </c>
      <c r="W19" s="7" t="n"/>
      <c r="X19" s="7" t="n"/>
      <c r="Y19" s="7" t="n"/>
      <c r="Z19" s="9">
        <f>IF(COUNT(D19,I19)&lt;2,"",0.0033*D19*I19)</f>
        <v/>
      </c>
      <c r="AA19" s="10">
        <f>IF(OR(S19="",Z19=""),"",IF(S19&gt;=Z19,"CUMPLE","NO CUMPLE"))</f>
        <v/>
      </c>
      <c r="AB19" s="7" t="n"/>
    </row>
    <row r="20" ht="17" customHeight="1">
      <c r="A20" s="7" t="inlineStr">
        <is>
          <t>LOSA DE FUNDACION</t>
        </is>
      </c>
      <c r="B20" s="8" t="inlineStr">
        <is>
          <t>VF09 (1)</t>
        </is>
      </c>
      <c r="C20" s="7" t="n"/>
      <c r="D20" s="7" t="n">
        <v>20</v>
      </c>
      <c r="E20" s="7" t="n">
        <v>35</v>
      </c>
      <c r="F20" s="7" t="n">
        <v>70</v>
      </c>
      <c r="G20" s="9">
        <f>IF(F20="","",F20/100)</f>
        <v/>
      </c>
      <c r="H20" s="7" t="n">
        <v>3</v>
      </c>
      <c r="I20" s="10">
        <f>IF(COUNT(E20,H20)&lt;2,"",E20-H20)</f>
        <v/>
      </c>
      <c r="J20" s="7" t="n"/>
      <c r="K20" s="11" t="n"/>
      <c r="L20" s="11" t="n"/>
      <c r="M20" s="9">
        <f>IF(COUNT(K20,L20)=0,"",1.2*K20+1.6*L20)</f>
        <v/>
      </c>
      <c r="N20" s="9">
        <f>IF(COUNT(G20,M20)&lt;2,"",M20*G20^2/10)</f>
        <v/>
      </c>
      <c r="O20" s="9">
        <f>IF(COUNT(G20,M20)&lt;2,"",M20*G20^2/11)</f>
        <v/>
      </c>
      <c r="P20" s="9">
        <f>IF(COUNT(G20,M20)&lt;2,"",1.15*M20*G20/2)</f>
        <v/>
      </c>
      <c r="Q20" s="7" t="n"/>
      <c r="R20" s="7" t="n"/>
      <c r="S20" s="9">
        <f>IF(COUNT(Q20,R20)&lt;2,"",Q20*PI()*R20^2/400)</f>
        <v/>
      </c>
      <c r="T20" s="7" t="n"/>
      <c r="U20" s="7" t="n"/>
      <c r="V20" s="9">
        <f>IF(COUNT(T20,U20)&lt;2,"",T20*PI()*U20^2/400)</f>
        <v/>
      </c>
      <c r="W20" s="7" t="n"/>
      <c r="X20" s="7" t="n"/>
      <c r="Y20" s="7" t="n"/>
      <c r="Z20" s="9">
        <f>IF(COUNT(D20,I20)&lt;2,"",0.0033*D20*I20)</f>
        <v/>
      </c>
      <c r="AA20" s="10">
        <f>IF(OR(S20="",Z20=""),"",IF(S20&gt;=Z20,"CUMPLE","NO CUMPLE"))</f>
        <v/>
      </c>
      <c r="AB20" s="7" t="n"/>
    </row>
    <row r="21" ht="17" customHeight="1">
      <c r="A21" s="7" t="inlineStr">
        <is>
          <t>LOSA DE FUNDACION</t>
        </is>
      </c>
      <c r="B21" s="8" t="inlineStr">
        <is>
          <t>VF09 (2)</t>
        </is>
      </c>
      <c r="C21" s="7" t="n"/>
      <c r="D21" s="7" t="n">
        <v>20</v>
      </c>
      <c r="E21" s="7" t="n">
        <v>35</v>
      </c>
      <c r="F21" s="7" t="n">
        <v>70</v>
      </c>
      <c r="G21" s="9">
        <f>IF(F21="","",F21/100)</f>
        <v/>
      </c>
      <c r="H21" s="7" t="n">
        <v>3</v>
      </c>
      <c r="I21" s="10">
        <f>IF(COUNT(E21,H21)&lt;2,"",E21-H21)</f>
        <v/>
      </c>
      <c r="J21" s="7" t="n"/>
      <c r="K21" s="11" t="n"/>
      <c r="L21" s="11" t="n"/>
      <c r="M21" s="9">
        <f>IF(COUNT(K21,L21)=0,"",1.2*K21+1.6*L21)</f>
        <v/>
      </c>
      <c r="N21" s="9">
        <f>IF(COUNT(G21,M21)&lt;2,"",M21*G21^2/10)</f>
        <v/>
      </c>
      <c r="O21" s="9">
        <f>IF(COUNT(G21,M21)&lt;2,"",M21*G21^2/11)</f>
        <v/>
      </c>
      <c r="P21" s="9">
        <f>IF(COUNT(G21,M21)&lt;2,"",1.15*M21*G21/2)</f>
        <v/>
      </c>
      <c r="Q21" s="7" t="n"/>
      <c r="R21" s="7" t="n"/>
      <c r="S21" s="9">
        <f>IF(COUNT(Q21,R21)&lt;2,"",Q21*PI()*R21^2/400)</f>
        <v/>
      </c>
      <c r="T21" s="7" t="n"/>
      <c r="U21" s="7" t="n"/>
      <c r="V21" s="9">
        <f>IF(COUNT(T21,U21)&lt;2,"",T21*PI()*U21^2/400)</f>
        <v/>
      </c>
      <c r="W21" s="7" t="n"/>
      <c r="X21" s="7" t="n"/>
      <c r="Y21" s="7" t="n"/>
      <c r="Z21" s="9">
        <f>IF(COUNT(D21,I21)&lt;2,"",0.0033*D21*I21)</f>
        <v/>
      </c>
      <c r="AA21" s="10">
        <f>IF(OR(S21="",Z21=""),"",IF(S21&gt;=Z21,"CUMPLE","NO CUMPLE"))</f>
        <v/>
      </c>
      <c r="AB21" s="7" t="n"/>
    </row>
    <row r="22" ht="17" customHeight="1">
      <c r="A22" s="7" t="inlineStr">
        <is>
          <t>LOSA DE FUNDACION</t>
        </is>
      </c>
      <c r="B22" s="8" t="inlineStr">
        <is>
          <t>VF10a</t>
        </is>
      </c>
      <c r="C22" s="7" t="n"/>
      <c r="D22" s="7" t="n">
        <v>20</v>
      </c>
      <c r="E22" s="7" t="n">
        <v>35</v>
      </c>
      <c r="F22" s="7" t="n">
        <v>336</v>
      </c>
      <c r="G22" s="9">
        <f>IF(F22="","",F22/100)</f>
        <v/>
      </c>
      <c r="H22" s="7" t="n">
        <v>3</v>
      </c>
      <c r="I22" s="10">
        <f>IF(COUNT(E22,H22)&lt;2,"",E22-H22)</f>
        <v/>
      </c>
      <c r="J22" s="7" t="n"/>
      <c r="K22" s="11" t="n"/>
      <c r="L22" s="11" t="n"/>
      <c r="M22" s="9">
        <f>IF(COUNT(K22,L22)=0,"",1.2*K22+1.6*L22)</f>
        <v/>
      </c>
      <c r="N22" s="9">
        <f>IF(COUNT(G22,M22)&lt;2,"",M22*G22^2/10)</f>
        <v/>
      </c>
      <c r="O22" s="9">
        <f>IF(COUNT(G22,M22)&lt;2,"",M22*G22^2/11)</f>
        <v/>
      </c>
      <c r="P22" s="9">
        <f>IF(COUNT(G22,M22)&lt;2,"",1.15*M22*G22/2)</f>
        <v/>
      </c>
      <c r="Q22" s="7" t="n"/>
      <c r="R22" s="7" t="n"/>
      <c r="S22" s="9">
        <f>IF(COUNT(Q22,R22)&lt;2,"",Q22*PI()*R22^2/400)</f>
        <v/>
      </c>
      <c r="T22" s="7" t="n"/>
      <c r="U22" s="7" t="n"/>
      <c r="V22" s="9">
        <f>IF(COUNT(T22,U22)&lt;2,"",T22*PI()*U22^2/400)</f>
        <v/>
      </c>
      <c r="W22" s="7" t="n"/>
      <c r="X22" s="7" t="n"/>
      <c r="Y22" s="7" t="n"/>
      <c r="Z22" s="9">
        <f>IF(COUNT(D22,I22)&lt;2,"",0.0033*D22*I22)</f>
        <v/>
      </c>
      <c r="AA22" s="10">
        <f>IF(OR(S22="",Z22=""),"",IF(S22&gt;=Z22,"CUMPLE","NO CUMPLE"))</f>
        <v/>
      </c>
      <c r="AB22" s="7" t="n"/>
    </row>
    <row r="23" ht="17" customHeight="1">
      <c r="A23" s="7" t="inlineStr">
        <is>
          <t>LOSA DE FUNDACION</t>
        </is>
      </c>
      <c r="B23" s="8" t="inlineStr">
        <is>
          <t>VF10b</t>
        </is>
      </c>
      <c r="C23" s="7" t="n"/>
      <c r="D23" s="7" t="n">
        <v>22</v>
      </c>
      <c r="E23" s="7" t="n">
        <v>35</v>
      </c>
      <c r="F23" s="7" t="n">
        <v>236</v>
      </c>
      <c r="G23" s="9">
        <f>IF(F23="","",F23/100)</f>
        <v/>
      </c>
      <c r="H23" s="7" t="n">
        <v>3</v>
      </c>
      <c r="I23" s="10">
        <f>IF(COUNT(E23,H23)&lt;2,"",E23-H23)</f>
        <v/>
      </c>
      <c r="J23" s="7" t="n"/>
      <c r="K23" s="11" t="n"/>
      <c r="L23" s="11" t="n"/>
      <c r="M23" s="9">
        <f>IF(COUNT(K23,L23)=0,"",1.2*K23+1.6*L23)</f>
        <v/>
      </c>
      <c r="N23" s="9">
        <f>IF(COUNT(G23,M23)&lt;2,"",M23*G23^2/10)</f>
        <v/>
      </c>
      <c r="O23" s="9">
        <f>IF(COUNT(G23,M23)&lt;2,"",M23*G23^2/11)</f>
        <v/>
      </c>
      <c r="P23" s="9">
        <f>IF(COUNT(G23,M23)&lt;2,"",1.15*M23*G23/2)</f>
        <v/>
      </c>
      <c r="Q23" s="7" t="n"/>
      <c r="R23" s="7" t="n"/>
      <c r="S23" s="9">
        <f>IF(COUNT(Q23,R23)&lt;2,"",Q23*PI()*R23^2/400)</f>
        <v/>
      </c>
      <c r="T23" s="7" t="n"/>
      <c r="U23" s="7" t="n"/>
      <c r="V23" s="9">
        <f>IF(COUNT(T23,U23)&lt;2,"",T23*PI()*U23^2/400)</f>
        <v/>
      </c>
      <c r="W23" s="7" t="n"/>
      <c r="X23" s="7" t="n"/>
      <c r="Y23" s="7" t="n"/>
      <c r="Z23" s="9">
        <f>IF(COUNT(D23,I23)&lt;2,"",0.0033*D23*I23)</f>
        <v/>
      </c>
      <c r="AA23" s="10">
        <f>IF(OR(S23="",Z23=""),"",IF(S23&gt;=Z23,"CUMPLE","NO CUMPLE"))</f>
        <v/>
      </c>
      <c r="AB23" s="7" t="n"/>
    </row>
    <row r="24" ht="17" customHeight="1">
      <c r="A24" s="7" t="inlineStr">
        <is>
          <t>LOSA DE FUNDACION</t>
        </is>
      </c>
      <c r="B24" s="8" t="inlineStr">
        <is>
          <t>VF10c</t>
        </is>
      </c>
      <c r="C24" s="7" t="n"/>
      <c r="D24" s="7" t="n">
        <v>25</v>
      </c>
      <c r="E24" s="7" t="n">
        <v>35</v>
      </c>
      <c r="F24" s="7" t="n">
        <v>803</v>
      </c>
      <c r="G24" s="9">
        <f>IF(F24="","",F24/100)</f>
        <v/>
      </c>
      <c r="H24" s="7" t="n">
        <v>3</v>
      </c>
      <c r="I24" s="10">
        <f>IF(COUNT(E24,H24)&lt;2,"",E24-H24)</f>
        <v/>
      </c>
      <c r="J24" s="7" t="n"/>
      <c r="K24" s="11" t="n"/>
      <c r="L24" s="11" t="n"/>
      <c r="M24" s="9">
        <f>IF(COUNT(K24,L24)=0,"",1.2*K24+1.6*L24)</f>
        <v/>
      </c>
      <c r="N24" s="9">
        <f>IF(COUNT(G24,M24)&lt;2,"",M24*G24^2/10)</f>
        <v/>
      </c>
      <c r="O24" s="9">
        <f>IF(COUNT(G24,M24)&lt;2,"",M24*G24^2/11)</f>
        <v/>
      </c>
      <c r="P24" s="9">
        <f>IF(COUNT(G24,M24)&lt;2,"",1.15*M24*G24/2)</f>
        <v/>
      </c>
      <c r="Q24" s="7" t="n"/>
      <c r="R24" s="7" t="n"/>
      <c r="S24" s="9">
        <f>IF(COUNT(Q24,R24)&lt;2,"",Q24*PI()*R24^2/400)</f>
        <v/>
      </c>
      <c r="T24" s="7" t="n"/>
      <c r="U24" s="7" t="n"/>
      <c r="V24" s="9">
        <f>IF(COUNT(T24,U24)&lt;2,"",T24*PI()*U24^2/400)</f>
        <v/>
      </c>
      <c r="W24" s="7" t="n"/>
      <c r="X24" s="7" t="n"/>
      <c r="Y24" s="7" t="n"/>
      <c r="Z24" s="9">
        <f>IF(COUNT(D24,I24)&lt;2,"",0.0033*D24*I24)</f>
        <v/>
      </c>
      <c r="AA24" s="10">
        <f>IF(OR(S24="",Z24=""),"",IF(S24&gt;=Z24,"CUMPLE","NO CUMPLE"))</f>
        <v/>
      </c>
      <c r="AB24" s="7" t="n"/>
    </row>
    <row r="25" ht="17" customHeight="1">
      <c r="A25" s="7" t="inlineStr">
        <is>
          <t>LOSA DE FUNDACION</t>
        </is>
      </c>
      <c r="B25" s="8" t="inlineStr">
        <is>
          <t>VF11</t>
        </is>
      </c>
      <c r="C25" s="7" t="n"/>
      <c r="D25" s="7" t="n">
        <v>20</v>
      </c>
      <c r="E25" s="7" t="n">
        <v>25</v>
      </c>
      <c r="F25" s="7" t="n">
        <v>403</v>
      </c>
      <c r="G25" s="9">
        <f>IF(F25="","",F25/100)</f>
        <v/>
      </c>
      <c r="H25" s="7" t="n">
        <v>3</v>
      </c>
      <c r="I25" s="10">
        <f>IF(COUNT(E25,H25)&lt;2,"",E25-H25)</f>
        <v/>
      </c>
      <c r="J25" s="7" t="n"/>
      <c r="K25" s="11" t="n"/>
      <c r="L25" s="11" t="n"/>
      <c r="M25" s="9">
        <f>IF(COUNT(K25,L25)=0,"",1.2*K25+1.6*L25)</f>
        <v/>
      </c>
      <c r="N25" s="9">
        <f>IF(COUNT(G25,M25)&lt;2,"",M25*G25^2/10)</f>
        <v/>
      </c>
      <c r="O25" s="9">
        <f>IF(COUNT(G25,M25)&lt;2,"",M25*G25^2/11)</f>
        <v/>
      </c>
      <c r="P25" s="9">
        <f>IF(COUNT(G25,M25)&lt;2,"",1.15*M25*G25/2)</f>
        <v/>
      </c>
      <c r="Q25" s="7" t="n"/>
      <c r="R25" s="7" t="n"/>
      <c r="S25" s="9">
        <f>IF(COUNT(Q25,R25)&lt;2,"",Q25*PI()*R25^2/400)</f>
        <v/>
      </c>
      <c r="T25" s="7" t="n"/>
      <c r="U25" s="7" t="n"/>
      <c r="V25" s="9">
        <f>IF(COUNT(T25,U25)&lt;2,"",T25*PI()*U25^2/400)</f>
        <v/>
      </c>
      <c r="W25" s="7" t="n"/>
      <c r="X25" s="7" t="n"/>
      <c r="Y25" s="7" t="n"/>
      <c r="Z25" s="9">
        <f>IF(COUNT(D25,I25)&lt;2,"",0.0033*D25*I25)</f>
        <v/>
      </c>
      <c r="AA25" s="10">
        <f>IF(OR(S25="",Z25=""),"",IF(S25&gt;=Z25,"CUMPLE","NO CUMPLE"))</f>
        <v/>
      </c>
      <c r="AB25" s="7" t="n"/>
    </row>
    <row r="26" ht="17" customHeight="1">
      <c r="A26" s="7" t="inlineStr">
        <is>
          <t>LOSA DE FUNDACION</t>
        </is>
      </c>
      <c r="B26" s="8" t="inlineStr">
        <is>
          <t>VF12</t>
        </is>
      </c>
      <c r="C26" s="7" t="n"/>
      <c r="D26" s="7" t="n">
        <v>15</v>
      </c>
      <c r="E26" s="7" t="n">
        <v>25</v>
      </c>
      <c r="F26" s="7" t="n">
        <v>149</v>
      </c>
      <c r="G26" s="9">
        <f>IF(F26="","",F26/100)</f>
        <v/>
      </c>
      <c r="H26" s="7" t="n">
        <v>3</v>
      </c>
      <c r="I26" s="10">
        <f>IF(COUNT(E26,H26)&lt;2,"",E26-H26)</f>
        <v/>
      </c>
      <c r="J26" s="7" t="n"/>
      <c r="K26" s="11" t="n"/>
      <c r="L26" s="11" t="n"/>
      <c r="M26" s="9">
        <f>IF(COUNT(K26,L26)=0,"",1.2*K26+1.6*L26)</f>
        <v/>
      </c>
      <c r="N26" s="9">
        <f>IF(COUNT(G26,M26)&lt;2,"",M26*G26^2/10)</f>
        <v/>
      </c>
      <c r="O26" s="9">
        <f>IF(COUNT(G26,M26)&lt;2,"",M26*G26^2/11)</f>
        <v/>
      </c>
      <c r="P26" s="9">
        <f>IF(COUNT(G26,M26)&lt;2,"",1.15*M26*G26/2)</f>
        <v/>
      </c>
      <c r="Q26" s="7" t="n"/>
      <c r="R26" s="7" t="n"/>
      <c r="S26" s="9">
        <f>IF(COUNT(Q26,R26)&lt;2,"",Q26*PI()*R26^2/400)</f>
        <v/>
      </c>
      <c r="T26" s="7" t="n"/>
      <c r="U26" s="7" t="n"/>
      <c r="V26" s="9">
        <f>IF(COUNT(T26,U26)&lt;2,"",T26*PI()*U26^2/400)</f>
        <v/>
      </c>
      <c r="W26" s="7" t="n"/>
      <c r="X26" s="7" t="n"/>
      <c r="Y26" s="7" t="n"/>
      <c r="Z26" s="9">
        <f>IF(COUNT(D26,I26)&lt;2,"",0.0033*D26*I26)</f>
        <v/>
      </c>
      <c r="AA26" s="10">
        <f>IF(OR(S26="",Z26=""),"",IF(S26&gt;=Z26,"CUMPLE","NO CUMPLE"))</f>
        <v/>
      </c>
      <c r="AB26" s="7" t="n"/>
    </row>
    <row r="27" ht="17" customHeight="1">
      <c r="A27" s="7" t="inlineStr">
        <is>
          <t>LOSA DE FUNDACION</t>
        </is>
      </c>
      <c r="B27" s="8" t="inlineStr">
        <is>
          <t>VF13</t>
        </is>
      </c>
      <c r="C27" s="7" t="n"/>
      <c r="D27" s="7" t="n"/>
      <c r="E27" s="7" t="n"/>
      <c r="F27" s="7" t="n"/>
      <c r="G27" s="9">
        <f>IF(F27="","",F27/100)</f>
        <v/>
      </c>
      <c r="H27" s="7" t="n">
        <v>3</v>
      </c>
      <c r="I27" s="10">
        <f>IF(COUNT(E27,H27)&lt;2,"",E27-H27)</f>
        <v/>
      </c>
      <c r="J27" s="7" t="n"/>
      <c r="K27" s="11" t="n"/>
      <c r="L27" s="11" t="n"/>
      <c r="M27" s="9">
        <f>IF(COUNT(K27,L27)=0,"",1.2*K27+1.6*L27)</f>
        <v/>
      </c>
      <c r="N27" s="9">
        <f>IF(COUNT(G27,M27)&lt;2,"",M27*G27^2/10)</f>
        <v/>
      </c>
      <c r="O27" s="9">
        <f>IF(COUNT(G27,M27)&lt;2,"",M27*G27^2/11)</f>
        <v/>
      </c>
      <c r="P27" s="9">
        <f>IF(COUNT(G27,M27)&lt;2,"",1.15*M27*G27/2)</f>
        <v/>
      </c>
      <c r="Q27" s="7" t="n"/>
      <c r="R27" s="7" t="n"/>
      <c r="S27" s="9">
        <f>IF(COUNT(Q27,R27)&lt;2,"",Q27*PI()*R27^2/400)</f>
        <v/>
      </c>
      <c r="T27" s="7" t="n"/>
      <c r="U27" s="7" t="n"/>
      <c r="V27" s="9">
        <f>IF(COUNT(T27,U27)&lt;2,"",T27*PI()*U27^2/400)</f>
        <v/>
      </c>
      <c r="W27" s="7" t="n"/>
      <c r="X27" s="7" t="n"/>
      <c r="Y27" s="7" t="n"/>
      <c r="Z27" s="9">
        <f>IF(COUNT(D27,I27)&lt;2,"",0.0033*D27*I27)</f>
        <v/>
      </c>
      <c r="AA27" s="10">
        <f>IF(OR(S27="",Z27=""),"",IF(S27&gt;=Z27,"CUMPLE","NO CUMPLE"))</f>
        <v/>
      </c>
      <c r="AB27" s="12" t="inlineStr">
        <is>
          <t>Sin cota legible en el PDF - COMPLETAR</t>
        </is>
      </c>
    </row>
    <row r="28" ht="17" customHeight="1">
      <c r="A28" s="7" t="inlineStr">
        <is>
          <t>LOSA DE FUNDACION</t>
        </is>
      </c>
      <c r="B28" s="8" t="inlineStr">
        <is>
          <t>VF14</t>
        </is>
      </c>
      <c r="C28" s="7" t="n"/>
      <c r="D28" s="7" t="n">
        <v>25</v>
      </c>
      <c r="E28" s="7" t="n">
        <v>40</v>
      </c>
      <c r="F28" s="7" t="n">
        <v>875</v>
      </c>
      <c r="G28" s="9">
        <f>IF(F28="","",F28/100)</f>
        <v/>
      </c>
      <c r="H28" s="7" t="n">
        <v>3</v>
      </c>
      <c r="I28" s="10">
        <f>IF(COUNT(E28,H28)&lt;2,"",E28-H28)</f>
        <v/>
      </c>
      <c r="J28" s="7" t="n"/>
      <c r="K28" s="11" t="n"/>
      <c r="L28" s="11" t="n"/>
      <c r="M28" s="9">
        <f>IF(COUNT(K28,L28)=0,"",1.2*K28+1.6*L28)</f>
        <v/>
      </c>
      <c r="N28" s="9">
        <f>IF(COUNT(G28,M28)&lt;2,"",M28*G28^2/10)</f>
        <v/>
      </c>
      <c r="O28" s="9">
        <f>IF(COUNT(G28,M28)&lt;2,"",M28*G28^2/11)</f>
        <v/>
      </c>
      <c r="P28" s="9">
        <f>IF(COUNT(G28,M28)&lt;2,"",1.15*M28*G28/2)</f>
        <v/>
      </c>
      <c r="Q28" s="7" t="n"/>
      <c r="R28" s="7" t="n"/>
      <c r="S28" s="9">
        <f>IF(COUNT(Q28,R28)&lt;2,"",Q28*PI()*R28^2/400)</f>
        <v/>
      </c>
      <c r="T28" s="7" t="n"/>
      <c r="U28" s="7" t="n"/>
      <c r="V28" s="9">
        <f>IF(COUNT(T28,U28)&lt;2,"",T28*PI()*U28^2/400)</f>
        <v/>
      </c>
      <c r="W28" s="7" t="n"/>
      <c r="X28" s="7" t="n"/>
      <c r="Y28" s="7" t="n"/>
      <c r="Z28" s="9">
        <f>IF(COUNT(D28,I28)&lt;2,"",0.0033*D28*I28)</f>
        <v/>
      </c>
      <c r="AA28" s="10">
        <f>IF(OR(S28="",Z28=""),"",IF(S28&gt;=Z28,"CUMPLE","NO CUMPLE"))</f>
        <v/>
      </c>
      <c r="AB28" s="7" t="n"/>
    </row>
    <row r="29" ht="17" customHeight="1">
      <c r="A29" s="7" t="inlineStr">
        <is>
          <t>LOSA DE FUNDACION</t>
        </is>
      </c>
      <c r="B29" s="8" t="inlineStr">
        <is>
          <t>VF15</t>
        </is>
      </c>
      <c r="C29" s="7" t="n"/>
      <c r="D29" s="7" t="n">
        <v>20</v>
      </c>
      <c r="E29" s="7" t="n">
        <v>25</v>
      </c>
      <c r="F29" s="7" t="n">
        <v>239</v>
      </c>
      <c r="G29" s="9">
        <f>IF(F29="","",F29/100)</f>
        <v/>
      </c>
      <c r="H29" s="7" t="n">
        <v>3</v>
      </c>
      <c r="I29" s="10">
        <f>IF(COUNT(E29,H29)&lt;2,"",E29-H29)</f>
        <v/>
      </c>
      <c r="J29" s="7" t="n"/>
      <c r="K29" s="11" t="n"/>
      <c r="L29" s="11" t="n"/>
      <c r="M29" s="9">
        <f>IF(COUNT(K29,L29)=0,"",1.2*K29+1.6*L29)</f>
        <v/>
      </c>
      <c r="N29" s="9">
        <f>IF(COUNT(G29,M29)&lt;2,"",M29*G29^2/10)</f>
        <v/>
      </c>
      <c r="O29" s="9">
        <f>IF(COUNT(G29,M29)&lt;2,"",M29*G29^2/11)</f>
        <v/>
      </c>
      <c r="P29" s="9">
        <f>IF(COUNT(G29,M29)&lt;2,"",1.15*M29*G29/2)</f>
        <v/>
      </c>
      <c r="Q29" s="7" t="n"/>
      <c r="R29" s="7" t="n"/>
      <c r="S29" s="9">
        <f>IF(COUNT(Q29,R29)&lt;2,"",Q29*PI()*R29^2/400)</f>
        <v/>
      </c>
      <c r="T29" s="7" t="n"/>
      <c r="U29" s="7" t="n"/>
      <c r="V29" s="9">
        <f>IF(COUNT(T29,U29)&lt;2,"",T29*PI()*U29^2/400)</f>
        <v/>
      </c>
      <c r="W29" s="7" t="n"/>
      <c r="X29" s="7" t="n"/>
      <c r="Y29" s="7" t="n"/>
      <c r="Z29" s="9">
        <f>IF(COUNT(D29,I29)&lt;2,"",0.0033*D29*I29)</f>
        <v/>
      </c>
      <c r="AA29" s="10">
        <f>IF(OR(S29="",Z29=""),"",IF(S29&gt;=Z29,"CUMPLE","NO CUMPLE"))</f>
        <v/>
      </c>
      <c r="AB29" s="7" t="n"/>
    </row>
    <row r="30" ht="17" customHeight="1">
      <c r="A30" s="7" t="inlineStr">
        <is>
          <t>LOSA DE FUNDACION</t>
        </is>
      </c>
      <c r="B30" s="8" t="inlineStr">
        <is>
          <t>VF16a</t>
        </is>
      </c>
      <c r="C30" s="7" t="n"/>
      <c r="D30" s="7" t="n">
        <v>20</v>
      </c>
      <c r="E30" s="7" t="n">
        <v>35</v>
      </c>
      <c r="F30" s="7" t="n">
        <v>696</v>
      </c>
      <c r="G30" s="9">
        <f>IF(F30="","",F30/100)</f>
        <v/>
      </c>
      <c r="H30" s="7" t="n">
        <v>3</v>
      </c>
      <c r="I30" s="10">
        <f>IF(COUNT(E30,H30)&lt;2,"",E30-H30)</f>
        <v/>
      </c>
      <c r="J30" s="7" t="n"/>
      <c r="K30" s="11" t="n"/>
      <c r="L30" s="11" t="n"/>
      <c r="M30" s="9">
        <f>IF(COUNT(K30,L30)=0,"",1.2*K30+1.6*L30)</f>
        <v/>
      </c>
      <c r="N30" s="9">
        <f>IF(COUNT(G30,M30)&lt;2,"",M30*G30^2/10)</f>
        <v/>
      </c>
      <c r="O30" s="9">
        <f>IF(COUNT(G30,M30)&lt;2,"",M30*G30^2/11)</f>
        <v/>
      </c>
      <c r="P30" s="9">
        <f>IF(COUNT(G30,M30)&lt;2,"",1.15*M30*G30/2)</f>
        <v/>
      </c>
      <c r="Q30" s="7" t="n"/>
      <c r="R30" s="7" t="n"/>
      <c r="S30" s="9">
        <f>IF(COUNT(Q30,R30)&lt;2,"",Q30*PI()*R30^2/400)</f>
        <v/>
      </c>
      <c r="T30" s="7" t="n"/>
      <c r="U30" s="7" t="n"/>
      <c r="V30" s="9">
        <f>IF(COUNT(T30,U30)&lt;2,"",T30*PI()*U30^2/400)</f>
        <v/>
      </c>
      <c r="W30" s="7" t="n"/>
      <c r="X30" s="7" t="n"/>
      <c r="Y30" s="7" t="n"/>
      <c r="Z30" s="9">
        <f>IF(COUNT(D30,I30)&lt;2,"",0.0033*D30*I30)</f>
        <v/>
      </c>
      <c r="AA30" s="10">
        <f>IF(OR(S30="",Z30=""),"",IF(S30&gt;=Z30,"CUMPLE","NO CUMPLE"))</f>
        <v/>
      </c>
      <c r="AB30" s="7" t="n"/>
    </row>
    <row r="31" ht="17" customHeight="1">
      <c r="A31" s="7" t="inlineStr">
        <is>
          <t>LOSA DE FUNDACION</t>
        </is>
      </c>
      <c r="B31" s="8" t="inlineStr">
        <is>
          <t>VF16b</t>
        </is>
      </c>
      <c r="C31" s="7" t="n"/>
      <c r="D31" s="7" t="n">
        <v>20</v>
      </c>
      <c r="E31" s="7" t="n">
        <v>25</v>
      </c>
      <c r="F31" s="7" t="n">
        <v>313</v>
      </c>
      <c r="G31" s="9">
        <f>IF(F31="","",F31/100)</f>
        <v/>
      </c>
      <c r="H31" s="7" t="n">
        <v>3</v>
      </c>
      <c r="I31" s="10">
        <f>IF(COUNT(E31,H31)&lt;2,"",E31-H31)</f>
        <v/>
      </c>
      <c r="J31" s="7" t="n"/>
      <c r="K31" s="11" t="n"/>
      <c r="L31" s="11" t="n"/>
      <c r="M31" s="9">
        <f>IF(COUNT(K31,L31)=0,"",1.2*K31+1.6*L31)</f>
        <v/>
      </c>
      <c r="N31" s="9">
        <f>IF(COUNT(G31,M31)&lt;2,"",M31*G31^2/10)</f>
        <v/>
      </c>
      <c r="O31" s="9">
        <f>IF(COUNT(G31,M31)&lt;2,"",M31*G31^2/11)</f>
        <v/>
      </c>
      <c r="P31" s="9">
        <f>IF(COUNT(G31,M31)&lt;2,"",1.15*M31*G31/2)</f>
        <v/>
      </c>
      <c r="Q31" s="7" t="n"/>
      <c r="R31" s="7" t="n"/>
      <c r="S31" s="9">
        <f>IF(COUNT(Q31,R31)&lt;2,"",Q31*PI()*R31^2/400)</f>
        <v/>
      </c>
      <c r="T31" s="7" t="n"/>
      <c r="U31" s="7" t="n"/>
      <c r="V31" s="9">
        <f>IF(COUNT(T31,U31)&lt;2,"",T31*PI()*U31^2/400)</f>
        <v/>
      </c>
      <c r="W31" s="7" t="n"/>
      <c r="X31" s="7" t="n"/>
      <c r="Y31" s="7" t="n"/>
      <c r="Z31" s="9">
        <f>IF(COUNT(D31,I31)&lt;2,"",0.0033*D31*I31)</f>
        <v/>
      </c>
      <c r="AA31" s="10">
        <f>IF(OR(S31="",Z31=""),"",IF(S31&gt;=Z31,"CUMPLE","NO CUMPLE"))</f>
        <v/>
      </c>
      <c r="AB31" s="7" t="n"/>
    </row>
    <row r="32" ht="17" customHeight="1">
      <c r="A32" s="7" t="inlineStr">
        <is>
          <t>LOSA DE FUNDACION</t>
        </is>
      </c>
      <c r="B32" s="8" t="inlineStr">
        <is>
          <t>VF17</t>
        </is>
      </c>
      <c r="C32" s="7" t="n"/>
      <c r="D32" s="7" t="n">
        <v>20</v>
      </c>
      <c r="E32" s="7" t="n">
        <v>25</v>
      </c>
      <c r="F32" s="7" t="n">
        <v>353</v>
      </c>
      <c r="G32" s="9">
        <f>IF(F32="","",F32/100)</f>
        <v/>
      </c>
      <c r="H32" s="7" t="n">
        <v>3</v>
      </c>
      <c r="I32" s="10">
        <f>IF(COUNT(E32,H32)&lt;2,"",E32-H32)</f>
        <v/>
      </c>
      <c r="J32" s="7" t="n"/>
      <c r="K32" s="11" t="n"/>
      <c r="L32" s="11" t="n"/>
      <c r="M32" s="9">
        <f>IF(COUNT(K32,L32)=0,"",1.2*K32+1.6*L32)</f>
        <v/>
      </c>
      <c r="N32" s="9">
        <f>IF(COUNT(G32,M32)&lt;2,"",M32*G32^2/10)</f>
        <v/>
      </c>
      <c r="O32" s="9">
        <f>IF(COUNT(G32,M32)&lt;2,"",M32*G32^2/11)</f>
        <v/>
      </c>
      <c r="P32" s="9">
        <f>IF(COUNT(G32,M32)&lt;2,"",1.15*M32*G32/2)</f>
        <v/>
      </c>
      <c r="Q32" s="7" t="n"/>
      <c r="R32" s="7" t="n"/>
      <c r="S32" s="9">
        <f>IF(COUNT(Q32,R32)&lt;2,"",Q32*PI()*R32^2/400)</f>
        <v/>
      </c>
      <c r="T32" s="7" t="n"/>
      <c r="U32" s="7" t="n"/>
      <c r="V32" s="9">
        <f>IF(COUNT(T32,U32)&lt;2,"",T32*PI()*U32^2/400)</f>
        <v/>
      </c>
      <c r="W32" s="7" t="n"/>
      <c r="X32" s="7" t="n"/>
      <c r="Y32" s="7" t="n"/>
      <c r="Z32" s="9">
        <f>IF(COUNT(D32,I32)&lt;2,"",0.0033*D32*I32)</f>
        <v/>
      </c>
      <c r="AA32" s="10">
        <f>IF(OR(S32="",Z32=""),"",IF(S32&gt;=Z32,"CUMPLE","NO CUMPLE"))</f>
        <v/>
      </c>
      <c r="AB32" s="7" t="n"/>
    </row>
    <row r="33" ht="17" customHeight="1">
      <c r="A33" s="7" t="inlineStr">
        <is>
          <t>LOSA DE FUNDACION</t>
        </is>
      </c>
      <c r="B33" s="8" t="inlineStr">
        <is>
          <t>VF18a</t>
        </is>
      </c>
      <c r="C33" s="7" t="n"/>
      <c r="D33" s="7" t="n">
        <v>25</v>
      </c>
      <c r="E33" s="7" t="n">
        <v>35</v>
      </c>
      <c r="F33" s="7" t="n">
        <v>748</v>
      </c>
      <c r="G33" s="9">
        <f>IF(F33="","",F33/100)</f>
        <v/>
      </c>
      <c r="H33" s="7" t="n">
        <v>3</v>
      </c>
      <c r="I33" s="10">
        <f>IF(COUNT(E33,H33)&lt;2,"",E33-H33)</f>
        <v/>
      </c>
      <c r="J33" s="7" t="n"/>
      <c r="K33" s="11" t="n"/>
      <c r="L33" s="11" t="n"/>
      <c r="M33" s="9">
        <f>IF(COUNT(K33,L33)=0,"",1.2*K33+1.6*L33)</f>
        <v/>
      </c>
      <c r="N33" s="9">
        <f>IF(COUNT(G33,M33)&lt;2,"",M33*G33^2/10)</f>
        <v/>
      </c>
      <c r="O33" s="9">
        <f>IF(COUNT(G33,M33)&lt;2,"",M33*G33^2/11)</f>
        <v/>
      </c>
      <c r="P33" s="9">
        <f>IF(COUNT(G33,M33)&lt;2,"",1.15*M33*G33/2)</f>
        <v/>
      </c>
      <c r="Q33" s="7" t="n"/>
      <c r="R33" s="7" t="n"/>
      <c r="S33" s="9">
        <f>IF(COUNT(Q33,R33)&lt;2,"",Q33*PI()*R33^2/400)</f>
        <v/>
      </c>
      <c r="T33" s="7" t="n"/>
      <c r="U33" s="7" t="n"/>
      <c r="V33" s="9">
        <f>IF(COUNT(T33,U33)&lt;2,"",T33*PI()*U33^2/400)</f>
        <v/>
      </c>
      <c r="W33" s="7" t="n"/>
      <c r="X33" s="7" t="n"/>
      <c r="Y33" s="7" t="n"/>
      <c r="Z33" s="9">
        <f>IF(COUNT(D33,I33)&lt;2,"",0.0033*D33*I33)</f>
        <v/>
      </c>
      <c r="AA33" s="10">
        <f>IF(OR(S33="",Z33=""),"",IF(S33&gt;=Z33,"CUMPLE","NO CUMPLE"))</f>
        <v/>
      </c>
      <c r="AB33" s="7" t="n"/>
    </row>
    <row r="34" ht="17" customHeight="1">
      <c r="A34" s="7" t="inlineStr">
        <is>
          <t>LOSA DE FUNDACION</t>
        </is>
      </c>
      <c r="B34" s="8" t="inlineStr">
        <is>
          <t>VF18b</t>
        </is>
      </c>
      <c r="C34" s="7" t="n"/>
      <c r="D34" s="7" t="n">
        <v>20</v>
      </c>
      <c r="E34" s="7" t="n">
        <v>25</v>
      </c>
      <c r="F34" s="7" t="n">
        <v>305</v>
      </c>
      <c r="G34" s="9">
        <f>IF(F34="","",F34/100)</f>
        <v/>
      </c>
      <c r="H34" s="7" t="n">
        <v>3</v>
      </c>
      <c r="I34" s="10">
        <f>IF(COUNT(E34,H34)&lt;2,"",E34-H34)</f>
        <v/>
      </c>
      <c r="J34" s="7" t="n"/>
      <c r="K34" s="11" t="n"/>
      <c r="L34" s="11" t="n"/>
      <c r="M34" s="9">
        <f>IF(COUNT(K34,L34)=0,"",1.2*K34+1.6*L34)</f>
        <v/>
      </c>
      <c r="N34" s="9">
        <f>IF(COUNT(G34,M34)&lt;2,"",M34*G34^2/10)</f>
        <v/>
      </c>
      <c r="O34" s="9">
        <f>IF(COUNT(G34,M34)&lt;2,"",M34*G34^2/11)</f>
        <v/>
      </c>
      <c r="P34" s="9">
        <f>IF(COUNT(G34,M34)&lt;2,"",1.15*M34*G34/2)</f>
        <v/>
      </c>
      <c r="Q34" s="7" t="n"/>
      <c r="R34" s="7" t="n"/>
      <c r="S34" s="9">
        <f>IF(COUNT(Q34,R34)&lt;2,"",Q34*PI()*R34^2/400)</f>
        <v/>
      </c>
      <c r="T34" s="7" t="n"/>
      <c r="U34" s="7" t="n"/>
      <c r="V34" s="9">
        <f>IF(COUNT(T34,U34)&lt;2,"",T34*PI()*U34^2/400)</f>
        <v/>
      </c>
      <c r="W34" s="7" t="n"/>
      <c r="X34" s="7" t="n"/>
      <c r="Y34" s="7" t="n"/>
      <c r="Z34" s="9">
        <f>IF(COUNT(D34,I34)&lt;2,"",0.0033*D34*I34)</f>
        <v/>
      </c>
      <c r="AA34" s="10">
        <f>IF(OR(S34="",Z34=""),"",IF(S34&gt;=Z34,"CUMPLE","NO CUMPLE"))</f>
        <v/>
      </c>
      <c r="AB34" s="7" t="n"/>
    </row>
    <row r="35" ht="17" customHeight="1">
      <c r="A35" s="7" t="inlineStr">
        <is>
          <t>LOSA DE FUNDACION</t>
        </is>
      </c>
      <c r="B35" s="8" t="inlineStr">
        <is>
          <t>VF18c</t>
        </is>
      </c>
      <c r="C35" s="7" t="n"/>
      <c r="D35" s="7" t="n">
        <v>20</v>
      </c>
      <c r="E35" s="7" t="n">
        <v>35</v>
      </c>
      <c r="F35" s="7" t="n">
        <v>482</v>
      </c>
      <c r="G35" s="9">
        <f>IF(F35="","",F35/100)</f>
        <v/>
      </c>
      <c r="H35" s="7" t="n">
        <v>3</v>
      </c>
      <c r="I35" s="10">
        <f>IF(COUNT(E35,H35)&lt;2,"",E35-H35)</f>
        <v/>
      </c>
      <c r="J35" s="7" t="n"/>
      <c r="K35" s="11" t="n"/>
      <c r="L35" s="11" t="n"/>
      <c r="M35" s="9">
        <f>IF(COUNT(K35,L35)=0,"",1.2*K35+1.6*L35)</f>
        <v/>
      </c>
      <c r="N35" s="9">
        <f>IF(COUNT(G35,M35)&lt;2,"",M35*G35^2/10)</f>
        <v/>
      </c>
      <c r="O35" s="9">
        <f>IF(COUNT(G35,M35)&lt;2,"",M35*G35^2/11)</f>
        <v/>
      </c>
      <c r="P35" s="9">
        <f>IF(COUNT(G35,M35)&lt;2,"",1.15*M35*G35/2)</f>
        <v/>
      </c>
      <c r="Q35" s="7" t="n"/>
      <c r="R35" s="7" t="n"/>
      <c r="S35" s="9">
        <f>IF(COUNT(Q35,R35)&lt;2,"",Q35*PI()*R35^2/400)</f>
        <v/>
      </c>
      <c r="T35" s="7" t="n"/>
      <c r="U35" s="7" t="n"/>
      <c r="V35" s="9">
        <f>IF(COUNT(T35,U35)&lt;2,"",T35*PI()*U35^2/400)</f>
        <v/>
      </c>
      <c r="W35" s="7" t="n"/>
      <c r="X35" s="7" t="n"/>
      <c r="Y35" s="7" t="n"/>
      <c r="Z35" s="9">
        <f>IF(COUNT(D35,I35)&lt;2,"",0.0033*D35*I35)</f>
        <v/>
      </c>
      <c r="AA35" s="10">
        <f>IF(OR(S35="",Z35=""),"",IF(S35&gt;=Z35,"CUMPLE","NO CUMPLE"))</f>
        <v/>
      </c>
      <c r="AB35" s="7" t="n"/>
    </row>
    <row r="37" ht="18" customHeight="1">
      <c r="A37" s="5" t="inlineStr">
        <is>
          <t>LOSA SOBRE PB - ENTREPISO PA   (N.F.L +3,50 / N.S.V +4,20)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</row>
    <row r="38" ht="17" customHeight="1">
      <c r="A38" s="7" t="inlineStr">
        <is>
          <t>LOSA SOBRE PB - ENTREPISO PA</t>
        </is>
      </c>
      <c r="B38" s="8" t="inlineStr">
        <is>
          <t>VI 01a</t>
        </is>
      </c>
      <c r="C38" s="7" t="n"/>
      <c r="D38" s="7" t="n">
        <v>15</v>
      </c>
      <c r="E38" s="7" t="n">
        <v>70</v>
      </c>
      <c r="F38" s="7" t="n">
        <v>990</v>
      </c>
      <c r="G38" s="9">
        <f>IF(F38="","",F38/100)</f>
        <v/>
      </c>
      <c r="H38" s="7" t="n">
        <v>3</v>
      </c>
      <c r="I38" s="10">
        <f>IF(COUNT(E38,H38)&lt;2,"",E38-H38)</f>
        <v/>
      </c>
      <c r="J38" s="7" t="n"/>
      <c r="K38" s="11" t="n"/>
      <c r="L38" s="11" t="n"/>
      <c r="M38" s="9">
        <f>IF(COUNT(K38,L38)=0,"",1.2*K38+1.6*L38)</f>
        <v/>
      </c>
      <c r="N38" s="9">
        <f>IF(COUNT(G38,M38)&lt;2,"",M38*G38^2/10)</f>
        <v/>
      </c>
      <c r="O38" s="9">
        <f>IF(COUNT(G38,M38)&lt;2,"",M38*G38^2/11)</f>
        <v/>
      </c>
      <c r="P38" s="9">
        <f>IF(COUNT(G38,M38)&lt;2,"",1.15*M38*G38/2)</f>
        <v/>
      </c>
      <c r="Q38" s="7" t="n"/>
      <c r="R38" s="7" t="n"/>
      <c r="S38" s="9">
        <f>IF(COUNT(Q38,R38)&lt;2,"",Q38*PI()*R38^2/400)</f>
        <v/>
      </c>
      <c r="T38" s="7" t="n"/>
      <c r="U38" s="7" t="n"/>
      <c r="V38" s="9">
        <f>IF(COUNT(T38,U38)&lt;2,"",T38*PI()*U38^2/400)</f>
        <v/>
      </c>
      <c r="W38" s="7" t="n"/>
      <c r="X38" s="7" t="n"/>
      <c r="Y38" s="7" t="n"/>
      <c r="Z38" s="9">
        <f>IF(COUNT(D38,I38)&lt;2,"",0.0033*D38*I38)</f>
        <v/>
      </c>
      <c r="AA38" s="10">
        <f>IF(OR(S38="",Z38=""),"",IF(S38&gt;=Z38,"CUMPLE","NO CUMPLE"))</f>
        <v/>
      </c>
      <c r="AB38" s="7" t="n"/>
    </row>
    <row r="39" ht="17" customHeight="1">
      <c r="A39" s="7" t="inlineStr">
        <is>
          <t>LOSA SOBRE PB - ENTREPISO PA</t>
        </is>
      </c>
      <c r="B39" s="8" t="inlineStr">
        <is>
          <t>VI 01b</t>
        </is>
      </c>
      <c r="C39" s="7" t="n"/>
      <c r="D39" s="7" t="n">
        <v>15</v>
      </c>
      <c r="E39" s="7" t="n">
        <v>70</v>
      </c>
      <c r="F39" s="7" t="n">
        <v>395</v>
      </c>
      <c r="G39" s="9">
        <f>IF(F39="","",F39/100)</f>
        <v/>
      </c>
      <c r="H39" s="7" t="n">
        <v>3</v>
      </c>
      <c r="I39" s="10">
        <f>IF(COUNT(E39,H39)&lt;2,"",E39-H39)</f>
        <v/>
      </c>
      <c r="J39" s="7" t="n"/>
      <c r="K39" s="11" t="n"/>
      <c r="L39" s="11" t="n"/>
      <c r="M39" s="9">
        <f>IF(COUNT(K39,L39)=0,"",1.2*K39+1.6*L39)</f>
        <v/>
      </c>
      <c r="N39" s="9">
        <f>IF(COUNT(G39,M39)&lt;2,"",M39*G39^2/10)</f>
        <v/>
      </c>
      <c r="O39" s="9">
        <f>IF(COUNT(G39,M39)&lt;2,"",M39*G39^2/11)</f>
        <v/>
      </c>
      <c r="P39" s="9">
        <f>IF(COUNT(G39,M39)&lt;2,"",1.15*M39*G39/2)</f>
        <v/>
      </c>
      <c r="Q39" s="7" t="n"/>
      <c r="R39" s="7" t="n"/>
      <c r="S39" s="9">
        <f>IF(COUNT(Q39,R39)&lt;2,"",Q39*PI()*R39^2/400)</f>
        <v/>
      </c>
      <c r="T39" s="7" t="n"/>
      <c r="U39" s="7" t="n"/>
      <c r="V39" s="9">
        <f>IF(COUNT(T39,U39)&lt;2,"",T39*PI()*U39^2/400)</f>
        <v/>
      </c>
      <c r="W39" s="7" t="n"/>
      <c r="X39" s="7" t="n"/>
      <c r="Y39" s="7" t="n"/>
      <c r="Z39" s="9">
        <f>IF(COUNT(D39,I39)&lt;2,"",0.0033*D39*I39)</f>
        <v/>
      </c>
      <c r="AA39" s="10">
        <f>IF(OR(S39="",Z39=""),"",IF(S39&gt;=Z39,"CUMPLE","NO CUMPLE"))</f>
        <v/>
      </c>
      <c r="AB39" s="7" t="n"/>
    </row>
    <row r="40" ht="17" customHeight="1">
      <c r="A40" s="7" t="inlineStr">
        <is>
          <t>LOSA SOBRE PB - ENTREPISO PA</t>
        </is>
      </c>
      <c r="B40" s="8" t="inlineStr">
        <is>
          <t>VI 02</t>
        </is>
      </c>
      <c r="C40" s="7" t="n"/>
      <c r="D40" s="7" t="n">
        <v>15</v>
      </c>
      <c r="E40" s="7" t="n">
        <v>60</v>
      </c>
      <c r="F40" s="7" t="n">
        <v>988</v>
      </c>
      <c r="G40" s="9">
        <f>IF(F40="","",F40/100)</f>
        <v/>
      </c>
      <c r="H40" s="7" t="n">
        <v>3</v>
      </c>
      <c r="I40" s="10">
        <f>IF(COUNT(E40,H40)&lt;2,"",E40-H40)</f>
        <v/>
      </c>
      <c r="J40" s="7" t="n"/>
      <c r="K40" s="11" t="n"/>
      <c r="L40" s="11" t="n"/>
      <c r="M40" s="9">
        <f>IF(COUNT(K40,L40)=0,"",1.2*K40+1.6*L40)</f>
        <v/>
      </c>
      <c r="N40" s="9">
        <f>IF(COUNT(G40,M40)&lt;2,"",M40*G40^2/10)</f>
        <v/>
      </c>
      <c r="O40" s="9">
        <f>IF(COUNT(G40,M40)&lt;2,"",M40*G40^2/11)</f>
        <v/>
      </c>
      <c r="P40" s="9">
        <f>IF(COUNT(G40,M40)&lt;2,"",1.15*M40*G40/2)</f>
        <v/>
      </c>
      <c r="Q40" s="7" t="n"/>
      <c r="R40" s="7" t="n"/>
      <c r="S40" s="9">
        <f>IF(COUNT(Q40,R40)&lt;2,"",Q40*PI()*R40^2/400)</f>
        <v/>
      </c>
      <c r="T40" s="7" t="n"/>
      <c r="U40" s="7" t="n"/>
      <c r="V40" s="9">
        <f>IF(COUNT(T40,U40)&lt;2,"",T40*PI()*U40^2/400)</f>
        <v/>
      </c>
      <c r="W40" s="7" t="n"/>
      <c r="X40" s="7" t="n"/>
      <c r="Y40" s="7" t="n"/>
      <c r="Z40" s="9">
        <f>IF(COUNT(D40,I40)&lt;2,"",0.0033*D40*I40)</f>
        <v/>
      </c>
      <c r="AA40" s="10">
        <f>IF(OR(S40="",Z40=""),"",IF(S40&gt;=Z40,"CUMPLE","NO CUMPLE"))</f>
        <v/>
      </c>
      <c r="AB40" s="7" t="n"/>
    </row>
    <row r="41" ht="17" customHeight="1">
      <c r="A41" s="7" t="inlineStr">
        <is>
          <t>LOSA SOBRE PB - ENTREPISO PA</t>
        </is>
      </c>
      <c r="B41" s="8" t="inlineStr">
        <is>
          <t>VI 03c</t>
        </is>
      </c>
      <c r="C41" s="7" t="n"/>
      <c r="D41" s="7" t="n">
        <v>15</v>
      </c>
      <c r="E41" s="7" t="n">
        <v>70</v>
      </c>
      <c r="F41" s="7" t="n">
        <v>375</v>
      </c>
      <c r="G41" s="9">
        <f>IF(F41="","",F41/100)</f>
        <v/>
      </c>
      <c r="H41" s="7" t="n">
        <v>3</v>
      </c>
      <c r="I41" s="10">
        <f>IF(COUNT(E41,H41)&lt;2,"",E41-H41)</f>
        <v/>
      </c>
      <c r="J41" s="7" t="n"/>
      <c r="K41" s="11" t="n"/>
      <c r="L41" s="11" t="n"/>
      <c r="M41" s="9">
        <f>IF(COUNT(K41,L41)=0,"",1.2*K41+1.6*L41)</f>
        <v/>
      </c>
      <c r="N41" s="9">
        <f>IF(COUNT(G41,M41)&lt;2,"",M41*G41^2/10)</f>
        <v/>
      </c>
      <c r="O41" s="9">
        <f>IF(COUNT(G41,M41)&lt;2,"",M41*G41^2/11)</f>
        <v/>
      </c>
      <c r="P41" s="9">
        <f>IF(COUNT(G41,M41)&lt;2,"",1.15*M41*G41/2)</f>
        <v/>
      </c>
      <c r="Q41" s="7" t="n"/>
      <c r="R41" s="7" t="n"/>
      <c r="S41" s="9">
        <f>IF(COUNT(Q41,R41)&lt;2,"",Q41*PI()*R41^2/400)</f>
        <v/>
      </c>
      <c r="T41" s="7" t="n"/>
      <c r="U41" s="7" t="n"/>
      <c r="V41" s="9">
        <f>IF(COUNT(T41,U41)&lt;2,"",T41*PI()*U41^2/400)</f>
        <v/>
      </c>
      <c r="W41" s="7" t="n"/>
      <c r="X41" s="7" t="n"/>
      <c r="Y41" s="7" t="n"/>
      <c r="Z41" s="9">
        <f>IF(COUNT(D41,I41)&lt;2,"",0.0033*D41*I41)</f>
        <v/>
      </c>
      <c r="AA41" s="10">
        <f>IF(OR(S41="",Z41=""),"",IF(S41&gt;=Z41,"CUMPLE","NO CUMPLE"))</f>
        <v/>
      </c>
      <c r="AB41" s="7" t="n"/>
    </row>
    <row r="42" ht="17" customHeight="1">
      <c r="A42" s="7" t="inlineStr">
        <is>
          <t>LOSA SOBRE PB - ENTREPISO PA</t>
        </is>
      </c>
      <c r="B42" s="8" t="inlineStr">
        <is>
          <t>VI 04a</t>
        </is>
      </c>
      <c r="C42" s="7" t="n"/>
      <c r="D42" s="7" t="n">
        <v>15</v>
      </c>
      <c r="E42" s="7" t="n">
        <v>70</v>
      </c>
      <c r="F42" s="7" t="n">
        <v>375</v>
      </c>
      <c r="G42" s="9">
        <f>IF(F42="","",F42/100)</f>
        <v/>
      </c>
      <c r="H42" s="7" t="n">
        <v>3</v>
      </c>
      <c r="I42" s="10">
        <f>IF(COUNT(E42,H42)&lt;2,"",E42-H42)</f>
        <v/>
      </c>
      <c r="J42" s="7" t="n"/>
      <c r="K42" s="11" t="n"/>
      <c r="L42" s="11" t="n"/>
      <c r="M42" s="9">
        <f>IF(COUNT(K42,L42)=0,"",1.2*K42+1.6*L42)</f>
        <v/>
      </c>
      <c r="N42" s="9">
        <f>IF(COUNT(G42,M42)&lt;2,"",M42*G42^2/10)</f>
        <v/>
      </c>
      <c r="O42" s="9">
        <f>IF(COUNT(G42,M42)&lt;2,"",M42*G42^2/11)</f>
        <v/>
      </c>
      <c r="P42" s="9">
        <f>IF(COUNT(G42,M42)&lt;2,"",1.15*M42*G42/2)</f>
        <v/>
      </c>
      <c r="Q42" s="7" t="n"/>
      <c r="R42" s="7" t="n"/>
      <c r="S42" s="9">
        <f>IF(COUNT(Q42,R42)&lt;2,"",Q42*PI()*R42^2/400)</f>
        <v/>
      </c>
      <c r="T42" s="7" t="n"/>
      <c r="U42" s="7" t="n"/>
      <c r="V42" s="9">
        <f>IF(COUNT(T42,U42)&lt;2,"",T42*PI()*U42^2/400)</f>
        <v/>
      </c>
      <c r="W42" s="7" t="n"/>
      <c r="X42" s="7" t="n"/>
      <c r="Y42" s="7" t="n"/>
      <c r="Z42" s="9">
        <f>IF(COUNT(D42,I42)&lt;2,"",0.0033*D42*I42)</f>
        <v/>
      </c>
      <c r="AA42" s="10">
        <f>IF(OR(S42="",Z42=""),"",IF(S42&gt;=Z42,"CUMPLE","NO CUMPLE"))</f>
        <v/>
      </c>
      <c r="AB42" s="7" t="n"/>
    </row>
    <row r="43" ht="17" customHeight="1">
      <c r="A43" s="7" t="inlineStr">
        <is>
          <t>LOSA SOBRE PB - ENTREPISO PA</t>
        </is>
      </c>
      <c r="B43" s="8" t="inlineStr">
        <is>
          <t>VI 04b</t>
        </is>
      </c>
      <c r="C43" s="7" t="n"/>
      <c r="D43" s="7" t="n">
        <v>15</v>
      </c>
      <c r="E43" s="7" t="n">
        <v>70</v>
      </c>
      <c r="F43" s="7" t="n">
        <v>380</v>
      </c>
      <c r="G43" s="9">
        <f>IF(F43="","",F43/100)</f>
        <v/>
      </c>
      <c r="H43" s="7" t="n">
        <v>3</v>
      </c>
      <c r="I43" s="10">
        <f>IF(COUNT(E43,H43)&lt;2,"",E43-H43)</f>
        <v/>
      </c>
      <c r="J43" s="7" t="n"/>
      <c r="K43" s="11" t="n"/>
      <c r="L43" s="11" t="n"/>
      <c r="M43" s="9">
        <f>IF(COUNT(K43,L43)=0,"",1.2*K43+1.6*L43)</f>
        <v/>
      </c>
      <c r="N43" s="9">
        <f>IF(COUNT(G43,M43)&lt;2,"",M43*G43^2/10)</f>
        <v/>
      </c>
      <c r="O43" s="9">
        <f>IF(COUNT(G43,M43)&lt;2,"",M43*G43^2/11)</f>
        <v/>
      </c>
      <c r="P43" s="9">
        <f>IF(COUNT(G43,M43)&lt;2,"",1.15*M43*G43/2)</f>
        <v/>
      </c>
      <c r="Q43" s="7" t="n"/>
      <c r="R43" s="7" t="n"/>
      <c r="S43" s="9">
        <f>IF(COUNT(Q43,R43)&lt;2,"",Q43*PI()*R43^2/400)</f>
        <v/>
      </c>
      <c r="T43" s="7" t="n"/>
      <c r="U43" s="7" t="n"/>
      <c r="V43" s="9">
        <f>IF(COUNT(T43,U43)&lt;2,"",T43*PI()*U43^2/400)</f>
        <v/>
      </c>
      <c r="W43" s="7" t="n"/>
      <c r="X43" s="7" t="n"/>
      <c r="Y43" s="7" t="n"/>
      <c r="Z43" s="9">
        <f>IF(COUNT(D43,I43)&lt;2,"",0.0033*D43*I43)</f>
        <v/>
      </c>
      <c r="AA43" s="10">
        <f>IF(OR(S43="",Z43=""),"",IF(S43&gt;=Z43,"CUMPLE","NO CUMPLE"))</f>
        <v/>
      </c>
      <c r="AB43" s="7" t="n"/>
    </row>
    <row r="44" ht="17" customHeight="1">
      <c r="A44" s="7" t="inlineStr">
        <is>
          <t>LOSA SOBRE PB - ENTREPISO PA</t>
        </is>
      </c>
      <c r="B44" s="8" t="inlineStr">
        <is>
          <t>VI 07a</t>
        </is>
      </c>
      <c r="C44" s="7" t="n"/>
      <c r="D44" s="7" t="n">
        <v>15</v>
      </c>
      <c r="E44" s="7" t="n">
        <v>70</v>
      </c>
      <c r="F44" s="7" t="n">
        <v>337</v>
      </c>
      <c r="G44" s="9">
        <f>IF(F44="","",F44/100)</f>
        <v/>
      </c>
      <c r="H44" s="7" t="n">
        <v>3</v>
      </c>
      <c r="I44" s="10">
        <f>IF(COUNT(E44,H44)&lt;2,"",E44-H44)</f>
        <v/>
      </c>
      <c r="J44" s="7" t="n"/>
      <c r="K44" s="11" t="n"/>
      <c r="L44" s="11" t="n"/>
      <c r="M44" s="9">
        <f>IF(COUNT(K44,L44)=0,"",1.2*K44+1.6*L44)</f>
        <v/>
      </c>
      <c r="N44" s="9">
        <f>IF(COUNT(G44,M44)&lt;2,"",M44*G44^2/10)</f>
        <v/>
      </c>
      <c r="O44" s="9">
        <f>IF(COUNT(G44,M44)&lt;2,"",M44*G44^2/11)</f>
        <v/>
      </c>
      <c r="P44" s="9">
        <f>IF(COUNT(G44,M44)&lt;2,"",1.15*M44*G44/2)</f>
        <v/>
      </c>
      <c r="Q44" s="7" t="n"/>
      <c r="R44" s="7" t="n"/>
      <c r="S44" s="9">
        <f>IF(COUNT(Q44,R44)&lt;2,"",Q44*PI()*R44^2/400)</f>
        <v/>
      </c>
      <c r="T44" s="7" t="n"/>
      <c r="U44" s="7" t="n"/>
      <c r="V44" s="9">
        <f>IF(COUNT(T44,U44)&lt;2,"",T44*PI()*U44^2/400)</f>
        <v/>
      </c>
      <c r="W44" s="7" t="n"/>
      <c r="X44" s="7" t="n"/>
      <c r="Y44" s="7" t="n"/>
      <c r="Z44" s="9">
        <f>IF(COUNT(D44,I44)&lt;2,"",0.0033*D44*I44)</f>
        <v/>
      </c>
      <c r="AA44" s="10">
        <f>IF(OR(S44="",Z44=""),"",IF(S44&gt;=Z44,"CUMPLE","NO CUMPLE"))</f>
        <v/>
      </c>
      <c r="AB44" s="7" t="n"/>
    </row>
    <row r="45" ht="17" customHeight="1">
      <c r="A45" s="7" t="inlineStr">
        <is>
          <t>LOSA SOBRE PB - ENTREPISO PA</t>
        </is>
      </c>
      <c r="B45" s="8" t="inlineStr">
        <is>
          <t>VI 07b</t>
        </is>
      </c>
      <c r="C45" s="7" t="n"/>
      <c r="D45" s="7" t="n">
        <v>15</v>
      </c>
      <c r="E45" s="7" t="n">
        <v>70</v>
      </c>
      <c r="F45" s="7" t="n">
        <v>403</v>
      </c>
      <c r="G45" s="9">
        <f>IF(F45="","",F45/100)</f>
        <v/>
      </c>
      <c r="H45" s="7" t="n">
        <v>3</v>
      </c>
      <c r="I45" s="10">
        <f>IF(COUNT(E45,H45)&lt;2,"",E45-H45)</f>
        <v/>
      </c>
      <c r="J45" s="7" t="n"/>
      <c r="K45" s="11" t="n"/>
      <c r="L45" s="11" t="n"/>
      <c r="M45" s="9">
        <f>IF(COUNT(K45,L45)=0,"",1.2*K45+1.6*L45)</f>
        <v/>
      </c>
      <c r="N45" s="9">
        <f>IF(COUNT(G45,M45)&lt;2,"",M45*G45^2/10)</f>
        <v/>
      </c>
      <c r="O45" s="9">
        <f>IF(COUNT(G45,M45)&lt;2,"",M45*G45^2/11)</f>
        <v/>
      </c>
      <c r="P45" s="9">
        <f>IF(COUNT(G45,M45)&lt;2,"",1.15*M45*G45/2)</f>
        <v/>
      </c>
      <c r="Q45" s="7" t="n"/>
      <c r="R45" s="7" t="n"/>
      <c r="S45" s="9">
        <f>IF(COUNT(Q45,R45)&lt;2,"",Q45*PI()*R45^2/400)</f>
        <v/>
      </c>
      <c r="T45" s="7" t="n"/>
      <c r="U45" s="7" t="n"/>
      <c r="V45" s="9">
        <f>IF(COUNT(T45,U45)&lt;2,"",T45*PI()*U45^2/400)</f>
        <v/>
      </c>
      <c r="W45" s="7" t="n"/>
      <c r="X45" s="7" t="n"/>
      <c r="Y45" s="7" t="n"/>
      <c r="Z45" s="9">
        <f>IF(COUNT(D45,I45)&lt;2,"",0.0033*D45*I45)</f>
        <v/>
      </c>
      <c r="AA45" s="10">
        <f>IF(OR(S45="",Z45=""),"",IF(S45&gt;=Z45,"CUMPLE","NO CUMPLE"))</f>
        <v/>
      </c>
      <c r="AB45" s="7" t="n"/>
    </row>
    <row r="46" ht="17" customHeight="1">
      <c r="A46" s="7" t="inlineStr">
        <is>
          <t>LOSA SOBRE PB - ENTREPISO PA</t>
        </is>
      </c>
      <c r="B46" s="8" t="inlineStr">
        <is>
          <t>VI 07c</t>
        </is>
      </c>
      <c r="C46" s="7" t="n"/>
      <c r="D46" s="7" t="n">
        <v>15</v>
      </c>
      <c r="E46" s="7" t="n">
        <v>70</v>
      </c>
      <c r="F46" s="7" t="n">
        <v>860</v>
      </c>
      <c r="G46" s="9">
        <f>IF(F46="","",F46/100)</f>
        <v/>
      </c>
      <c r="H46" s="7" t="n">
        <v>3</v>
      </c>
      <c r="I46" s="10">
        <f>IF(COUNT(E46,H46)&lt;2,"",E46-H46)</f>
        <v/>
      </c>
      <c r="J46" s="7" t="n"/>
      <c r="K46" s="11" t="n"/>
      <c r="L46" s="11" t="n"/>
      <c r="M46" s="9">
        <f>IF(COUNT(K46,L46)=0,"",1.2*K46+1.6*L46)</f>
        <v/>
      </c>
      <c r="N46" s="9">
        <f>IF(COUNT(G46,M46)&lt;2,"",M46*G46^2/10)</f>
        <v/>
      </c>
      <c r="O46" s="9">
        <f>IF(COUNT(G46,M46)&lt;2,"",M46*G46^2/11)</f>
        <v/>
      </c>
      <c r="P46" s="9">
        <f>IF(COUNT(G46,M46)&lt;2,"",1.15*M46*G46/2)</f>
        <v/>
      </c>
      <c r="Q46" s="7" t="n"/>
      <c r="R46" s="7" t="n"/>
      <c r="S46" s="9">
        <f>IF(COUNT(Q46,R46)&lt;2,"",Q46*PI()*R46^2/400)</f>
        <v/>
      </c>
      <c r="T46" s="7" t="n"/>
      <c r="U46" s="7" t="n"/>
      <c r="V46" s="9">
        <f>IF(COUNT(T46,U46)&lt;2,"",T46*PI()*U46^2/400)</f>
        <v/>
      </c>
      <c r="W46" s="7" t="n"/>
      <c r="X46" s="7" t="n"/>
      <c r="Y46" s="7" t="n"/>
      <c r="Z46" s="9">
        <f>IF(COUNT(D46,I46)&lt;2,"",0.0033*D46*I46)</f>
        <v/>
      </c>
      <c r="AA46" s="10">
        <f>IF(OR(S46="",Z46=""),"",IF(S46&gt;=Z46,"CUMPLE","NO CUMPLE"))</f>
        <v/>
      </c>
      <c r="AB46" s="7" t="n"/>
    </row>
    <row r="47" ht="17" customHeight="1">
      <c r="A47" s="7" t="inlineStr">
        <is>
          <t>LOSA SOBRE PB - ENTREPISO PA</t>
        </is>
      </c>
      <c r="B47" s="8" t="inlineStr">
        <is>
          <t>VI 08a</t>
        </is>
      </c>
      <c r="C47" s="7" t="n"/>
      <c r="D47" s="7" t="n">
        <v>15</v>
      </c>
      <c r="E47" s="7" t="n">
        <v>70</v>
      </c>
      <c r="F47" s="7" t="n">
        <v>365</v>
      </c>
      <c r="G47" s="9">
        <f>IF(F47="","",F47/100)</f>
        <v/>
      </c>
      <c r="H47" s="7" t="n">
        <v>3</v>
      </c>
      <c r="I47" s="10">
        <f>IF(COUNT(E47,H47)&lt;2,"",E47-H47)</f>
        <v/>
      </c>
      <c r="J47" s="7" t="n"/>
      <c r="K47" s="11" t="n"/>
      <c r="L47" s="11" t="n"/>
      <c r="M47" s="9">
        <f>IF(COUNT(K47,L47)=0,"",1.2*K47+1.6*L47)</f>
        <v/>
      </c>
      <c r="N47" s="9">
        <f>IF(COUNT(G47,M47)&lt;2,"",M47*G47^2/10)</f>
        <v/>
      </c>
      <c r="O47" s="9">
        <f>IF(COUNT(G47,M47)&lt;2,"",M47*G47^2/11)</f>
        <v/>
      </c>
      <c r="P47" s="9">
        <f>IF(COUNT(G47,M47)&lt;2,"",1.15*M47*G47/2)</f>
        <v/>
      </c>
      <c r="Q47" s="7" t="n"/>
      <c r="R47" s="7" t="n"/>
      <c r="S47" s="9">
        <f>IF(COUNT(Q47,R47)&lt;2,"",Q47*PI()*R47^2/400)</f>
        <v/>
      </c>
      <c r="T47" s="7" t="n"/>
      <c r="U47" s="7" t="n"/>
      <c r="V47" s="9">
        <f>IF(COUNT(T47,U47)&lt;2,"",T47*PI()*U47^2/400)</f>
        <v/>
      </c>
      <c r="W47" s="7" t="n"/>
      <c r="X47" s="7" t="n"/>
      <c r="Y47" s="7" t="n"/>
      <c r="Z47" s="9">
        <f>IF(COUNT(D47,I47)&lt;2,"",0.0033*D47*I47)</f>
        <v/>
      </c>
      <c r="AA47" s="10">
        <f>IF(OR(S47="",Z47=""),"",IF(S47&gt;=Z47,"CUMPLE","NO CUMPLE"))</f>
        <v/>
      </c>
      <c r="AB47" s="7" t="n"/>
    </row>
    <row r="48" ht="17" customHeight="1">
      <c r="A48" s="7" t="inlineStr">
        <is>
          <t>LOSA SOBRE PB - ENTREPISO PA</t>
        </is>
      </c>
      <c r="B48" s="8" t="inlineStr">
        <is>
          <t>VI 08b</t>
        </is>
      </c>
      <c r="C48" s="7" t="n"/>
      <c r="D48" s="7" t="n">
        <v>15</v>
      </c>
      <c r="E48" s="7" t="n">
        <v>70</v>
      </c>
      <c r="F48" s="7" t="n">
        <v>485</v>
      </c>
      <c r="G48" s="9">
        <f>IF(F48="","",F48/100)</f>
        <v/>
      </c>
      <c r="H48" s="7" t="n">
        <v>3</v>
      </c>
      <c r="I48" s="10">
        <f>IF(COUNT(E48,H48)&lt;2,"",E48-H48)</f>
        <v/>
      </c>
      <c r="J48" s="7" t="n"/>
      <c r="K48" s="11" t="n"/>
      <c r="L48" s="11" t="n"/>
      <c r="M48" s="9">
        <f>IF(COUNT(K48,L48)=0,"",1.2*K48+1.6*L48)</f>
        <v/>
      </c>
      <c r="N48" s="9">
        <f>IF(COUNT(G48,M48)&lt;2,"",M48*G48^2/10)</f>
        <v/>
      </c>
      <c r="O48" s="9">
        <f>IF(COUNT(G48,M48)&lt;2,"",M48*G48^2/11)</f>
        <v/>
      </c>
      <c r="P48" s="9">
        <f>IF(COUNT(G48,M48)&lt;2,"",1.15*M48*G48/2)</f>
        <v/>
      </c>
      <c r="Q48" s="7" t="n"/>
      <c r="R48" s="7" t="n"/>
      <c r="S48" s="9">
        <f>IF(COUNT(Q48,R48)&lt;2,"",Q48*PI()*R48^2/400)</f>
        <v/>
      </c>
      <c r="T48" s="7" t="n"/>
      <c r="U48" s="7" t="n"/>
      <c r="V48" s="9">
        <f>IF(COUNT(T48,U48)&lt;2,"",T48*PI()*U48^2/400)</f>
        <v/>
      </c>
      <c r="W48" s="7" t="n"/>
      <c r="X48" s="7" t="n"/>
      <c r="Y48" s="7" t="n"/>
      <c r="Z48" s="9">
        <f>IF(COUNT(D48,I48)&lt;2,"",0.0033*D48*I48)</f>
        <v/>
      </c>
      <c r="AA48" s="10">
        <f>IF(OR(S48="",Z48=""),"",IF(S48&gt;=Z48,"CUMPLE","NO CUMPLE"))</f>
        <v/>
      </c>
      <c r="AB48" s="7" t="n"/>
    </row>
    <row r="49" ht="17" customHeight="1">
      <c r="A49" s="7" t="inlineStr">
        <is>
          <t>LOSA SOBRE PB - ENTREPISO PA</t>
        </is>
      </c>
      <c r="B49" s="8" t="inlineStr">
        <is>
          <t>VI 09</t>
        </is>
      </c>
      <c r="C49" s="7" t="n"/>
      <c r="D49" s="7" t="n">
        <v>15</v>
      </c>
      <c r="E49" s="7" t="n">
        <v>70</v>
      </c>
      <c r="F49" s="7" t="n">
        <v>485</v>
      </c>
      <c r="G49" s="9">
        <f>IF(F49="","",F49/100)</f>
        <v/>
      </c>
      <c r="H49" s="7" t="n">
        <v>3</v>
      </c>
      <c r="I49" s="10">
        <f>IF(COUNT(E49,H49)&lt;2,"",E49-H49)</f>
        <v/>
      </c>
      <c r="J49" s="7" t="n"/>
      <c r="K49" s="11" t="n"/>
      <c r="L49" s="11" t="n"/>
      <c r="M49" s="9">
        <f>IF(COUNT(K49,L49)=0,"",1.2*K49+1.6*L49)</f>
        <v/>
      </c>
      <c r="N49" s="9">
        <f>IF(COUNT(G49,M49)&lt;2,"",M49*G49^2/10)</f>
        <v/>
      </c>
      <c r="O49" s="9">
        <f>IF(COUNT(G49,M49)&lt;2,"",M49*G49^2/11)</f>
        <v/>
      </c>
      <c r="P49" s="9">
        <f>IF(COUNT(G49,M49)&lt;2,"",1.15*M49*G49/2)</f>
        <v/>
      </c>
      <c r="Q49" s="7" t="n"/>
      <c r="R49" s="7" t="n"/>
      <c r="S49" s="9">
        <f>IF(COUNT(Q49,R49)&lt;2,"",Q49*PI()*R49^2/400)</f>
        <v/>
      </c>
      <c r="T49" s="7" t="n"/>
      <c r="U49" s="7" t="n"/>
      <c r="V49" s="9">
        <f>IF(COUNT(T49,U49)&lt;2,"",T49*PI()*U49^2/400)</f>
        <v/>
      </c>
      <c r="W49" s="7" t="n"/>
      <c r="X49" s="7" t="n"/>
      <c r="Y49" s="7" t="n"/>
      <c r="Z49" s="9">
        <f>IF(COUNT(D49,I49)&lt;2,"",0.0033*D49*I49)</f>
        <v/>
      </c>
      <c r="AA49" s="10">
        <f>IF(OR(S49="",Z49=""),"",IF(S49&gt;=Z49,"CUMPLE","NO CUMPLE"))</f>
        <v/>
      </c>
      <c r="AB49" s="7" t="n"/>
    </row>
    <row r="50" ht="17" customHeight="1">
      <c r="A50" s="7" t="inlineStr">
        <is>
          <t>LOSA SOBRE PB - ENTREPISO PA</t>
        </is>
      </c>
      <c r="B50" s="8" t="inlineStr">
        <is>
          <t>VI 10a</t>
        </is>
      </c>
      <c r="C50" s="7" t="n"/>
      <c r="D50" s="7" t="n">
        <v>15</v>
      </c>
      <c r="E50" s="7" t="n">
        <v>70</v>
      </c>
      <c r="F50" s="7" t="n">
        <v>255</v>
      </c>
      <c r="G50" s="9">
        <f>IF(F50="","",F50/100)</f>
        <v/>
      </c>
      <c r="H50" s="7" t="n">
        <v>3</v>
      </c>
      <c r="I50" s="10">
        <f>IF(COUNT(E50,H50)&lt;2,"",E50-H50)</f>
        <v/>
      </c>
      <c r="J50" s="7" t="n"/>
      <c r="K50" s="11" t="n"/>
      <c r="L50" s="11" t="n"/>
      <c r="M50" s="9">
        <f>IF(COUNT(K50,L50)=0,"",1.2*K50+1.6*L50)</f>
        <v/>
      </c>
      <c r="N50" s="9">
        <f>IF(COUNT(G50,M50)&lt;2,"",M50*G50^2/10)</f>
        <v/>
      </c>
      <c r="O50" s="9">
        <f>IF(COUNT(G50,M50)&lt;2,"",M50*G50^2/11)</f>
        <v/>
      </c>
      <c r="P50" s="9">
        <f>IF(COUNT(G50,M50)&lt;2,"",1.15*M50*G50/2)</f>
        <v/>
      </c>
      <c r="Q50" s="7" t="n"/>
      <c r="R50" s="7" t="n"/>
      <c r="S50" s="9">
        <f>IF(COUNT(Q50,R50)&lt;2,"",Q50*PI()*R50^2/400)</f>
        <v/>
      </c>
      <c r="T50" s="7" t="n"/>
      <c r="U50" s="7" t="n"/>
      <c r="V50" s="9">
        <f>IF(COUNT(T50,U50)&lt;2,"",T50*PI()*U50^2/400)</f>
        <v/>
      </c>
      <c r="W50" s="7" t="n"/>
      <c r="X50" s="7" t="n"/>
      <c r="Y50" s="7" t="n"/>
      <c r="Z50" s="9">
        <f>IF(COUNT(D50,I50)&lt;2,"",0.0033*D50*I50)</f>
        <v/>
      </c>
      <c r="AA50" s="10">
        <f>IF(OR(S50="",Z50=""),"",IF(S50&gt;=Z50,"CUMPLE","NO CUMPLE"))</f>
        <v/>
      </c>
      <c r="AB50" s="7" t="n"/>
    </row>
    <row r="51" ht="17" customHeight="1">
      <c r="A51" s="7" t="inlineStr">
        <is>
          <t>LOSA SOBRE PB - ENTREPISO PA</t>
        </is>
      </c>
      <c r="B51" s="8" t="inlineStr">
        <is>
          <t>VI 10b</t>
        </is>
      </c>
      <c r="C51" s="7" t="n"/>
      <c r="D51" s="7" t="n">
        <v>15</v>
      </c>
      <c r="E51" s="7" t="n">
        <v>70</v>
      </c>
      <c r="F51" s="7" t="n">
        <v>400</v>
      </c>
      <c r="G51" s="9">
        <f>IF(F51="","",F51/100)</f>
        <v/>
      </c>
      <c r="H51" s="7" t="n">
        <v>3</v>
      </c>
      <c r="I51" s="10">
        <f>IF(COUNT(E51,H51)&lt;2,"",E51-H51)</f>
        <v/>
      </c>
      <c r="J51" s="7" t="n"/>
      <c r="K51" s="11" t="n"/>
      <c r="L51" s="11" t="n"/>
      <c r="M51" s="9">
        <f>IF(COUNT(K51,L51)=0,"",1.2*K51+1.6*L51)</f>
        <v/>
      </c>
      <c r="N51" s="9">
        <f>IF(COUNT(G51,M51)&lt;2,"",M51*G51^2/10)</f>
        <v/>
      </c>
      <c r="O51" s="9">
        <f>IF(COUNT(G51,M51)&lt;2,"",M51*G51^2/11)</f>
        <v/>
      </c>
      <c r="P51" s="9">
        <f>IF(COUNT(G51,M51)&lt;2,"",1.15*M51*G51/2)</f>
        <v/>
      </c>
      <c r="Q51" s="7" t="n"/>
      <c r="R51" s="7" t="n"/>
      <c r="S51" s="9">
        <f>IF(COUNT(Q51,R51)&lt;2,"",Q51*PI()*R51^2/400)</f>
        <v/>
      </c>
      <c r="T51" s="7" t="n"/>
      <c r="U51" s="7" t="n"/>
      <c r="V51" s="9">
        <f>IF(COUNT(T51,U51)&lt;2,"",T51*PI()*U51^2/400)</f>
        <v/>
      </c>
      <c r="W51" s="7" t="n"/>
      <c r="X51" s="7" t="n"/>
      <c r="Y51" s="7" t="n"/>
      <c r="Z51" s="9">
        <f>IF(COUNT(D51,I51)&lt;2,"",0.0033*D51*I51)</f>
        <v/>
      </c>
      <c r="AA51" s="10">
        <f>IF(OR(S51="",Z51=""),"",IF(S51&gt;=Z51,"CUMPLE","NO CUMPLE"))</f>
        <v/>
      </c>
      <c r="AB51" s="7" t="n"/>
    </row>
    <row r="52" ht="17" customHeight="1">
      <c r="A52" s="7" t="inlineStr">
        <is>
          <t>LOSA SOBRE PB - ENTREPISO PA</t>
        </is>
      </c>
      <c r="B52" s="8" t="inlineStr">
        <is>
          <t>VI 10c</t>
        </is>
      </c>
      <c r="C52" s="7" t="n"/>
      <c r="D52" s="7" t="n">
        <v>15</v>
      </c>
      <c r="E52" s="7" t="n">
        <v>70</v>
      </c>
      <c r="F52" s="7" t="n">
        <v>360</v>
      </c>
      <c r="G52" s="9">
        <f>IF(F52="","",F52/100)</f>
        <v/>
      </c>
      <c r="H52" s="7" t="n">
        <v>3</v>
      </c>
      <c r="I52" s="10">
        <f>IF(COUNT(E52,H52)&lt;2,"",E52-H52)</f>
        <v/>
      </c>
      <c r="J52" s="7" t="n"/>
      <c r="K52" s="11" t="n"/>
      <c r="L52" s="11" t="n"/>
      <c r="M52" s="9">
        <f>IF(COUNT(K52,L52)=0,"",1.2*K52+1.6*L52)</f>
        <v/>
      </c>
      <c r="N52" s="9">
        <f>IF(COUNT(G52,M52)&lt;2,"",M52*G52^2/10)</f>
        <v/>
      </c>
      <c r="O52" s="9">
        <f>IF(COUNT(G52,M52)&lt;2,"",M52*G52^2/11)</f>
        <v/>
      </c>
      <c r="P52" s="9">
        <f>IF(COUNT(G52,M52)&lt;2,"",1.15*M52*G52/2)</f>
        <v/>
      </c>
      <c r="Q52" s="7" t="n"/>
      <c r="R52" s="7" t="n"/>
      <c r="S52" s="9">
        <f>IF(COUNT(Q52,R52)&lt;2,"",Q52*PI()*R52^2/400)</f>
        <v/>
      </c>
      <c r="T52" s="7" t="n"/>
      <c r="U52" s="7" t="n"/>
      <c r="V52" s="9">
        <f>IF(COUNT(T52,U52)&lt;2,"",T52*PI()*U52^2/400)</f>
        <v/>
      </c>
      <c r="W52" s="7" t="n"/>
      <c r="X52" s="7" t="n"/>
      <c r="Y52" s="7" t="n"/>
      <c r="Z52" s="9">
        <f>IF(COUNT(D52,I52)&lt;2,"",0.0033*D52*I52)</f>
        <v/>
      </c>
      <c r="AA52" s="10">
        <f>IF(OR(S52="",Z52=""),"",IF(S52&gt;=Z52,"CUMPLE","NO CUMPLE"))</f>
        <v/>
      </c>
      <c r="AB52" s="7" t="n"/>
    </row>
    <row r="53" ht="17" customHeight="1">
      <c r="A53" s="7" t="inlineStr">
        <is>
          <t>LOSA SOBRE PB - ENTREPISO PA</t>
        </is>
      </c>
      <c r="B53" s="8" t="inlineStr">
        <is>
          <t>VI 11a</t>
        </is>
      </c>
      <c r="C53" s="7" t="n"/>
      <c r="D53" s="7" t="n">
        <v>15</v>
      </c>
      <c r="E53" s="7" t="n">
        <v>70</v>
      </c>
      <c r="F53" s="7" t="n">
        <v>768</v>
      </c>
      <c r="G53" s="9">
        <f>IF(F53="","",F53/100)</f>
        <v/>
      </c>
      <c r="H53" s="7" t="n">
        <v>3</v>
      </c>
      <c r="I53" s="10">
        <f>IF(COUNT(E53,H53)&lt;2,"",E53-H53)</f>
        <v/>
      </c>
      <c r="J53" s="7" t="n"/>
      <c r="K53" s="11" t="n"/>
      <c r="L53" s="11" t="n"/>
      <c r="M53" s="9">
        <f>IF(COUNT(K53,L53)=0,"",1.2*K53+1.6*L53)</f>
        <v/>
      </c>
      <c r="N53" s="9">
        <f>IF(COUNT(G53,M53)&lt;2,"",M53*G53^2/10)</f>
        <v/>
      </c>
      <c r="O53" s="9">
        <f>IF(COUNT(G53,M53)&lt;2,"",M53*G53^2/11)</f>
        <v/>
      </c>
      <c r="P53" s="9">
        <f>IF(COUNT(G53,M53)&lt;2,"",1.15*M53*G53/2)</f>
        <v/>
      </c>
      <c r="Q53" s="7" t="n"/>
      <c r="R53" s="7" t="n"/>
      <c r="S53" s="9">
        <f>IF(COUNT(Q53,R53)&lt;2,"",Q53*PI()*R53^2/400)</f>
        <v/>
      </c>
      <c r="T53" s="7" t="n"/>
      <c r="U53" s="7" t="n"/>
      <c r="V53" s="9">
        <f>IF(COUNT(T53,U53)&lt;2,"",T53*PI()*U53^2/400)</f>
        <v/>
      </c>
      <c r="W53" s="7" t="n"/>
      <c r="X53" s="7" t="n"/>
      <c r="Y53" s="7" t="n"/>
      <c r="Z53" s="9">
        <f>IF(COUNT(D53,I53)&lt;2,"",0.0033*D53*I53)</f>
        <v/>
      </c>
      <c r="AA53" s="10">
        <f>IF(OR(S53="",Z53=""),"",IF(S53&gt;=Z53,"CUMPLE","NO CUMPLE"))</f>
        <v/>
      </c>
      <c r="AB53" s="12" t="inlineStr">
        <is>
          <t>Rotulo del plano se lee 'VI 111' - VERIFICAR si es 11a</t>
        </is>
      </c>
    </row>
    <row r="54" ht="17" customHeight="1">
      <c r="A54" s="7" t="inlineStr">
        <is>
          <t>LOSA SOBRE PB - ENTREPISO PA</t>
        </is>
      </c>
      <c r="B54" s="8" t="inlineStr">
        <is>
          <t>VI 11b</t>
        </is>
      </c>
      <c r="C54" s="7" t="n"/>
      <c r="D54" s="7" t="n">
        <v>15</v>
      </c>
      <c r="E54" s="7" t="n">
        <v>70</v>
      </c>
      <c r="F54" s="7" t="n">
        <v>345</v>
      </c>
      <c r="G54" s="9">
        <f>IF(F54="","",F54/100)</f>
        <v/>
      </c>
      <c r="H54" s="7" t="n">
        <v>3</v>
      </c>
      <c r="I54" s="10">
        <f>IF(COUNT(E54,H54)&lt;2,"",E54-H54)</f>
        <v/>
      </c>
      <c r="J54" s="7" t="n"/>
      <c r="K54" s="11" t="n"/>
      <c r="L54" s="11" t="n"/>
      <c r="M54" s="9">
        <f>IF(COUNT(K54,L54)=0,"",1.2*K54+1.6*L54)</f>
        <v/>
      </c>
      <c r="N54" s="9">
        <f>IF(COUNT(G54,M54)&lt;2,"",M54*G54^2/10)</f>
        <v/>
      </c>
      <c r="O54" s="9">
        <f>IF(COUNT(G54,M54)&lt;2,"",M54*G54^2/11)</f>
        <v/>
      </c>
      <c r="P54" s="9">
        <f>IF(COUNT(G54,M54)&lt;2,"",1.15*M54*G54/2)</f>
        <v/>
      </c>
      <c r="Q54" s="7" t="n"/>
      <c r="R54" s="7" t="n"/>
      <c r="S54" s="9">
        <f>IF(COUNT(Q54,R54)&lt;2,"",Q54*PI()*R54^2/400)</f>
        <v/>
      </c>
      <c r="T54" s="7" t="n"/>
      <c r="U54" s="7" t="n"/>
      <c r="V54" s="9">
        <f>IF(COUNT(T54,U54)&lt;2,"",T54*PI()*U54^2/400)</f>
        <v/>
      </c>
      <c r="W54" s="7" t="n"/>
      <c r="X54" s="7" t="n"/>
      <c r="Y54" s="7" t="n"/>
      <c r="Z54" s="9">
        <f>IF(COUNT(D54,I54)&lt;2,"",0.0033*D54*I54)</f>
        <v/>
      </c>
      <c r="AA54" s="10">
        <f>IF(OR(S54="",Z54=""),"",IF(S54&gt;=Z54,"CUMPLE","NO CUMPLE"))</f>
        <v/>
      </c>
      <c r="AB54" s="7" t="n"/>
    </row>
    <row r="55" ht="17" customHeight="1">
      <c r="A55" s="7" t="inlineStr">
        <is>
          <t>LOSA SOBRE PB - ENTREPISO PA</t>
        </is>
      </c>
      <c r="B55" s="8" t="inlineStr">
        <is>
          <t>VI 11c</t>
        </is>
      </c>
      <c r="C55" s="7" t="n"/>
      <c r="D55" s="7" t="n">
        <v>15</v>
      </c>
      <c r="E55" s="7" t="n">
        <v>70</v>
      </c>
      <c r="F55" s="7" t="n">
        <v>502</v>
      </c>
      <c r="G55" s="9">
        <f>IF(F55="","",F55/100)</f>
        <v/>
      </c>
      <c r="H55" s="7" t="n">
        <v>3</v>
      </c>
      <c r="I55" s="10">
        <f>IF(COUNT(E55,H55)&lt;2,"",E55-H55)</f>
        <v/>
      </c>
      <c r="J55" s="7" t="n"/>
      <c r="K55" s="11" t="n"/>
      <c r="L55" s="11" t="n"/>
      <c r="M55" s="9">
        <f>IF(COUNT(K55,L55)=0,"",1.2*K55+1.6*L55)</f>
        <v/>
      </c>
      <c r="N55" s="9">
        <f>IF(COUNT(G55,M55)&lt;2,"",M55*G55^2/10)</f>
        <v/>
      </c>
      <c r="O55" s="9">
        <f>IF(COUNT(G55,M55)&lt;2,"",M55*G55^2/11)</f>
        <v/>
      </c>
      <c r="P55" s="9">
        <f>IF(COUNT(G55,M55)&lt;2,"",1.15*M55*G55/2)</f>
        <v/>
      </c>
      <c r="Q55" s="7" t="n"/>
      <c r="R55" s="7" t="n"/>
      <c r="S55" s="9">
        <f>IF(COUNT(Q55,R55)&lt;2,"",Q55*PI()*R55^2/400)</f>
        <v/>
      </c>
      <c r="T55" s="7" t="n"/>
      <c r="U55" s="7" t="n"/>
      <c r="V55" s="9">
        <f>IF(COUNT(T55,U55)&lt;2,"",T55*PI()*U55^2/400)</f>
        <v/>
      </c>
      <c r="W55" s="7" t="n"/>
      <c r="X55" s="7" t="n"/>
      <c r="Y55" s="7" t="n"/>
      <c r="Z55" s="9">
        <f>IF(COUNT(D55,I55)&lt;2,"",0.0033*D55*I55)</f>
        <v/>
      </c>
      <c r="AA55" s="10">
        <f>IF(OR(S55="",Z55=""),"",IF(S55&gt;=Z55,"CUMPLE","NO CUMPLE"))</f>
        <v/>
      </c>
      <c r="AB55" s="7" t="n"/>
    </row>
    <row r="56" ht="17" customHeight="1">
      <c r="A56" s="7" t="inlineStr">
        <is>
          <t>LOSA SOBRE PB - ENTREPISO PA</t>
        </is>
      </c>
      <c r="B56" s="8" t="inlineStr">
        <is>
          <t>VCH 03a</t>
        </is>
      </c>
      <c r="C56" s="7" t="n"/>
      <c r="D56" s="7" t="n">
        <v>40</v>
      </c>
      <c r="E56" s="7" t="n">
        <v>13</v>
      </c>
      <c r="F56" s="7" t="n">
        <v>371</v>
      </c>
      <c r="G56" s="9">
        <f>IF(F56="","",F56/100)</f>
        <v/>
      </c>
      <c r="H56" s="7" t="n">
        <v>3</v>
      </c>
      <c r="I56" s="10">
        <f>IF(COUNT(E56,H56)&lt;2,"",E56-H56)</f>
        <v/>
      </c>
      <c r="J56" s="7" t="n"/>
      <c r="K56" s="11" t="n"/>
      <c r="L56" s="11" t="n"/>
      <c r="M56" s="9">
        <f>IF(COUNT(K56,L56)=0,"",1.2*K56+1.6*L56)</f>
        <v/>
      </c>
      <c r="N56" s="9">
        <f>IF(COUNT(G56,M56)&lt;2,"",M56*G56^2/10)</f>
        <v/>
      </c>
      <c r="O56" s="9">
        <f>IF(COUNT(G56,M56)&lt;2,"",M56*G56^2/11)</f>
        <v/>
      </c>
      <c r="P56" s="9">
        <f>IF(COUNT(G56,M56)&lt;2,"",1.15*M56*G56/2)</f>
        <v/>
      </c>
      <c r="Q56" s="7" t="n"/>
      <c r="R56" s="7" t="n"/>
      <c r="S56" s="9">
        <f>IF(COUNT(Q56,R56)&lt;2,"",Q56*PI()*R56^2/400)</f>
        <v/>
      </c>
      <c r="T56" s="7" t="n"/>
      <c r="U56" s="7" t="n"/>
      <c r="V56" s="9">
        <f>IF(COUNT(T56,U56)&lt;2,"",T56*PI()*U56^2/400)</f>
        <v/>
      </c>
      <c r="W56" s="7" t="n"/>
      <c r="X56" s="7" t="n"/>
      <c r="Y56" s="7" t="n"/>
      <c r="Z56" s="9">
        <f>IF(COUNT(D56,I56)&lt;2,"",0.0033*D56*I56)</f>
        <v/>
      </c>
      <c r="AA56" s="10">
        <f>IF(OR(S56="",Z56=""),"",IF(S56&gt;=Z56,"CUMPLE","NO CUMPLE"))</f>
        <v/>
      </c>
      <c r="AB56" s="12" t="inlineStr">
        <is>
          <t>Viga chata</t>
        </is>
      </c>
    </row>
    <row r="57" ht="17" customHeight="1">
      <c r="A57" s="7" t="inlineStr">
        <is>
          <t>LOSA SOBRE PB - ENTREPISO PA</t>
        </is>
      </c>
      <c r="B57" s="8" t="inlineStr">
        <is>
          <t>VCH 03b</t>
        </is>
      </c>
      <c r="C57" s="7" t="n"/>
      <c r="D57" s="7" t="n">
        <v>40</v>
      </c>
      <c r="E57" s="7" t="n">
        <v>13</v>
      </c>
      <c r="F57" s="7" t="n">
        <v>213</v>
      </c>
      <c r="G57" s="9">
        <f>IF(F57="","",F57/100)</f>
        <v/>
      </c>
      <c r="H57" s="7" t="n">
        <v>3</v>
      </c>
      <c r="I57" s="10">
        <f>IF(COUNT(E57,H57)&lt;2,"",E57-H57)</f>
        <v/>
      </c>
      <c r="J57" s="7" t="n"/>
      <c r="K57" s="11" t="n"/>
      <c r="L57" s="11" t="n"/>
      <c r="M57" s="9">
        <f>IF(COUNT(K57,L57)=0,"",1.2*K57+1.6*L57)</f>
        <v/>
      </c>
      <c r="N57" s="9">
        <f>IF(COUNT(G57,M57)&lt;2,"",M57*G57^2/10)</f>
        <v/>
      </c>
      <c r="O57" s="9">
        <f>IF(COUNT(G57,M57)&lt;2,"",M57*G57^2/11)</f>
        <v/>
      </c>
      <c r="P57" s="9">
        <f>IF(COUNT(G57,M57)&lt;2,"",1.15*M57*G57/2)</f>
        <v/>
      </c>
      <c r="Q57" s="7" t="n"/>
      <c r="R57" s="7" t="n"/>
      <c r="S57" s="9">
        <f>IF(COUNT(Q57,R57)&lt;2,"",Q57*PI()*R57^2/400)</f>
        <v/>
      </c>
      <c r="T57" s="7" t="n"/>
      <c r="U57" s="7" t="n"/>
      <c r="V57" s="9">
        <f>IF(COUNT(T57,U57)&lt;2,"",T57*PI()*U57^2/400)</f>
        <v/>
      </c>
      <c r="W57" s="7" t="n"/>
      <c r="X57" s="7" t="n"/>
      <c r="Y57" s="7" t="n"/>
      <c r="Z57" s="9">
        <f>IF(COUNT(D57,I57)&lt;2,"",0.0033*D57*I57)</f>
        <v/>
      </c>
      <c r="AA57" s="10">
        <f>IF(OR(S57="",Z57=""),"",IF(S57&gt;=Z57,"CUMPLE","NO CUMPLE"))</f>
        <v/>
      </c>
      <c r="AB57" s="12" t="inlineStr">
        <is>
          <t>Viga chata</t>
        </is>
      </c>
    </row>
    <row r="58" ht="17" customHeight="1">
      <c r="A58" s="7" t="inlineStr">
        <is>
          <t>LOSA SOBRE PB - ENTREPISO PA</t>
        </is>
      </c>
      <c r="B58" s="8" t="inlineStr">
        <is>
          <t>VCH 05</t>
        </is>
      </c>
      <c r="C58" s="7" t="n"/>
      <c r="D58" s="7" t="n">
        <v>12</v>
      </c>
      <c r="E58" s="7" t="n">
        <v>45</v>
      </c>
      <c r="F58" s="7" t="n">
        <v>371</v>
      </c>
      <c r="G58" s="9">
        <f>IF(F58="","",F58/100)</f>
        <v/>
      </c>
      <c r="H58" s="7" t="n">
        <v>3</v>
      </c>
      <c r="I58" s="10">
        <f>IF(COUNT(E58,H58)&lt;2,"",E58-H58)</f>
        <v/>
      </c>
      <c r="J58" s="7" t="n"/>
      <c r="K58" s="11" t="n"/>
      <c r="L58" s="11" t="n"/>
      <c r="M58" s="9">
        <f>IF(COUNT(K58,L58)=0,"",1.2*K58+1.6*L58)</f>
        <v/>
      </c>
      <c r="N58" s="9">
        <f>IF(COUNT(G58,M58)&lt;2,"",M58*G58^2/10)</f>
        <v/>
      </c>
      <c r="O58" s="9">
        <f>IF(COUNT(G58,M58)&lt;2,"",M58*G58^2/11)</f>
        <v/>
      </c>
      <c r="P58" s="9">
        <f>IF(COUNT(G58,M58)&lt;2,"",1.15*M58*G58/2)</f>
        <v/>
      </c>
      <c r="Q58" s="7" t="n"/>
      <c r="R58" s="7" t="n"/>
      <c r="S58" s="9">
        <f>IF(COUNT(Q58,R58)&lt;2,"",Q58*PI()*R58^2/400)</f>
        <v/>
      </c>
      <c r="T58" s="7" t="n"/>
      <c r="U58" s="7" t="n"/>
      <c r="V58" s="9">
        <f>IF(COUNT(T58,U58)&lt;2,"",T58*PI()*U58^2/400)</f>
        <v/>
      </c>
      <c r="W58" s="7" t="n"/>
      <c r="X58" s="7" t="n"/>
      <c r="Y58" s="7" t="n"/>
      <c r="Z58" s="9">
        <f>IF(COUNT(D58,I58)&lt;2,"",0.0033*D58*I58)</f>
        <v/>
      </c>
      <c r="AA58" s="10">
        <f>IF(OR(S58="",Z58=""),"",IF(S58&gt;=Z58,"CUMPLE","NO CUMPLE"))</f>
        <v/>
      </c>
      <c r="AB58" s="12" t="inlineStr">
        <is>
          <t>Viga chata</t>
        </is>
      </c>
    </row>
    <row r="60" ht="18" customHeight="1">
      <c r="A60" s="5" t="inlineStr">
        <is>
          <t>LOSA DE TECHO / AZOTEA   (N.F.L +6,80 / N.S.V +7,50)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</row>
    <row r="61" ht="17" customHeight="1">
      <c r="A61" s="7" t="inlineStr">
        <is>
          <t>LOSA DE TECHO / AZOTEA</t>
        </is>
      </c>
      <c r="B61" s="8" t="inlineStr">
        <is>
          <t>VI 12</t>
        </is>
      </c>
      <c r="C61" s="7" t="n"/>
      <c r="D61" s="7" t="n">
        <v>15</v>
      </c>
      <c r="E61" s="7" t="n">
        <v>70</v>
      </c>
      <c r="F61" s="7" t="n">
        <v>990</v>
      </c>
      <c r="G61" s="9">
        <f>IF(F61="","",F61/100)</f>
        <v/>
      </c>
      <c r="H61" s="7" t="n">
        <v>3</v>
      </c>
      <c r="I61" s="10">
        <f>IF(COUNT(E61,H61)&lt;2,"",E61-H61)</f>
        <v/>
      </c>
      <c r="J61" s="7" t="n"/>
      <c r="K61" s="11" t="n"/>
      <c r="L61" s="11" t="n"/>
      <c r="M61" s="9">
        <f>IF(COUNT(K61,L61)=0,"",1.2*K61+1.6*L61)</f>
        <v/>
      </c>
      <c r="N61" s="9">
        <f>IF(COUNT(G61,M61)&lt;2,"",M61*G61^2/10)</f>
        <v/>
      </c>
      <c r="O61" s="9">
        <f>IF(COUNT(G61,M61)&lt;2,"",M61*G61^2/11)</f>
        <v/>
      </c>
      <c r="P61" s="9">
        <f>IF(COUNT(G61,M61)&lt;2,"",1.15*M61*G61/2)</f>
        <v/>
      </c>
      <c r="Q61" s="7" t="n"/>
      <c r="R61" s="7" t="n"/>
      <c r="S61" s="9">
        <f>IF(COUNT(Q61,R61)&lt;2,"",Q61*PI()*R61^2/400)</f>
        <v/>
      </c>
      <c r="T61" s="7" t="n"/>
      <c r="U61" s="7" t="n"/>
      <c r="V61" s="9">
        <f>IF(COUNT(T61,U61)&lt;2,"",T61*PI()*U61^2/400)</f>
        <v/>
      </c>
      <c r="W61" s="7" t="n"/>
      <c r="X61" s="7" t="n"/>
      <c r="Y61" s="7" t="n"/>
      <c r="Z61" s="9">
        <f>IF(COUNT(D61,I61)&lt;2,"",0.0033*D61*I61)</f>
        <v/>
      </c>
      <c r="AA61" s="10">
        <f>IF(OR(S61="",Z61=""),"",IF(S61&gt;=Z61,"CUMPLE","NO CUMPLE"))</f>
        <v/>
      </c>
      <c r="AB61" s="7" t="n"/>
    </row>
    <row r="62" ht="17" customHeight="1">
      <c r="A62" s="7" t="inlineStr">
        <is>
          <t>LOSA DE TECHO / AZOTEA</t>
        </is>
      </c>
      <c r="B62" s="8" t="inlineStr">
        <is>
          <t>VI 13a</t>
        </is>
      </c>
      <c r="C62" s="7" t="n"/>
      <c r="D62" s="7" t="n">
        <v>15</v>
      </c>
      <c r="E62" s="7" t="n">
        <v>50</v>
      </c>
      <c r="F62" s="7" t="n">
        <v>600</v>
      </c>
      <c r="G62" s="9">
        <f>IF(F62="","",F62/100)</f>
        <v/>
      </c>
      <c r="H62" s="7" t="n">
        <v>3</v>
      </c>
      <c r="I62" s="10">
        <f>IF(COUNT(E62,H62)&lt;2,"",E62-H62)</f>
        <v/>
      </c>
      <c r="J62" s="7" t="n"/>
      <c r="K62" s="11" t="n"/>
      <c r="L62" s="11" t="n"/>
      <c r="M62" s="9">
        <f>IF(COUNT(K62,L62)=0,"",1.2*K62+1.6*L62)</f>
        <v/>
      </c>
      <c r="N62" s="9">
        <f>IF(COUNT(G62,M62)&lt;2,"",M62*G62^2/10)</f>
        <v/>
      </c>
      <c r="O62" s="9">
        <f>IF(COUNT(G62,M62)&lt;2,"",M62*G62^2/11)</f>
        <v/>
      </c>
      <c r="P62" s="9">
        <f>IF(COUNT(G62,M62)&lt;2,"",1.15*M62*G62/2)</f>
        <v/>
      </c>
      <c r="Q62" s="7" t="n"/>
      <c r="R62" s="7" t="n"/>
      <c r="S62" s="9">
        <f>IF(COUNT(Q62,R62)&lt;2,"",Q62*PI()*R62^2/400)</f>
        <v/>
      </c>
      <c r="T62" s="7" t="n"/>
      <c r="U62" s="7" t="n"/>
      <c r="V62" s="9">
        <f>IF(COUNT(T62,U62)&lt;2,"",T62*PI()*U62^2/400)</f>
        <v/>
      </c>
      <c r="W62" s="7" t="n"/>
      <c r="X62" s="7" t="n"/>
      <c r="Y62" s="7" t="n"/>
      <c r="Z62" s="9">
        <f>IF(COUNT(D62,I62)&lt;2,"",0.0033*D62*I62)</f>
        <v/>
      </c>
      <c r="AA62" s="10">
        <f>IF(OR(S62="",Z62=""),"",IF(S62&gt;=Z62,"CUMPLE","NO CUMPLE"))</f>
        <v/>
      </c>
      <c r="AB62" s="7" t="n"/>
    </row>
    <row r="63" ht="17" customHeight="1">
      <c r="A63" s="7" t="inlineStr">
        <is>
          <t>LOSA DE TECHO / AZOTEA</t>
        </is>
      </c>
      <c r="B63" s="8" t="inlineStr">
        <is>
          <t>VI 13b</t>
        </is>
      </c>
      <c r="C63" s="7" t="n"/>
      <c r="D63" s="7" t="n">
        <v>15</v>
      </c>
      <c r="E63" s="7" t="n">
        <v>50</v>
      </c>
      <c r="F63" s="7" t="n">
        <v>375</v>
      </c>
      <c r="G63" s="9">
        <f>IF(F63="","",F63/100)</f>
        <v/>
      </c>
      <c r="H63" s="7" t="n">
        <v>3</v>
      </c>
      <c r="I63" s="10">
        <f>IF(COUNT(E63,H63)&lt;2,"",E63-H63)</f>
        <v/>
      </c>
      <c r="J63" s="7" t="n"/>
      <c r="K63" s="11" t="n"/>
      <c r="L63" s="11" t="n"/>
      <c r="M63" s="9">
        <f>IF(COUNT(K63,L63)=0,"",1.2*K63+1.6*L63)</f>
        <v/>
      </c>
      <c r="N63" s="9">
        <f>IF(COUNT(G63,M63)&lt;2,"",M63*G63^2/10)</f>
        <v/>
      </c>
      <c r="O63" s="9">
        <f>IF(COUNT(G63,M63)&lt;2,"",M63*G63^2/11)</f>
        <v/>
      </c>
      <c r="P63" s="9">
        <f>IF(COUNT(G63,M63)&lt;2,"",1.15*M63*G63/2)</f>
        <v/>
      </c>
      <c r="Q63" s="7" t="n"/>
      <c r="R63" s="7" t="n"/>
      <c r="S63" s="9">
        <f>IF(COUNT(Q63,R63)&lt;2,"",Q63*PI()*R63^2/400)</f>
        <v/>
      </c>
      <c r="T63" s="7" t="n"/>
      <c r="U63" s="7" t="n"/>
      <c r="V63" s="9">
        <f>IF(COUNT(T63,U63)&lt;2,"",T63*PI()*U63^2/400)</f>
        <v/>
      </c>
      <c r="W63" s="7" t="n"/>
      <c r="X63" s="7" t="n"/>
      <c r="Y63" s="7" t="n"/>
      <c r="Z63" s="9">
        <f>IF(COUNT(D63,I63)&lt;2,"",0.0033*D63*I63)</f>
        <v/>
      </c>
      <c r="AA63" s="10">
        <f>IF(OR(S63="",Z63=""),"",IF(S63&gt;=Z63,"CUMPLE","NO CUMPLE"))</f>
        <v/>
      </c>
      <c r="AB63" s="7" t="n"/>
    </row>
    <row r="64" ht="17" customHeight="1">
      <c r="A64" s="7" t="inlineStr">
        <is>
          <t>LOSA DE TECHO / AZOTEA</t>
        </is>
      </c>
      <c r="B64" s="8" t="inlineStr">
        <is>
          <t>VI 14</t>
        </is>
      </c>
      <c r="C64" s="7" t="n"/>
      <c r="D64" s="7" t="n">
        <v>15</v>
      </c>
      <c r="E64" s="7" t="n">
        <v>70</v>
      </c>
      <c r="F64" s="7" t="n">
        <v>600</v>
      </c>
      <c r="G64" s="9">
        <f>IF(F64="","",F64/100)</f>
        <v/>
      </c>
      <c r="H64" s="7" t="n">
        <v>3</v>
      </c>
      <c r="I64" s="10">
        <f>IF(COUNT(E64,H64)&lt;2,"",E64-H64)</f>
        <v/>
      </c>
      <c r="J64" s="7" t="n"/>
      <c r="K64" s="11" t="n"/>
      <c r="L64" s="11" t="n"/>
      <c r="M64" s="9">
        <f>IF(COUNT(K64,L64)=0,"",1.2*K64+1.6*L64)</f>
        <v/>
      </c>
      <c r="N64" s="9">
        <f>IF(COUNT(G64,M64)&lt;2,"",M64*G64^2/10)</f>
        <v/>
      </c>
      <c r="O64" s="9">
        <f>IF(COUNT(G64,M64)&lt;2,"",M64*G64^2/11)</f>
        <v/>
      </c>
      <c r="P64" s="9">
        <f>IF(COUNT(G64,M64)&lt;2,"",1.15*M64*G64/2)</f>
        <v/>
      </c>
      <c r="Q64" s="7" t="n"/>
      <c r="R64" s="7" t="n"/>
      <c r="S64" s="9">
        <f>IF(COUNT(Q64,R64)&lt;2,"",Q64*PI()*R64^2/400)</f>
        <v/>
      </c>
      <c r="T64" s="7" t="n"/>
      <c r="U64" s="7" t="n"/>
      <c r="V64" s="9">
        <f>IF(COUNT(T64,U64)&lt;2,"",T64*PI()*U64^2/400)</f>
        <v/>
      </c>
      <c r="W64" s="7" t="n"/>
      <c r="X64" s="7" t="n"/>
      <c r="Y64" s="7" t="n"/>
      <c r="Z64" s="9">
        <f>IF(COUNT(D64,I64)&lt;2,"",0.0033*D64*I64)</f>
        <v/>
      </c>
      <c r="AA64" s="10">
        <f>IF(OR(S64="",Z64=""),"",IF(S64&gt;=Z64,"CUMPLE","NO CUMPLE"))</f>
        <v/>
      </c>
      <c r="AB64" s="7" t="n"/>
    </row>
    <row r="65" ht="17" customHeight="1">
      <c r="A65" s="7" t="inlineStr">
        <is>
          <t>LOSA DE TECHO / AZOTEA</t>
        </is>
      </c>
      <c r="B65" s="8" t="inlineStr">
        <is>
          <t>VI 15a</t>
        </is>
      </c>
      <c r="C65" s="7" t="n"/>
      <c r="D65" s="7" t="n">
        <v>15</v>
      </c>
      <c r="E65" s="7" t="n">
        <v>70</v>
      </c>
      <c r="F65" s="7" t="n">
        <v>403</v>
      </c>
      <c r="G65" s="9">
        <f>IF(F65="","",F65/100)</f>
        <v/>
      </c>
      <c r="H65" s="7" t="n">
        <v>3</v>
      </c>
      <c r="I65" s="10">
        <f>IF(COUNT(E65,H65)&lt;2,"",E65-H65)</f>
        <v/>
      </c>
      <c r="J65" s="7" t="n"/>
      <c r="K65" s="11" t="n"/>
      <c r="L65" s="11" t="n"/>
      <c r="M65" s="9">
        <f>IF(COUNT(K65,L65)=0,"",1.2*K65+1.6*L65)</f>
        <v/>
      </c>
      <c r="N65" s="9">
        <f>IF(COUNT(G65,M65)&lt;2,"",M65*G65^2/10)</f>
        <v/>
      </c>
      <c r="O65" s="9">
        <f>IF(COUNT(G65,M65)&lt;2,"",M65*G65^2/11)</f>
        <v/>
      </c>
      <c r="P65" s="9">
        <f>IF(COUNT(G65,M65)&lt;2,"",1.15*M65*G65/2)</f>
        <v/>
      </c>
      <c r="Q65" s="7" t="n"/>
      <c r="R65" s="7" t="n"/>
      <c r="S65" s="9">
        <f>IF(COUNT(Q65,R65)&lt;2,"",Q65*PI()*R65^2/400)</f>
        <v/>
      </c>
      <c r="T65" s="7" t="n"/>
      <c r="U65" s="7" t="n"/>
      <c r="V65" s="9">
        <f>IF(COUNT(T65,U65)&lt;2,"",T65*PI()*U65^2/400)</f>
        <v/>
      </c>
      <c r="W65" s="7" t="n"/>
      <c r="X65" s="7" t="n"/>
      <c r="Y65" s="7" t="n"/>
      <c r="Z65" s="9">
        <f>IF(COUNT(D65,I65)&lt;2,"",0.0033*D65*I65)</f>
        <v/>
      </c>
      <c r="AA65" s="10">
        <f>IF(OR(S65="",Z65=""),"",IF(S65&gt;=Z65,"CUMPLE","NO CUMPLE"))</f>
        <v/>
      </c>
      <c r="AB65" s="7" t="n"/>
    </row>
    <row r="66" ht="17" customHeight="1">
      <c r="A66" s="7" t="inlineStr">
        <is>
          <t>LOSA DE TECHO / AZOTEA</t>
        </is>
      </c>
      <c r="B66" s="8" t="inlineStr">
        <is>
          <t>VI 15b</t>
        </is>
      </c>
      <c r="C66" s="7" t="n"/>
      <c r="D66" s="7" t="n">
        <v>15</v>
      </c>
      <c r="E66" s="7" t="n">
        <v>70</v>
      </c>
      <c r="F66" s="7" t="n">
        <v>485</v>
      </c>
      <c r="G66" s="9">
        <f>IF(F66="","",F66/100)</f>
        <v/>
      </c>
      <c r="H66" s="7" t="n">
        <v>3</v>
      </c>
      <c r="I66" s="10">
        <f>IF(COUNT(E66,H66)&lt;2,"",E66-H66)</f>
        <v/>
      </c>
      <c r="J66" s="7" t="n"/>
      <c r="K66" s="11" t="n"/>
      <c r="L66" s="11" t="n"/>
      <c r="M66" s="9">
        <f>IF(COUNT(K66,L66)=0,"",1.2*K66+1.6*L66)</f>
        <v/>
      </c>
      <c r="N66" s="9">
        <f>IF(COUNT(G66,M66)&lt;2,"",M66*G66^2/10)</f>
        <v/>
      </c>
      <c r="O66" s="9">
        <f>IF(COUNT(G66,M66)&lt;2,"",M66*G66^2/11)</f>
        <v/>
      </c>
      <c r="P66" s="9">
        <f>IF(COUNT(G66,M66)&lt;2,"",1.15*M66*G66/2)</f>
        <v/>
      </c>
      <c r="Q66" s="7" t="n"/>
      <c r="R66" s="7" t="n"/>
      <c r="S66" s="9">
        <f>IF(COUNT(Q66,R66)&lt;2,"",Q66*PI()*R66^2/400)</f>
        <v/>
      </c>
      <c r="T66" s="7" t="n"/>
      <c r="U66" s="7" t="n"/>
      <c r="V66" s="9">
        <f>IF(COUNT(T66,U66)&lt;2,"",T66*PI()*U66^2/400)</f>
        <v/>
      </c>
      <c r="W66" s="7" t="n"/>
      <c r="X66" s="7" t="n"/>
      <c r="Y66" s="7" t="n"/>
      <c r="Z66" s="9">
        <f>IF(COUNT(D66,I66)&lt;2,"",0.0033*D66*I66)</f>
        <v/>
      </c>
      <c r="AA66" s="10">
        <f>IF(OR(S66="",Z66=""),"",IF(S66&gt;=Z66,"CUMPLE","NO CUMPLE"))</f>
        <v/>
      </c>
      <c r="AB66" s="7" t="n"/>
    </row>
    <row r="67" ht="17" customHeight="1">
      <c r="A67" s="7" t="inlineStr">
        <is>
          <t>LOSA DE TECHO / AZOTEA</t>
        </is>
      </c>
      <c r="B67" s="8" t="inlineStr">
        <is>
          <t>VI 16a</t>
        </is>
      </c>
      <c r="C67" s="7" t="n"/>
      <c r="D67" s="7" t="n">
        <v>15</v>
      </c>
      <c r="E67" s="7" t="n">
        <v>70</v>
      </c>
      <c r="F67" s="7" t="n">
        <v>358</v>
      </c>
      <c r="G67" s="9">
        <f>IF(F67="","",F67/100)</f>
        <v/>
      </c>
      <c r="H67" s="7" t="n">
        <v>3</v>
      </c>
      <c r="I67" s="10">
        <f>IF(COUNT(E67,H67)&lt;2,"",E67-H67)</f>
        <v/>
      </c>
      <c r="J67" s="7" t="n"/>
      <c r="K67" s="11" t="n"/>
      <c r="L67" s="11" t="n"/>
      <c r="M67" s="9">
        <f>IF(COUNT(K67,L67)=0,"",1.2*K67+1.6*L67)</f>
        <v/>
      </c>
      <c r="N67" s="9">
        <f>IF(COUNT(G67,M67)&lt;2,"",M67*G67^2/10)</f>
        <v/>
      </c>
      <c r="O67" s="9">
        <f>IF(COUNT(G67,M67)&lt;2,"",M67*G67^2/11)</f>
        <v/>
      </c>
      <c r="P67" s="9">
        <f>IF(COUNT(G67,M67)&lt;2,"",1.15*M67*G67/2)</f>
        <v/>
      </c>
      <c r="Q67" s="7" t="n"/>
      <c r="R67" s="7" t="n"/>
      <c r="S67" s="9">
        <f>IF(COUNT(Q67,R67)&lt;2,"",Q67*PI()*R67^2/400)</f>
        <v/>
      </c>
      <c r="T67" s="7" t="n"/>
      <c r="U67" s="7" t="n"/>
      <c r="V67" s="9">
        <f>IF(COUNT(T67,U67)&lt;2,"",T67*PI()*U67^2/400)</f>
        <v/>
      </c>
      <c r="W67" s="7" t="n"/>
      <c r="X67" s="7" t="n"/>
      <c r="Y67" s="7" t="n"/>
      <c r="Z67" s="9">
        <f>IF(COUNT(D67,I67)&lt;2,"",0.0033*D67*I67)</f>
        <v/>
      </c>
      <c r="AA67" s="10">
        <f>IF(OR(S67="",Z67=""),"",IF(S67&gt;=Z67,"CUMPLE","NO CUMPLE"))</f>
        <v/>
      </c>
      <c r="AB67" s="7" t="n"/>
    </row>
    <row r="68" ht="17" customHeight="1">
      <c r="A68" s="7" t="inlineStr">
        <is>
          <t>LOSA DE TECHO / AZOTEA</t>
        </is>
      </c>
      <c r="B68" s="8" t="inlineStr">
        <is>
          <t>VI 16b</t>
        </is>
      </c>
      <c r="C68" s="7" t="n"/>
      <c r="D68" s="7" t="n">
        <v>15</v>
      </c>
      <c r="E68" s="7" t="n">
        <v>70</v>
      </c>
      <c r="F68" s="7" t="n">
        <v>112</v>
      </c>
      <c r="G68" s="9">
        <f>IF(F68="","",F68/100)</f>
        <v/>
      </c>
      <c r="H68" s="7" t="n">
        <v>3</v>
      </c>
      <c r="I68" s="10">
        <f>IF(COUNT(E68,H68)&lt;2,"",E68-H68)</f>
        <v/>
      </c>
      <c r="J68" s="7" t="n"/>
      <c r="K68" s="11" t="n"/>
      <c r="L68" s="11" t="n"/>
      <c r="M68" s="9">
        <f>IF(COUNT(K68,L68)=0,"",1.2*K68+1.6*L68)</f>
        <v/>
      </c>
      <c r="N68" s="9">
        <f>IF(COUNT(G68,M68)&lt;2,"",M68*G68^2/10)</f>
        <v/>
      </c>
      <c r="O68" s="9">
        <f>IF(COUNT(G68,M68)&lt;2,"",M68*G68^2/11)</f>
        <v/>
      </c>
      <c r="P68" s="9">
        <f>IF(COUNT(G68,M68)&lt;2,"",1.15*M68*G68/2)</f>
        <v/>
      </c>
      <c r="Q68" s="7" t="n"/>
      <c r="R68" s="7" t="n"/>
      <c r="S68" s="9">
        <f>IF(COUNT(Q68,R68)&lt;2,"",Q68*PI()*R68^2/400)</f>
        <v/>
      </c>
      <c r="T68" s="7" t="n"/>
      <c r="U68" s="7" t="n"/>
      <c r="V68" s="9">
        <f>IF(COUNT(T68,U68)&lt;2,"",T68*PI()*U68^2/400)</f>
        <v/>
      </c>
      <c r="W68" s="7" t="n"/>
      <c r="X68" s="7" t="n"/>
      <c r="Y68" s="7" t="n"/>
      <c r="Z68" s="9">
        <f>IF(COUNT(D68,I68)&lt;2,"",0.0033*D68*I68)</f>
        <v/>
      </c>
      <c r="AA68" s="10">
        <f>IF(OR(S68="",Z68=""),"",IF(S68&gt;=Z68,"CUMPLE","NO CUMPLE"))</f>
        <v/>
      </c>
      <c r="AB68" s="7" t="n"/>
    </row>
    <row r="69" ht="17" customHeight="1">
      <c r="A69" s="7" t="inlineStr">
        <is>
          <t>LOSA DE TECHO / AZOTEA</t>
        </is>
      </c>
      <c r="B69" s="8" t="inlineStr">
        <is>
          <t>VI 17</t>
        </is>
      </c>
      <c r="C69" s="7" t="n"/>
      <c r="D69" s="7" t="n">
        <v>15</v>
      </c>
      <c r="E69" s="7" t="n">
        <v>70</v>
      </c>
      <c r="F69" s="7" t="n">
        <v>435</v>
      </c>
      <c r="G69" s="9">
        <f>IF(F69="","",F69/100)</f>
        <v/>
      </c>
      <c r="H69" s="7" t="n">
        <v>3</v>
      </c>
      <c r="I69" s="10">
        <f>IF(COUNT(E69,H69)&lt;2,"",E69-H69)</f>
        <v/>
      </c>
      <c r="J69" s="7" t="n"/>
      <c r="K69" s="11" t="n"/>
      <c r="L69" s="11" t="n"/>
      <c r="M69" s="9">
        <f>IF(COUNT(K69,L69)=0,"",1.2*K69+1.6*L69)</f>
        <v/>
      </c>
      <c r="N69" s="9">
        <f>IF(COUNT(G69,M69)&lt;2,"",M69*G69^2/10)</f>
        <v/>
      </c>
      <c r="O69" s="9">
        <f>IF(COUNT(G69,M69)&lt;2,"",M69*G69^2/11)</f>
        <v/>
      </c>
      <c r="P69" s="9">
        <f>IF(COUNT(G69,M69)&lt;2,"",1.15*M69*G69/2)</f>
        <v/>
      </c>
      <c r="Q69" s="7" t="n"/>
      <c r="R69" s="7" t="n"/>
      <c r="S69" s="9">
        <f>IF(COUNT(Q69,R69)&lt;2,"",Q69*PI()*R69^2/400)</f>
        <v/>
      </c>
      <c r="T69" s="7" t="n"/>
      <c r="U69" s="7" t="n"/>
      <c r="V69" s="9">
        <f>IF(COUNT(T69,U69)&lt;2,"",T69*PI()*U69^2/400)</f>
        <v/>
      </c>
      <c r="W69" s="7" t="n"/>
      <c r="X69" s="7" t="n"/>
      <c r="Y69" s="7" t="n"/>
      <c r="Z69" s="9">
        <f>IF(COUNT(D69,I69)&lt;2,"",0.0033*D69*I69)</f>
        <v/>
      </c>
      <c r="AA69" s="10">
        <f>IF(OR(S69="",Z69=""),"",IF(S69&gt;=Z69,"CUMPLE","NO CUMPLE"))</f>
        <v/>
      </c>
      <c r="AB69" s="12" t="inlineStr">
        <is>
          <t>Pase en viga p/ rebalse azotea O110</t>
        </is>
      </c>
    </row>
  </sheetData>
  <autoFilter ref="A3:AB71"/>
  <mergeCells count="16">
    <mergeCell ref="T2:V2"/>
    <mergeCell ref="D2:I2"/>
    <mergeCell ref="K2:M2"/>
    <mergeCell ref="N2:P2"/>
    <mergeCell ref="A60:AB60"/>
    <mergeCell ref="Z2:AA2"/>
    <mergeCell ref="A37:AB37"/>
    <mergeCell ref="A1:AB1"/>
    <mergeCell ref="B2:B3"/>
    <mergeCell ref="A2:A3"/>
    <mergeCell ref="AB2:AB3"/>
    <mergeCell ref="C2:C3"/>
    <mergeCell ref="J2"/>
    <mergeCell ref="A4:AB4"/>
    <mergeCell ref="Q2:S2"/>
    <mergeCell ref="W2:Y2"/>
  </mergeCells>
  <conditionalFormatting sqref="AA4:AA71">
    <cfRule type="cellIs" priority="1" operator="equal" dxfId="0">
      <formula>"CUMPLE"</formula>
    </cfRule>
    <cfRule type="cellIs" priority="2" operator="equal" dxfId="1">
      <formula>"NO CUMPLE"</formula>
    </cfRule>
  </conditionalFormatting>
  <dataValidations count="3">
    <dataValidation sqref="J4:J71" showDropDown="0" showInputMessage="0" showErrorMessage="0" allowBlank="1" type="list">
      <formula1>"Simplemente apoyada,Continua,Empotrada-apoyada,Biempotrada,Voladizo"</formula1>
    </dataValidation>
    <dataValidation sqref="R4:R71 U4:U71 W4:W71" showDropDown="0" showInputMessage="0" showErrorMessage="0" allowBlank="1" type="list">
      <formula1>"6,8,10,12,16,20,25,32"</formula1>
    </dataValidation>
    <dataValidation sqref="Y4:Y71" showDropDown="0" showInputMessage="0" showErrorMessage="0" allowBlank="1" type="list">
      <formula1>"Apoyo,Centro,Todo el tramo"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13" t="inlineStr">
        <is>
          <t>COLUMNA</t>
        </is>
      </c>
      <c r="B1" s="14" t="inlineStr">
        <is>
          <t>COMO SE COMPLETA / FORMULA</t>
        </is>
      </c>
    </row>
    <row r="2">
      <c r="A2" s="15" t="inlineStr">
        <is>
          <t>Nivel / Viga</t>
        </is>
      </c>
      <c r="B2" s="16" t="inlineStr">
        <is>
          <t>Precargados desde el plano PE1 Municipal (PDF). 60 elementos en total.</t>
        </is>
      </c>
    </row>
    <row r="3">
      <c r="A3" s="15" t="inlineStr">
        <is>
          <t>Tramo</t>
        </is>
      </c>
      <c r="B3" s="16" t="inlineStr">
        <is>
          <t>Manual. Si una viga continua se subdivide, un renglon por tramo.</t>
        </is>
      </c>
    </row>
    <row r="4">
      <c r="A4" s="15" t="inlineStr">
        <is>
          <t>b / h / L</t>
        </is>
      </c>
      <c r="B4" s="16" t="inlineStr">
        <is>
          <t>Precargados: leidos del rotulo del plano (formato b x h x L, en cm).</t>
        </is>
      </c>
    </row>
    <row r="5">
      <c r="A5" s="15" t="inlineStr">
        <is>
          <t>L (m)</t>
        </is>
      </c>
      <c r="B5" s="16" t="inlineStr">
        <is>
          <t>CALCULADA: L(cm)/100.</t>
        </is>
      </c>
    </row>
    <row r="6">
      <c r="A6" s="15" t="inlineStr">
        <is>
          <t>r</t>
        </is>
      </c>
      <c r="B6" s="16" t="inlineStr">
        <is>
          <t>Precargado en 3 cm. Ajustar si tu recubrimiento mecanico es otro.</t>
        </is>
      </c>
    </row>
    <row r="7">
      <c r="A7" s="15" t="inlineStr">
        <is>
          <t>d</t>
        </is>
      </c>
      <c r="B7" s="16" t="inlineStr">
        <is>
          <t>CALCULADA: d = h - r.</t>
        </is>
      </c>
    </row>
    <row r="8">
      <c r="A8" s="15" t="inlineStr">
        <is>
          <t>Tipo de apoyo</t>
        </is>
      </c>
      <c r="B8" s="16" t="inlineStr">
        <is>
          <t>Lista desplegable. Define que coeficiente de momento corresponde.</t>
        </is>
      </c>
    </row>
    <row r="9">
      <c r="A9" s="15" t="inlineStr">
        <is>
          <t>g / q</t>
        </is>
      </c>
      <c r="B9" s="16" t="inlineStr">
        <is>
          <t>Manual. Carga permanente y sobrecarga en kN/m.</t>
        </is>
      </c>
    </row>
    <row r="10">
      <c r="A10" s="15" t="inlineStr">
        <is>
          <t>Pu</t>
        </is>
      </c>
      <c r="B10" s="16" t="inlineStr">
        <is>
          <t>CALCULADA: Pu = 1,2 g + 1,6 q   (combinacion CIRSOC 201).</t>
        </is>
      </c>
    </row>
    <row r="11">
      <c r="A11" s="15" t="inlineStr">
        <is>
          <t>Md tramo</t>
        </is>
      </c>
      <c r="B11" s="16" t="inlineStr">
        <is>
          <t>CALCULADA: Pu x L^2 / 10   -&gt; ORIENTATIVO, viga continua.</t>
        </is>
      </c>
    </row>
    <row r="12">
      <c r="A12" s="15" t="inlineStr">
        <is>
          <t>Md apoyo</t>
        </is>
      </c>
      <c r="B12" s="16" t="inlineStr">
        <is>
          <t>CALCULADA: Pu x L^2 / 11   -&gt; ORIENTATIVO, viga continua.</t>
        </is>
      </c>
    </row>
    <row r="13">
      <c r="A13" s="15" t="inlineStr">
        <is>
          <t>Vd</t>
        </is>
      </c>
      <c r="B13" s="16" t="inlineStr">
        <is>
          <t>CALCULADA: 1,15 x Pu x L / 2   -&gt; ORIENTATIVO.</t>
        </is>
      </c>
    </row>
    <row r="14">
      <c r="A14" s="15" t="inlineStr">
        <is>
          <t>n / D</t>
        </is>
      </c>
      <c r="B14" s="16" t="inlineStr">
        <is>
          <t>Manual. Cantidad de barras y diametro en mm.</t>
        </is>
      </c>
    </row>
    <row r="15">
      <c r="A15" s="15" t="inlineStr">
        <is>
          <t>As</t>
        </is>
      </c>
      <c r="B15" s="16" t="inlineStr">
        <is>
          <t>CALCULADA: As = n x PI x D^2 / 400   (D en mm, resultado en cm2).</t>
        </is>
      </c>
    </row>
    <row r="16">
      <c r="A16" s="15" t="inlineStr">
        <is>
          <t>Estribos</t>
        </is>
      </c>
      <c r="B16" s="16" t="inlineStr">
        <is>
          <t>Manual. Diametro, separacion y zona.</t>
        </is>
      </c>
    </row>
    <row r="17">
      <c r="A17" s="15" t="inlineStr">
        <is>
          <t>As min</t>
        </is>
      </c>
      <c r="B17" s="16" t="inlineStr">
        <is>
          <t>CALCULADA: 0,0033 x b x d   (cuantia minima orientativa a flexion).</t>
        </is>
      </c>
    </row>
    <row r="18">
      <c r="A18" s="15" t="inlineStr">
        <is>
          <t>Verif.</t>
        </is>
      </c>
      <c r="B18" s="16" t="inlineStr">
        <is>
          <t>CALCULADA: compara As inferior contra As minima. Verde CUMPLE / rojo NO CUMPLE.</t>
        </is>
      </c>
    </row>
    <row r="19">
      <c r="A19" s="15" t="inlineStr"/>
      <c r="B19" s="16" t="inlineStr"/>
    </row>
    <row r="20">
      <c r="A20" s="13" t="inlineStr">
        <is>
          <t>ATENCION</t>
        </is>
      </c>
      <c r="B20" s="14" t="inlineStr">
        <is>
          <t>Los coeficientes L^2/10, L^2/11 y la cuantia minima son de PREDIMENSIONADO.</t>
        </is>
      </c>
    </row>
    <row r="21">
      <c r="A21" s="15" t="inlineStr"/>
      <c r="B21" s="16" t="inlineStr">
        <is>
          <t>Reemplazalos por los resultados de tu calculo estructural real. Las celdas</t>
        </is>
      </c>
    </row>
    <row r="22">
      <c r="A22" s="15" t="inlineStr"/>
      <c r="B22" s="16" t="inlineStr">
        <is>
          <t>amarillas tienen formula: se pueden sobrescribir con el valor definitivo.</t>
        </is>
      </c>
    </row>
    <row r="23">
      <c r="A23" s="15" t="inlineStr"/>
      <c r="B23" s="16" t="inlineStr"/>
    </row>
    <row r="24">
      <c r="A24" s="13" t="inlineStr">
        <is>
          <t>A VERIFICAR</t>
        </is>
      </c>
      <c r="B24" s="14" t="inlineStr">
        <is>
          <t>Cuatro elementos quedaron con datos dudosos o incompletos, marcados en</t>
        </is>
      </c>
    </row>
    <row r="25">
      <c r="A25" s="15" t="inlineStr"/>
      <c r="B25" s="16" t="inlineStr">
        <is>
          <t>naranja en la columna Observaciones:</t>
        </is>
      </c>
    </row>
    <row r="26">
      <c r="A26" s="15" t="inlineStr"/>
      <c r="B26" s="16" t="inlineStr">
        <is>
          <t xml:space="preserve">  - VI 11a : el rotulo del plano se lee 'VI 111'. Confirmar si es 11a (existen 11b y 11c).</t>
        </is>
      </c>
    </row>
    <row r="27">
      <c r="A27" s="15" t="inlineStr"/>
      <c r="B27" s="16" t="inlineStr">
        <is>
          <t xml:space="preserve">  - VF04a  : el ancho quedo cortado en el PDF, se lee '?x35x533'. Confirmar 20 o 22 cm.</t>
        </is>
      </c>
    </row>
    <row r="28">
      <c r="A28" s="15" t="inlineStr"/>
      <c r="B28" s="16" t="inlineStr">
        <is>
          <t xml:space="preserve">  - VF06a / VF06b / VF13 : el rotulo esta en el plano pero la cota no resulto legible.</t>
        </is>
      </c>
    </row>
    <row r="29">
      <c r="A29" s="15" t="inlineStr"/>
      <c r="B29" s="16" t="inlineStr"/>
    </row>
    <row r="30">
      <c r="A30" s="13" t="inlineStr">
        <is>
          <t>NO INCLUIDO</t>
        </is>
      </c>
      <c r="B30" s="14" t="inlineStr">
        <is>
          <t>No figuran VI 03a, VI 03b, VI 05 ni VI 06 en este plano: la numeracion 03 y 05</t>
        </is>
      </c>
    </row>
    <row r="31">
      <c r="A31" s="15" t="inlineStr"/>
      <c r="B31" s="16" t="inlineStr">
        <is>
          <t>corresponde a vigas chatas (VCH 03a, VCH 03b, VCH 05), ya cargadas. VI 06 no</t>
        </is>
      </c>
    </row>
    <row r="32">
      <c r="A32" s="15" t="inlineStr"/>
      <c r="B32" s="16" t="inlineStr">
        <is>
          <t>aparece rotulada en esta lamina.</t>
        </is>
      </c>
    </row>
    <row r="33">
      <c r="A33" s="15" t="inlineStr"/>
      <c r="B33" s="16" t="inlineStr"/>
    </row>
    <row r="34">
      <c r="A34" s="13" t="inlineStr">
        <is>
          <t>OTROS ELEMENTOS</t>
        </is>
      </c>
      <c r="B34" s="14" t="inlineStr">
        <is>
          <t>El plano tambien rotula losas L01 a L10, espesores T01a a T13 (12 cm en general),</t>
        </is>
      </c>
    </row>
    <row r="35">
      <c r="A35" s="15" t="inlineStr"/>
      <c r="B35" s="16" t="inlineStr">
        <is>
          <t>columnas COL 01 a COL 07 y cabezales CBZ 01 (70x70x65), CBZ 02 (129x70x70) y</t>
        </is>
      </c>
    </row>
    <row r="36">
      <c r="A36" s="15" t="inlineStr"/>
      <c r="B36" s="16" t="inlineStr">
        <is>
          <t>CBZ 03 (144x70x70). No se cargaron aca por ser planilla de vigas.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2026-10-19T21:52:05Z</dcterms:created>
  <dcterms:modified xmlns:dcterms="http://purl.org/dc/terms/" xmlns:xsi="http://www.w3.org/2001/XMLSchema-instance" xsi:type="dcterms:W3CDTF">2026-10-19T21:52:05Z</dcterms:modified>
</cp:coreProperties>
</file>