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_FilterDatabase" localSheetId="1" hidden="1">'Vigas'!$A$3:$AJ$38</definedName>
    <definedName name="_xlnm.Print_Titles" localSheetId="1">'Vigas'!$1:$3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BFBFBF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/>
    </xf>
    <xf numFmtId="0" fontId="0" fillId="0" borderId="2" pivotButton="0" quotePrefix="0" xfId="0"/>
    <xf numFmtId="0" fontId="2" fillId="6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2" fontId="2" fillId="3" borderId="2" applyAlignment="1" pivotButton="0" quotePrefix="0" xfId="0">
      <alignment horizontal="center" vertical="center" wrapText="1"/>
    </xf>
    <xf numFmtId="1" fontId="2" fillId="3" borderId="2" applyAlignment="1" pivotButton="0" quotePrefix="0" xfId="0">
      <alignment horizontal="center" vertical="center" wrapText="1"/>
    </xf>
    <xf numFmtId="2" fontId="2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/>
    </xf>
    <xf numFmtId="0" fontId="2" fillId="7" borderId="2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16" customWidth="1" min="4" max="4"/>
    <col width="16" customWidth="1" min="5" max="5"/>
    <col width="34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Toda celda verde es editable: la planilla de vigas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unid.</t>
        </is>
      </c>
    </row>
    <row r="5">
      <c r="A5" s="5" t="inlineStr">
        <is>
          <t>Hormigon  f'c</t>
        </is>
      </c>
      <c r="B5" s="6" t="n">
        <v>21</v>
      </c>
      <c r="C5" s="7" t="inlineStr">
        <is>
          <t>MPa</t>
        </is>
      </c>
    </row>
    <row r="6">
      <c r="A6" s="5" t="inlineStr">
        <is>
          <t>Acero  fy</t>
        </is>
      </c>
      <c r="B6" s="6" t="n">
        <v>420</v>
      </c>
      <c r="C6" s="7" t="inlineStr">
        <is>
          <t>MPa</t>
        </is>
      </c>
    </row>
    <row r="7">
      <c r="A7" s="5" t="inlineStr">
        <is>
          <t>Peso especifico H.A.</t>
        </is>
      </c>
      <c r="B7" s="6" t="n">
        <v>25</v>
      </c>
      <c r="C7" s="7" t="inlineStr">
        <is>
          <t>kN/m3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Recubrimiento mecanico r</t>
        </is>
      </c>
      <c r="B10" s="6" t="n">
        <v>3</v>
      </c>
      <c r="C10" s="7" t="inlineStr">
        <is>
          <t>cm</t>
        </is>
      </c>
    </row>
    <row r="12">
      <c r="A12" s="3" t="inlineStr">
        <is>
          <t>PAQUETES DE CARGA</t>
        </is>
      </c>
      <c r="B12" s="8" t="inlineStr">
        <is>
          <t>g (kN/m2)</t>
        </is>
      </c>
      <c r="C12" s="8" t="inlineStr">
        <is>
          <t>q (kN/m2)</t>
        </is>
      </c>
      <c r="D12" s="8" t="inlineStr">
        <is>
          <t>h muro (m)</t>
        </is>
      </c>
      <c r="E12" s="8" t="inlineStr">
        <is>
          <t>B trib. (m)</t>
        </is>
      </c>
      <c r="F12" s="8" t="inlineStr">
        <is>
          <t>composicion</t>
        </is>
      </c>
    </row>
    <row r="13">
      <c r="A13" s="9" t="inlineStr">
        <is>
          <t>PA</t>
        </is>
      </c>
      <c r="B13" s="10" t="n">
        <v>5.4</v>
      </c>
      <c r="C13" s="10" t="n">
        <v>2</v>
      </c>
      <c r="D13" s="10" t="n">
        <v>2.6</v>
      </c>
      <c r="E13" s="10" t="n">
        <v>2</v>
      </c>
      <c r="F13" s="11" t="inlineStr">
        <is>
          <t>Losa 12cm 3,00 + contrapiso 1,28 + carpeta 0,42 + piso 0,50 + cielorraso 0,20</t>
        </is>
      </c>
    </row>
    <row r="14">
      <c r="A14" s="9" t="inlineStr">
        <is>
          <t>TECHO</t>
        </is>
      </c>
      <c r="B14" s="10" t="n">
        <v>5.5</v>
      </c>
      <c r="C14" s="10" t="n">
        <v>1</v>
      </c>
      <c r="D14" s="10" t="n">
        <v>1</v>
      </c>
      <c r="E14" s="10" t="n">
        <v>2</v>
      </c>
      <c r="F14" s="11" t="inlineStr">
        <is>
          <t>Losa 12cm 3,00 + contrapiso pend. 1,38 + carpeta 0,42 + aisl./membrana 0,50 + cielorraso 0,20</t>
        </is>
      </c>
    </row>
    <row r="15">
      <c r="A15" s="5" t="inlineStr">
        <is>
          <t>Mamposteria sobre viga  g_muro</t>
        </is>
      </c>
      <c r="B15" s="10" t="n">
        <v>2.5</v>
      </c>
      <c r="C15" s="7" t="inlineStr">
        <is>
          <t>kN/m2</t>
        </is>
      </c>
      <c r="F15" s="12" t="inlineStr">
        <is>
          <t>Ladrillo hueco 18 cm + revoque en ambas caras</t>
        </is>
      </c>
    </row>
    <row r="17">
      <c r="A17" s="3" t="inlineStr">
        <is>
          <t>COEFICIENTES SEGUN ESQUEMA</t>
        </is>
      </c>
      <c r="B17" s="8" t="inlineStr">
        <is>
          <t>aM tramo</t>
        </is>
      </c>
      <c r="C17" s="8" t="inlineStr">
        <is>
          <t>aM apoyo</t>
        </is>
      </c>
      <c r="D17" s="8" t="inlineStr">
        <is>
          <t>aV</t>
        </is>
      </c>
      <c r="E17" s="8" t="inlineStr">
        <is>
          <t>L/h min</t>
        </is>
      </c>
    </row>
    <row r="18">
      <c r="A18" s="5" t="inlineStr">
        <is>
          <t>Simplemente apoyada</t>
        </is>
      </c>
      <c r="B18" s="13" t="n">
        <v>0.125</v>
      </c>
      <c r="C18" s="13" t="n">
        <v>0</v>
      </c>
      <c r="D18" s="13" t="n">
        <v>0.5</v>
      </c>
      <c r="E18" s="14" t="n">
        <v>16</v>
      </c>
    </row>
    <row r="19">
      <c r="A19" s="5" t="inlineStr">
        <is>
          <t>Continua</t>
        </is>
      </c>
      <c r="B19" s="13" t="n">
        <v>0.07142999999999999</v>
      </c>
      <c r="C19" s="13" t="n">
        <v>0.1</v>
      </c>
      <c r="D19" s="13" t="n">
        <v>0.575</v>
      </c>
      <c r="E19" s="14" t="n">
        <v>21</v>
      </c>
    </row>
    <row r="20">
      <c r="A20" s="5" t="inlineStr">
        <is>
          <t>Empotrada-apoyada</t>
        </is>
      </c>
      <c r="B20" s="13" t="n">
        <v>0.07031</v>
      </c>
      <c r="C20" s="13" t="n">
        <v>0.125</v>
      </c>
      <c r="D20" s="13" t="n">
        <v>0.625</v>
      </c>
      <c r="E20" s="14" t="n">
        <v>18.5</v>
      </c>
    </row>
    <row r="21">
      <c r="A21" s="5" t="inlineStr">
        <is>
          <t>Biempotrada</t>
        </is>
      </c>
      <c r="B21" s="13" t="n">
        <v>0.04167</v>
      </c>
      <c r="C21" s="13" t="n">
        <v>0.08333</v>
      </c>
      <c r="D21" s="13" t="n">
        <v>0.5</v>
      </c>
      <c r="E21" s="14" t="n">
        <v>21</v>
      </c>
    </row>
    <row r="22">
      <c r="A22" s="5" t="inlineStr">
        <is>
          <t>Voladizo</t>
        </is>
      </c>
      <c r="B22" s="13" t="n">
        <v>0</v>
      </c>
      <c r="C22" s="13" t="n">
        <v>0.5</v>
      </c>
      <c r="D22" s="13" t="n">
        <v>1</v>
      </c>
      <c r="E22" s="14" t="n">
        <v>8</v>
      </c>
    </row>
    <row r="24">
      <c r="A24" s="15" t="inlineStr">
        <is>
          <t>Combinacion de cargas:  Pu = 1,2 g + 1,6 q   (CIRSOC 201, estado ultimo)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3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7" customWidth="1" min="3" max="3"/>
    <col width="6" customWidth="1" min="4" max="4"/>
    <col width="6" customWidth="1" min="5" max="5"/>
    <col width="7" customWidth="1" min="6" max="6"/>
    <col width="6" customWidth="1" min="7" max="7"/>
    <col width="7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9" customWidth="1" min="16" max="16"/>
    <col width="8" customWidth="1" min="17" max="17"/>
    <col width="8" customWidth="1" min="18" max="18"/>
    <col width="8" customWidth="1" min="19" max="19"/>
    <col width="5" customWidth="1" min="20" max="20"/>
    <col width="6" customWidth="1" min="21" max="21"/>
    <col width="8" customWidth="1" min="22" max="22"/>
    <col width="10" customWidth="1" min="23" max="23"/>
    <col width="8" customWidth="1" min="24" max="24"/>
    <col width="5" customWidth="1" min="25" max="25"/>
    <col width="6" customWidth="1" min="26" max="26"/>
    <col width="8" customWidth="1" min="27" max="27"/>
    <col width="10" customWidth="1" min="28" max="28"/>
    <col width="8" customWidth="1" min="29" max="29"/>
    <col width="6" customWidth="1" min="30" max="30"/>
    <col width="7" customWidth="1" min="31" max="31"/>
    <col width="8" customWidth="1" min="32" max="32"/>
    <col width="10" customWidth="1" min="33" max="33"/>
    <col width="8" customWidth="1" min="34" max="34"/>
    <col width="12" customWidth="1" min="35" max="35"/>
    <col width="40" customWidth="1" min="36" max="36"/>
  </cols>
  <sheetData>
    <row r="1" ht="24" customHeight="1">
      <c r="A1" s="16" t="inlineStr">
        <is>
          <t>CALCULO DE VIGAS DE HORMIGON ARMADO  -  CIRSOC 201  -  H-21 / ADN-420   |   Vivienda PE1, numeracion segun plano de estructura</t>
        </is>
      </c>
    </row>
    <row r="2" ht="16" customHeight="1">
      <c r="A2" s="17" t="inlineStr">
        <is>
          <t>Nivel</t>
        </is>
      </c>
      <c r="B2" s="17" t="inlineStr">
        <is>
          <t>Viga</t>
        </is>
      </c>
      <c r="C2" s="17" t="inlineStr">
        <is>
          <t>Esquema estructural</t>
        </is>
      </c>
      <c r="D2" s="18" t="inlineStr">
        <is>
          <t>GEOMETRIA</t>
        </is>
      </c>
      <c r="I2" s="18" t="inlineStr">
        <is>
          <t>AREA DE INFLUENCIA</t>
        </is>
      </c>
      <c r="K2" s="18" t="inlineStr">
        <is>
          <t>CARGAS</t>
        </is>
      </c>
      <c r="N2" s="18" t="inlineStr">
        <is>
          <t>SOLICITACIONES</t>
        </is>
      </c>
      <c r="Q2" s="18" t="inlineStr">
        <is>
          <t>FLEXION</t>
        </is>
      </c>
      <c r="S2" s="18" t="inlineStr">
        <is>
          <t>ARM. INFERIOR</t>
        </is>
      </c>
      <c r="X2" s="18" t="inlineStr">
        <is>
          <t>ARM. SUPERIOR</t>
        </is>
      </c>
      <c r="AC2" s="18" t="inlineStr">
        <is>
          <t>CORTE</t>
        </is>
      </c>
      <c r="AH2" s="18" t="inlineStr">
        <is>
          <t>FLECHA</t>
        </is>
      </c>
      <c r="AJ2" s="17" t="inlineStr">
        <is>
          <t>Observaciones</t>
        </is>
      </c>
    </row>
    <row r="3" ht="32" customHeight="1">
      <c r="D3" s="19" t="inlineStr">
        <is>
          <t>b
(cm)</t>
        </is>
      </c>
      <c r="E3" s="19" t="inlineStr">
        <is>
          <t>h
(cm)</t>
        </is>
      </c>
      <c r="F3" s="19" t="inlineStr">
        <is>
          <t>L
(m)</t>
        </is>
      </c>
      <c r="G3" s="19" t="inlineStr">
        <is>
          <t>r
(cm)</t>
        </is>
      </c>
      <c r="H3" s="19" t="inlineStr">
        <is>
          <t>d
(cm)</t>
        </is>
      </c>
      <c r="I3" s="19" t="inlineStr">
        <is>
          <t>B trib.
(m)</t>
        </is>
      </c>
      <c r="J3" s="19" t="inlineStr">
        <is>
          <t>h muro
(m)</t>
        </is>
      </c>
      <c r="K3" s="19" t="inlineStr">
        <is>
          <t>g
(kN/m)</t>
        </is>
      </c>
      <c r="L3" s="19" t="inlineStr">
        <is>
          <t>q
(kN/m)</t>
        </is>
      </c>
      <c r="M3" s="19" t="inlineStr">
        <is>
          <t>Pu
(kN/m)</t>
        </is>
      </c>
      <c r="N3" s="19" t="inlineStr">
        <is>
          <t>Mu tramo
(kNm)</t>
        </is>
      </c>
      <c r="O3" s="19" t="inlineStr">
        <is>
          <t>Mu apoyo
(kNm)</t>
        </is>
      </c>
      <c r="P3" s="19" t="inlineStr">
        <is>
          <t>Vu
(kN)</t>
        </is>
      </c>
      <c r="Q3" s="19" t="inlineStr">
        <is>
          <t>As min
(cm2)</t>
        </is>
      </c>
      <c r="R3" s="19" t="inlineStr">
        <is>
          <t>As max
(cm2)</t>
        </is>
      </c>
      <c r="S3" s="19" t="inlineStr">
        <is>
          <t>As req
(cm2)</t>
        </is>
      </c>
      <c r="T3" s="19" t="inlineStr">
        <is>
          <t>n</t>
        </is>
      </c>
      <c r="U3" s="19" t="inlineStr">
        <is>
          <t>D
(mm)</t>
        </is>
      </c>
      <c r="V3" s="19" t="inlineStr">
        <is>
          <t>As prov
(cm2)</t>
        </is>
      </c>
      <c r="W3" s="19" t="inlineStr">
        <is>
          <t>Verif.</t>
        </is>
      </c>
      <c r="X3" s="19" t="inlineStr">
        <is>
          <t>As req
(cm2)</t>
        </is>
      </c>
      <c r="Y3" s="19" t="inlineStr">
        <is>
          <t>n</t>
        </is>
      </c>
      <c r="Z3" s="19" t="inlineStr">
        <is>
          <t>D
(mm)</t>
        </is>
      </c>
      <c r="AA3" s="19" t="inlineStr">
        <is>
          <t>As prov
(cm2)</t>
        </is>
      </c>
      <c r="AB3" s="19" t="inlineStr">
        <is>
          <t>Verif.</t>
        </is>
      </c>
      <c r="AC3" s="19" t="inlineStr">
        <is>
          <t>fiVc
(kN)</t>
        </is>
      </c>
      <c r="AD3" s="19" t="inlineStr">
        <is>
          <t>D est
(mm)</t>
        </is>
      </c>
      <c r="AE3" s="19" t="inlineStr">
        <is>
          <t>sep.
(cm)</t>
        </is>
      </c>
      <c r="AF3" s="19" t="inlineStr">
        <is>
          <t>fiVn
(kN)</t>
        </is>
      </c>
      <c r="AG3" s="19" t="inlineStr">
        <is>
          <t>Verif.</t>
        </is>
      </c>
      <c r="AH3" s="19" t="inlineStr">
        <is>
          <t>h min
(cm)</t>
        </is>
      </c>
      <c r="AI3" s="19" t="inlineStr">
        <is>
          <t>Verif.</t>
        </is>
      </c>
    </row>
    <row r="4">
      <c r="A4" s="20" t="inlineStr">
        <is>
          <t>LOSA SOBRE PB - ENTREPISO PA   (N.F.L +3,50 / N.S.V +4,20)</t>
        </is>
      </c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</row>
    <row r="5" ht="17" customHeight="1">
      <c r="A5" s="22" t="inlineStr">
        <is>
          <t>PA</t>
        </is>
      </c>
      <c r="B5" s="23" t="inlineStr">
        <is>
          <t>VI 01a</t>
        </is>
      </c>
      <c r="C5" s="24" t="inlineStr">
        <is>
          <t>Continua</t>
        </is>
      </c>
      <c r="D5" s="24" t="n">
        <v>15</v>
      </c>
      <c r="E5" s="24" t="n">
        <v>70</v>
      </c>
      <c r="F5" s="25" t="n">
        <v>9.9</v>
      </c>
      <c r="G5" s="26" t="n">
        <v>6</v>
      </c>
      <c r="H5" s="27">
        <f>E5-G5</f>
        <v/>
      </c>
      <c r="I5" s="24" t="n">
        <v>2</v>
      </c>
      <c r="J5" s="24" t="n">
        <v>2.6</v>
      </c>
      <c r="K5" s="27">
        <f>VLOOKUP($A5,Datos!$A$13:$E$14,2,0)*I5+Datos!$B$7*D5*E5/10000+Datos!$B$15*J5</f>
        <v/>
      </c>
      <c r="L5" s="27">
        <f>VLOOKUP($A5,Datos!$A$13:$E$14,3,0)*I5</f>
        <v/>
      </c>
      <c r="M5" s="27">
        <f>1.2*K5+1.6*L5</f>
        <v/>
      </c>
      <c r="N5" s="27">
        <f>VLOOKUP($C5,Datos!$A$18:$E$22,2,0)*M5*F5^2</f>
        <v/>
      </c>
      <c r="O5" s="27">
        <f>VLOOKUP($C5,Datos!$A$18:$E$22,3,0)*M5*F5^2</f>
        <v/>
      </c>
      <c r="P5" s="27">
        <f>VLOOKUP($C5,Datos!$A$18:$E$22,4,0)*M5*F5</f>
        <v/>
      </c>
      <c r="Q5" s="27">
        <f>0.0033*D5*H5</f>
        <v/>
      </c>
      <c r="R5" s="27">
        <f>0.0163*D5*H5</f>
        <v/>
      </c>
      <c r="S5" s="27">
        <f>IF(N5&lt;=0,0,IF(N5*10^6/(Datos!$B$8*D5*10*(H5*10)^2*Datos!$B$5)&gt;=0.5,"REVISAR",(1-SQRT(1-2*N5*10^6/(Datos!$B$8*D5*10*(H5*10)^2*Datos!$B$5)))*D5*10*H5*10*Datos!$B$5/Datos!$B$6/100))</f>
        <v/>
      </c>
      <c r="T5" s="24" t="n">
        <v>2</v>
      </c>
      <c r="U5" s="24" t="n">
        <v>25</v>
      </c>
      <c r="V5" s="27">
        <f>T5*PI()*U5^2/400</f>
        <v/>
      </c>
      <c r="W5" s="22">
        <f>IF(OR(S5="REVISAR",V5=0),"REVISAR",IF(V5&gt;R5,"EXCEDE As max",IF(V5&gt;=MAX(S5,Q5),"CUMPLE","NO CUMPLE")))</f>
        <v/>
      </c>
      <c r="X5" s="27">
        <f>IF(O5&lt;=0,0,IF(O5*10^6/(Datos!$B$8*D5*10*(H5*10)^2*Datos!$B$5)&gt;=0.5,"REVISAR",(1-SQRT(1-2*O5*10^6/(Datos!$B$8*D5*10*(H5*10)^2*Datos!$B$5)))*D5*10*H5*10*Datos!$B$5/Datos!$B$6/100))</f>
        <v/>
      </c>
      <c r="Y5" s="24" t="n">
        <v>3</v>
      </c>
      <c r="Z5" s="24" t="n">
        <v>25</v>
      </c>
      <c r="AA5" s="27">
        <f>Y5*PI()*Z5^2/400</f>
        <v/>
      </c>
      <c r="AB5" s="22">
        <f>IF(OR(X5="REVISAR",AA5=0),"REVISAR",IF(AA5&gt;R5,"EXCEDE As max",IF(AA5&gt;=MAX(X5,Q5),"CUMPLE","NO CUMPLE")))</f>
        <v/>
      </c>
      <c r="AC5" s="27">
        <f>Datos!$B$9*0.17*SQRT(Datos!$B$5)*D5*10*H5*10/1000</f>
        <v/>
      </c>
      <c r="AD5" s="24" t="n">
        <v>6</v>
      </c>
      <c r="AE5" s="26" t="n">
        <v>5</v>
      </c>
      <c r="AF5" s="27">
        <f>AC5+Datos!$B$9*(2*PI()*AD5^2/4)*Datos!$B$6*(H5*10)/(AE5*10)/1000</f>
        <v/>
      </c>
      <c r="AG5" s="22">
        <f>IF(P5&lt;=AF5,"CUMPLE","NO CUMPLE")</f>
        <v/>
      </c>
      <c r="AH5" s="27">
        <f>F5*100/VLOOKUP($C5,Datos!$A$18:$E$22,5,0)</f>
        <v/>
      </c>
      <c r="AI5" s="22">
        <f>IF(E5&gt;=AH5,"CUMPLE","VERIFICAR FLECHA")</f>
        <v/>
      </c>
      <c r="AJ5" s="28" t="inlineStr">
        <is>
          <t>Armadura en 2 capas: r = 6 cm.</t>
        </is>
      </c>
    </row>
    <row r="6" ht="17" customHeight="1">
      <c r="A6" s="22" t="inlineStr">
        <is>
          <t>PA</t>
        </is>
      </c>
      <c r="B6" s="23" t="inlineStr">
        <is>
          <t>VI 01b</t>
        </is>
      </c>
      <c r="C6" s="24" t="inlineStr">
        <is>
          <t>Continua</t>
        </is>
      </c>
      <c r="D6" s="24" t="n">
        <v>15</v>
      </c>
      <c r="E6" s="24" t="n">
        <v>70</v>
      </c>
      <c r="F6" s="25" t="n">
        <v>3.95</v>
      </c>
      <c r="G6" s="26" t="n">
        <v>3</v>
      </c>
      <c r="H6" s="27">
        <f>E6-G6</f>
        <v/>
      </c>
      <c r="I6" s="24" t="n">
        <v>2</v>
      </c>
      <c r="J6" s="24" t="n">
        <v>2.6</v>
      </c>
      <c r="K6" s="27">
        <f>VLOOKUP($A6,Datos!$A$13:$E$14,2,0)*I6+Datos!$B$7*D6*E6/10000+Datos!$B$15*J6</f>
        <v/>
      </c>
      <c r="L6" s="27">
        <f>VLOOKUP($A6,Datos!$A$13:$E$14,3,0)*I6</f>
        <v/>
      </c>
      <c r="M6" s="27">
        <f>1.2*K6+1.6*L6</f>
        <v/>
      </c>
      <c r="N6" s="27">
        <f>VLOOKUP($C6,Datos!$A$18:$E$22,2,0)*M6*F6^2</f>
        <v/>
      </c>
      <c r="O6" s="27">
        <f>VLOOKUP($C6,Datos!$A$18:$E$22,3,0)*M6*F6^2</f>
        <v/>
      </c>
      <c r="P6" s="27">
        <f>VLOOKUP($C6,Datos!$A$18:$E$22,4,0)*M6*F6</f>
        <v/>
      </c>
      <c r="Q6" s="27">
        <f>0.0033*D6*H6</f>
        <v/>
      </c>
      <c r="R6" s="27">
        <f>0.0163*D6*H6</f>
        <v/>
      </c>
      <c r="S6" s="27">
        <f>IF(N6&lt;=0,0,IF(N6*10^6/(Datos!$B$8*D6*10*(H6*10)^2*Datos!$B$5)&gt;=0.5,"REVISAR",(1-SQRT(1-2*N6*10^6/(Datos!$B$8*D6*10*(H6*10)^2*Datos!$B$5)))*D6*10*H6*10*Datos!$B$5/Datos!$B$6/100))</f>
        <v/>
      </c>
      <c r="T6" s="24" t="n">
        <v>3</v>
      </c>
      <c r="U6" s="24" t="n">
        <v>12</v>
      </c>
      <c r="V6" s="27">
        <f>T6*PI()*U6^2/400</f>
        <v/>
      </c>
      <c r="W6" s="22">
        <f>IF(OR(S6="REVISAR",V6=0),"REVISAR",IF(V6&gt;R6,"EXCEDE As max",IF(V6&gt;=MAX(S6,Q6),"CUMPLE","NO CUMPLE")))</f>
        <v/>
      </c>
      <c r="X6" s="27">
        <f>IF(O6&lt;=0,0,IF(O6*10^6/(Datos!$B$8*D6*10*(H6*10)^2*Datos!$B$5)&gt;=0.5,"REVISAR",(1-SQRT(1-2*O6*10^6/(Datos!$B$8*D6*10*(H6*10)^2*Datos!$B$5)))*D6*10*H6*10*Datos!$B$5/Datos!$B$6/100))</f>
        <v/>
      </c>
      <c r="Y6" s="24" t="n">
        <v>3</v>
      </c>
      <c r="Z6" s="24" t="n">
        <v>12</v>
      </c>
      <c r="AA6" s="27">
        <f>Y6*PI()*Z6^2/400</f>
        <v/>
      </c>
      <c r="AB6" s="22">
        <f>IF(OR(X6="REVISAR",AA6=0),"REVISAR",IF(AA6&gt;R6,"EXCEDE As max",IF(AA6&gt;=MAX(X6,Q6),"CUMPLE","NO CUMPLE")))</f>
        <v/>
      </c>
      <c r="AC6" s="27">
        <f>Datos!$B$9*0.17*SQRT(Datos!$B$5)*D6*10*H6*10/1000</f>
        <v/>
      </c>
      <c r="AD6" s="24" t="n">
        <v>6</v>
      </c>
      <c r="AE6" s="26" t="n">
        <v>30</v>
      </c>
      <c r="AF6" s="27">
        <f>AC6+Datos!$B$9*(2*PI()*AD6^2/4)*Datos!$B$6*(H6*10)/(AE6*10)/1000</f>
        <v/>
      </c>
      <c r="AG6" s="22">
        <f>IF(P6&lt;=AF6,"CUMPLE","NO CUMPLE")</f>
        <v/>
      </c>
      <c r="AH6" s="27">
        <f>F6*100/VLOOKUP($C6,Datos!$A$18:$E$22,5,0)</f>
        <v/>
      </c>
      <c r="AI6" s="22">
        <f>IF(E6&gt;=AH6,"CUMPLE","VERIFICAR FLECHA")</f>
        <v/>
      </c>
      <c r="AJ6" s="29" t="n"/>
    </row>
    <row r="7" ht="17" customHeight="1">
      <c r="A7" s="22" t="inlineStr">
        <is>
          <t>PA</t>
        </is>
      </c>
      <c r="B7" s="23" t="inlineStr">
        <is>
          <t>VI 02</t>
        </is>
      </c>
      <c r="C7" s="24" t="inlineStr">
        <is>
          <t>Continua</t>
        </is>
      </c>
      <c r="D7" s="24" t="n">
        <v>15</v>
      </c>
      <c r="E7" s="24" t="n">
        <v>60</v>
      </c>
      <c r="F7" s="25" t="n">
        <v>9.880000000000001</v>
      </c>
      <c r="G7" s="26" t="n">
        <v>6</v>
      </c>
      <c r="H7" s="27">
        <f>E7-G7</f>
        <v/>
      </c>
      <c r="I7" s="24" t="n">
        <v>2</v>
      </c>
      <c r="J7" s="24" t="n">
        <v>2.6</v>
      </c>
      <c r="K7" s="27">
        <f>VLOOKUP($A7,Datos!$A$13:$E$14,2,0)*I7+Datos!$B$7*D7*E7/10000+Datos!$B$15*J7</f>
        <v/>
      </c>
      <c r="L7" s="27">
        <f>VLOOKUP($A7,Datos!$A$13:$E$14,3,0)*I7</f>
        <v/>
      </c>
      <c r="M7" s="27">
        <f>1.2*K7+1.6*L7</f>
        <v/>
      </c>
      <c r="N7" s="27">
        <f>VLOOKUP($C7,Datos!$A$18:$E$22,2,0)*M7*F7^2</f>
        <v/>
      </c>
      <c r="O7" s="27">
        <f>VLOOKUP($C7,Datos!$A$18:$E$22,3,0)*M7*F7^2</f>
        <v/>
      </c>
      <c r="P7" s="27">
        <f>VLOOKUP($C7,Datos!$A$18:$E$22,4,0)*M7*F7</f>
        <v/>
      </c>
      <c r="Q7" s="27">
        <f>0.0033*D7*H7</f>
        <v/>
      </c>
      <c r="R7" s="27">
        <f>0.0163*D7*H7</f>
        <v/>
      </c>
      <c r="S7" s="27">
        <f>IF(N7&lt;=0,0,IF(N7*10^6/(Datos!$B$8*D7*10*(H7*10)^2*Datos!$B$5)&gt;=0.5,"REVISAR",(1-SQRT(1-2*N7*10^6/(Datos!$B$8*D7*10*(H7*10)^2*Datos!$B$5)))*D7*10*H7*10*Datos!$B$5/Datos!$B$6/100))</f>
        <v/>
      </c>
      <c r="T7" s="24" t="n">
        <v>4</v>
      </c>
      <c r="U7" s="24" t="n">
        <v>20</v>
      </c>
      <c r="V7" s="27">
        <f>T7*PI()*U7^2/400</f>
        <v/>
      </c>
      <c r="W7" s="22">
        <f>IF(OR(S7="REVISAR",V7=0),"REVISAR",IF(V7&gt;R7,"EXCEDE As max",IF(V7&gt;=MAX(S7,Q7),"CUMPLE","NO CUMPLE")))</f>
        <v/>
      </c>
      <c r="X7" s="27">
        <f>IF(O7&lt;=0,0,IF(O7*10^6/(Datos!$B$8*D7*10*(H7*10)^2*Datos!$B$5)&gt;=0.5,"REVISAR",(1-SQRT(1-2*O7*10^6/(Datos!$B$8*D7*10*(H7*10)^2*Datos!$B$5)))*D7*10*H7*10*Datos!$B$5/Datos!$B$6/100))</f>
        <v/>
      </c>
      <c r="Y7" s="24" t="n">
        <v>4</v>
      </c>
      <c r="Z7" s="24" t="n">
        <v>25</v>
      </c>
      <c r="AA7" s="27">
        <f>Y7*PI()*Z7^2/400</f>
        <v/>
      </c>
      <c r="AB7" s="22">
        <f>IF(OR(X7="REVISAR",AA7=0),"REVISAR",IF(AA7&gt;R7,"EXCEDE As max",IF(AA7&gt;=MAX(X7,Q7),"CUMPLE","NO CUMPLE")))</f>
        <v/>
      </c>
      <c r="AC7" s="27">
        <f>Datos!$B$9*0.17*SQRT(Datos!$B$5)*D7*10*H7*10/1000</f>
        <v/>
      </c>
      <c r="AD7" s="24" t="n">
        <v>6</v>
      </c>
      <c r="AE7" s="26" t="n">
        <v>5</v>
      </c>
      <c r="AF7" s="27">
        <f>AC7+Datos!$B$9*(2*PI()*AD7^2/4)*Datos!$B$6*(H7*10)/(AE7*10)/1000</f>
        <v/>
      </c>
      <c r="AG7" s="22">
        <f>IF(P7&lt;=AF7,"CUMPLE","NO CUMPLE")</f>
        <v/>
      </c>
      <c r="AH7" s="27">
        <f>F7*100/VLOOKUP($C7,Datos!$A$18:$E$22,5,0)</f>
        <v/>
      </c>
      <c r="AI7" s="22">
        <f>IF(E7&gt;=AH7,"CUMPLE","VERIFICAR FLECHA")</f>
        <v/>
      </c>
      <c r="AJ7" s="28" t="inlineStr">
        <is>
          <t>Armadura en 2 capas: r = 6 cm. NO VERIFICA a flexion como tramo unico de 9,88 m: requiere h=65 cm o apoyo intermedio. Verificar en el plano si hay columna intermedia.</t>
        </is>
      </c>
    </row>
    <row r="8" ht="17" customHeight="1">
      <c r="A8" s="22" t="inlineStr">
        <is>
          <t>PA</t>
        </is>
      </c>
      <c r="B8" s="23" t="inlineStr">
        <is>
          <t>VI 03c</t>
        </is>
      </c>
      <c r="C8" s="24" t="inlineStr">
        <is>
          <t>Continua</t>
        </is>
      </c>
      <c r="D8" s="24" t="n">
        <v>15</v>
      </c>
      <c r="E8" s="24" t="n">
        <v>70</v>
      </c>
      <c r="F8" s="25" t="n">
        <v>3.75</v>
      </c>
      <c r="G8" s="26" t="n">
        <v>3</v>
      </c>
      <c r="H8" s="27">
        <f>E8-G8</f>
        <v/>
      </c>
      <c r="I8" s="24" t="n">
        <v>2</v>
      </c>
      <c r="J8" s="24" t="n">
        <v>2.6</v>
      </c>
      <c r="K8" s="27">
        <f>VLOOKUP($A8,Datos!$A$13:$E$14,2,0)*I8+Datos!$B$7*D8*E8/10000+Datos!$B$15*J8</f>
        <v/>
      </c>
      <c r="L8" s="27">
        <f>VLOOKUP($A8,Datos!$A$13:$E$14,3,0)*I8</f>
        <v/>
      </c>
      <c r="M8" s="27">
        <f>1.2*K8+1.6*L8</f>
        <v/>
      </c>
      <c r="N8" s="27">
        <f>VLOOKUP($C8,Datos!$A$18:$E$22,2,0)*M8*F8^2</f>
        <v/>
      </c>
      <c r="O8" s="27">
        <f>VLOOKUP($C8,Datos!$A$18:$E$22,3,0)*M8*F8^2</f>
        <v/>
      </c>
      <c r="P8" s="27">
        <f>VLOOKUP($C8,Datos!$A$18:$E$22,4,0)*M8*F8</f>
        <v/>
      </c>
      <c r="Q8" s="27">
        <f>0.0033*D8*H8</f>
        <v/>
      </c>
      <c r="R8" s="27">
        <f>0.0163*D8*H8</f>
        <v/>
      </c>
      <c r="S8" s="27">
        <f>IF(N8&lt;=0,0,IF(N8*10^6/(Datos!$B$8*D8*10*(H8*10)^2*Datos!$B$5)&gt;=0.5,"REVISAR",(1-SQRT(1-2*N8*10^6/(Datos!$B$8*D8*10*(H8*10)^2*Datos!$B$5)))*D8*10*H8*10*Datos!$B$5/Datos!$B$6/100))</f>
        <v/>
      </c>
      <c r="T8" s="24" t="n">
        <v>3</v>
      </c>
      <c r="U8" s="24" t="n">
        <v>12</v>
      </c>
      <c r="V8" s="27">
        <f>T8*PI()*U8^2/400</f>
        <v/>
      </c>
      <c r="W8" s="22">
        <f>IF(OR(S8="REVISAR",V8=0),"REVISAR",IF(V8&gt;R8,"EXCEDE As max",IF(V8&gt;=MAX(S8,Q8),"CUMPLE","NO CUMPLE")))</f>
        <v/>
      </c>
      <c r="X8" s="27">
        <f>IF(O8&lt;=0,0,IF(O8*10^6/(Datos!$B$8*D8*10*(H8*10)^2*Datos!$B$5)&gt;=0.5,"REVISAR",(1-SQRT(1-2*O8*10^6/(Datos!$B$8*D8*10*(H8*10)^2*Datos!$B$5)))*D8*10*H8*10*Datos!$B$5/Datos!$B$6/100))</f>
        <v/>
      </c>
      <c r="Y8" s="24" t="n">
        <v>3</v>
      </c>
      <c r="Z8" s="24" t="n">
        <v>12</v>
      </c>
      <c r="AA8" s="27">
        <f>Y8*PI()*Z8^2/400</f>
        <v/>
      </c>
      <c r="AB8" s="22">
        <f>IF(OR(X8="REVISAR",AA8=0),"REVISAR",IF(AA8&gt;R8,"EXCEDE As max",IF(AA8&gt;=MAX(X8,Q8),"CUMPLE","NO CUMPLE")))</f>
        <v/>
      </c>
      <c r="AC8" s="27">
        <f>Datos!$B$9*0.17*SQRT(Datos!$B$5)*D8*10*H8*10/1000</f>
        <v/>
      </c>
      <c r="AD8" s="24" t="n">
        <v>6</v>
      </c>
      <c r="AE8" s="26" t="n">
        <v>30</v>
      </c>
      <c r="AF8" s="27">
        <f>AC8+Datos!$B$9*(2*PI()*AD8^2/4)*Datos!$B$6*(H8*10)/(AE8*10)/1000</f>
        <v/>
      </c>
      <c r="AG8" s="22">
        <f>IF(P8&lt;=AF8,"CUMPLE","NO CUMPLE")</f>
        <v/>
      </c>
      <c r="AH8" s="27">
        <f>F8*100/VLOOKUP($C8,Datos!$A$18:$E$22,5,0)</f>
        <v/>
      </c>
      <c r="AI8" s="22">
        <f>IF(E8&gt;=AH8,"CUMPLE","VERIFICAR FLECHA")</f>
        <v/>
      </c>
      <c r="AJ8" s="29" t="n"/>
    </row>
    <row r="9" ht="17" customHeight="1">
      <c r="A9" s="22" t="inlineStr">
        <is>
          <t>PA</t>
        </is>
      </c>
      <c r="B9" s="23" t="inlineStr">
        <is>
          <t>VI 04a</t>
        </is>
      </c>
      <c r="C9" s="24" t="inlineStr">
        <is>
          <t>Continua</t>
        </is>
      </c>
      <c r="D9" s="24" t="n">
        <v>15</v>
      </c>
      <c r="E9" s="24" t="n">
        <v>70</v>
      </c>
      <c r="F9" s="25" t="n">
        <v>3.75</v>
      </c>
      <c r="G9" s="26" t="n">
        <v>3</v>
      </c>
      <c r="H9" s="27">
        <f>E9-G9</f>
        <v/>
      </c>
      <c r="I9" s="24" t="n">
        <v>2</v>
      </c>
      <c r="J9" s="24" t="n">
        <v>2.6</v>
      </c>
      <c r="K9" s="27">
        <f>VLOOKUP($A9,Datos!$A$13:$E$14,2,0)*I9+Datos!$B$7*D9*E9/10000+Datos!$B$15*J9</f>
        <v/>
      </c>
      <c r="L9" s="27">
        <f>VLOOKUP($A9,Datos!$A$13:$E$14,3,0)*I9</f>
        <v/>
      </c>
      <c r="M9" s="27">
        <f>1.2*K9+1.6*L9</f>
        <v/>
      </c>
      <c r="N9" s="27">
        <f>VLOOKUP($C9,Datos!$A$18:$E$22,2,0)*M9*F9^2</f>
        <v/>
      </c>
      <c r="O9" s="27">
        <f>VLOOKUP($C9,Datos!$A$18:$E$22,3,0)*M9*F9^2</f>
        <v/>
      </c>
      <c r="P9" s="27">
        <f>VLOOKUP($C9,Datos!$A$18:$E$22,4,0)*M9*F9</f>
        <v/>
      </c>
      <c r="Q9" s="27">
        <f>0.0033*D9*H9</f>
        <v/>
      </c>
      <c r="R9" s="27">
        <f>0.0163*D9*H9</f>
        <v/>
      </c>
      <c r="S9" s="27">
        <f>IF(N9&lt;=0,0,IF(N9*10^6/(Datos!$B$8*D9*10*(H9*10)^2*Datos!$B$5)&gt;=0.5,"REVISAR",(1-SQRT(1-2*N9*10^6/(Datos!$B$8*D9*10*(H9*10)^2*Datos!$B$5)))*D9*10*H9*10*Datos!$B$5/Datos!$B$6/100))</f>
        <v/>
      </c>
      <c r="T9" s="24" t="n">
        <v>3</v>
      </c>
      <c r="U9" s="24" t="n">
        <v>12</v>
      </c>
      <c r="V9" s="27">
        <f>T9*PI()*U9^2/400</f>
        <v/>
      </c>
      <c r="W9" s="22">
        <f>IF(OR(S9="REVISAR",V9=0),"REVISAR",IF(V9&gt;R9,"EXCEDE As max",IF(V9&gt;=MAX(S9,Q9),"CUMPLE","NO CUMPLE")))</f>
        <v/>
      </c>
      <c r="X9" s="27">
        <f>IF(O9&lt;=0,0,IF(O9*10^6/(Datos!$B$8*D9*10*(H9*10)^2*Datos!$B$5)&gt;=0.5,"REVISAR",(1-SQRT(1-2*O9*10^6/(Datos!$B$8*D9*10*(H9*10)^2*Datos!$B$5)))*D9*10*H9*10*Datos!$B$5/Datos!$B$6/100))</f>
        <v/>
      </c>
      <c r="Y9" s="24" t="n">
        <v>3</v>
      </c>
      <c r="Z9" s="24" t="n">
        <v>12</v>
      </c>
      <c r="AA9" s="27">
        <f>Y9*PI()*Z9^2/400</f>
        <v/>
      </c>
      <c r="AB9" s="22">
        <f>IF(OR(X9="REVISAR",AA9=0),"REVISAR",IF(AA9&gt;R9,"EXCEDE As max",IF(AA9&gt;=MAX(X9,Q9),"CUMPLE","NO CUMPLE")))</f>
        <v/>
      </c>
      <c r="AC9" s="27">
        <f>Datos!$B$9*0.17*SQRT(Datos!$B$5)*D9*10*H9*10/1000</f>
        <v/>
      </c>
      <c r="AD9" s="24" t="n">
        <v>6</v>
      </c>
      <c r="AE9" s="26" t="n">
        <v>30</v>
      </c>
      <c r="AF9" s="27">
        <f>AC9+Datos!$B$9*(2*PI()*AD9^2/4)*Datos!$B$6*(H9*10)/(AE9*10)/1000</f>
        <v/>
      </c>
      <c r="AG9" s="22">
        <f>IF(P9&lt;=AF9,"CUMPLE","NO CUMPLE")</f>
        <v/>
      </c>
      <c r="AH9" s="27">
        <f>F9*100/VLOOKUP($C9,Datos!$A$18:$E$22,5,0)</f>
        <v/>
      </c>
      <c r="AI9" s="22">
        <f>IF(E9&gt;=AH9,"CUMPLE","VERIFICAR FLECHA")</f>
        <v/>
      </c>
      <c r="AJ9" s="29" t="n"/>
    </row>
    <row r="10" ht="17" customHeight="1">
      <c r="A10" s="22" t="inlineStr">
        <is>
          <t>PA</t>
        </is>
      </c>
      <c r="B10" s="23" t="inlineStr">
        <is>
          <t>VI 04b</t>
        </is>
      </c>
      <c r="C10" s="24" t="inlineStr">
        <is>
          <t>Continua</t>
        </is>
      </c>
      <c r="D10" s="24" t="n">
        <v>15</v>
      </c>
      <c r="E10" s="24" t="n">
        <v>70</v>
      </c>
      <c r="F10" s="25" t="n">
        <v>3.8</v>
      </c>
      <c r="G10" s="26" t="n">
        <v>3</v>
      </c>
      <c r="H10" s="27">
        <f>E10-G10</f>
        <v/>
      </c>
      <c r="I10" s="24" t="n">
        <v>2</v>
      </c>
      <c r="J10" s="24" t="n">
        <v>2.6</v>
      </c>
      <c r="K10" s="27">
        <f>VLOOKUP($A10,Datos!$A$13:$E$14,2,0)*I10+Datos!$B$7*D10*E10/10000+Datos!$B$15*J10</f>
        <v/>
      </c>
      <c r="L10" s="27">
        <f>VLOOKUP($A10,Datos!$A$13:$E$14,3,0)*I10</f>
        <v/>
      </c>
      <c r="M10" s="27">
        <f>1.2*K10+1.6*L10</f>
        <v/>
      </c>
      <c r="N10" s="27">
        <f>VLOOKUP($C10,Datos!$A$18:$E$22,2,0)*M10*F10^2</f>
        <v/>
      </c>
      <c r="O10" s="27">
        <f>VLOOKUP($C10,Datos!$A$18:$E$22,3,0)*M10*F10^2</f>
        <v/>
      </c>
      <c r="P10" s="27">
        <f>VLOOKUP($C10,Datos!$A$18:$E$22,4,0)*M10*F10</f>
        <v/>
      </c>
      <c r="Q10" s="27">
        <f>0.0033*D10*H10</f>
        <v/>
      </c>
      <c r="R10" s="27">
        <f>0.0163*D10*H10</f>
        <v/>
      </c>
      <c r="S10" s="27">
        <f>IF(N10&lt;=0,0,IF(N10*10^6/(Datos!$B$8*D10*10*(H10*10)^2*Datos!$B$5)&gt;=0.5,"REVISAR",(1-SQRT(1-2*N10*10^6/(Datos!$B$8*D10*10*(H10*10)^2*Datos!$B$5)))*D10*10*H10*10*Datos!$B$5/Datos!$B$6/100))</f>
        <v/>
      </c>
      <c r="T10" s="24" t="n">
        <v>3</v>
      </c>
      <c r="U10" s="24" t="n">
        <v>12</v>
      </c>
      <c r="V10" s="27">
        <f>T10*PI()*U10^2/400</f>
        <v/>
      </c>
      <c r="W10" s="22">
        <f>IF(OR(S10="REVISAR",V10=0),"REVISAR",IF(V10&gt;R10,"EXCEDE As max",IF(V10&gt;=MAX(S10,Q10),"CUMPLE","NO CUMPLE")))</f>
        <v/>
      </c>
      <c r="X10" s="27">
        <f>IF(O10&lt;=0,0,IF(O10*10^6/(Datos!$B$8*D10*10*(H10*10)^2*Datos!$B$5)&gt;=0.5,"REVISAR",(1-SQRT(1-2*O10*10^6/(Datos!$B$8*D10*10*(H10*10)^2*Datos!$B$5)))*D10*10*H10*10*Datos!$B$5/Datos!$B$6/100))</f>
        <v/>
      </c>
      <c r="Y10" s="24" t="n">
        <v>3</v>
      </c>
      <c r="Z10" s="24" t="n">
        <v>12</v>
      </c>
      <c r="AA10" s="27">
        <f>Y10*PI()*Z10^2/400</f>
        <v/>
      </c>
      <c r="AB10" s="22">
        <f>IF(OR(X10="REVISAR",AA10=0),"REVISAR",IF(AA10&gt;R10,"EXCEDE As max",IF(AA10&gt;=MAX(X10,Q10),"CUMPLE","NO CUMPLE")))</f>
        <v/>
      </c>
      <c r="AC10" s="27">
        <f>Datos!$B$9*0.17*SQRT(Datos!$B$5)*D10*10*H10*10/1000</f>
        <v/>
      </c>
      <c r="AD10" s="24" t="n">
        <v>6</v>
      </c>
      <c r="AE10" s="26" t="n">
        <v>30</v>
      </c>
      <c r="AF10" s="27">
        <f>AC10+Datos!$B$9*(2*PI()*AD10^2/4)*Datos!$B$6*(H10*10)/(AE10*10)/1000</f>
        <v/>
      </c>
      <c r="AG10" s="22">
        <f>IF(P10&lt;=AF10,"CUMPLE","NO CUMPLE")</f>
        <v/>
      </c>
      <c r="AH10" s="27">
        <f>F10*100/VLOOKUP($C10,Datos!$A$18:$E$22,5,0)</f>
        <v/>
      </c>
      <c r="AI10" s="22">
        <f>IF(E10&gt;=AH10,"CUMPLE","VERIFICAR FLECHA")</f>
        <v/>
      </c>
      <c r="AJ10" s="29" t="n"/>
    </row>
    <row r="11" ht="17" customHeight="1">
      <c r="A11" s="22" t="inlineStr">
        <is>
          <t>PA</t>
        </is>
      </c>
      <c r="B11" s="23" t="inlineStr">
        <is>
          <t>VI 07a</t>
        </is>
      </c>
      <c r="C11" s="24" t="inlineStr">
        <is>
          <t>Continua</t>
        </is>
      </c>
      <c r="D11" s="24" t="n">
        <v>15</v>
      </c>
      <c r="E11" s="24" t="n">
        <v>70</v>
      </c>
      <c r="F11" s="25" t="n">
        <v>3.37</v>
      </c>
      <c r="G11" s="26" t="n">
        <v>3</v>
      </c>
      <c r="H11" s="27">
        <f>E11-G11</f>
        <v/>
      </c>
      <c r="I11" s="24" t="n">
        <v>2</v>
      </c>
      <c r="J11" s="24" t="n">
        <v>2.6</v>
      </c>
      <c r="K11" s="27">
        <f>VLOOKUP($A11,Datos!$A$13:$E$14,2,0)*I11+Datos!$B$7*D11*E11/10000+Datos!$B$15*J11</f>
        <v/>
      </c>
      <c r="L11" s="27">
        <f>VLOOKUP($A11,Datos!$A$13:$E$14,3,0)*I11</f>
        <v/>
      </c>
      <c r="M11" s="27">
        <f>1.2*K11+1.6*L11</f>
        <v/>
      </c>
      <c r="N11" s="27">
        <f>VLOOKUP($C11,Datos!$A$18:$E$22,2,0)*M11*F11^2</f>
        <v/>
      </c>
      <c r="O11" s="27">
        <f>VLOOKUP($C11,Datos!$A$18:$E$22,3,0)*M11*F11^2</f>
        <v/>
      </c>
      <c r="P11" s="27">
        <f>VLOOKUP($C11,Datos!$A$18:$E$22,4,0)*M11*F11</f>
        <v/>
      </c>
      <c r="Q11" s="27">
        <f>0.0033*D11*H11</f>
        <v/>
      </c>
      <c r="R11" s="27">
        <f>0.0163*D11*H11</f>
        <v/>
      </c>
      <c r="S11" s="27">
        <f>IF(N11&lt;=0,0,IF(N11*10^6/(Datos!$B$8*D11*10*(H11*10)^2*Datos!$B$5)&gt;=0.5,"REVISAR",(1-SQRT(1-2*N11*10^6/(Datos!$B$8*D11*10*(H11*10)^2*Datos!$B$5)))*D11*10*H11*10*Datos!$B$5/Datos!$B$6/100))</f>
        <v/>
      </c>
      <c r="T11" s="24" t="n">
        <v>3</v>
      </c>
      <c r="U11" s="24" t="n">
        <v>12</v>
      </c>
      <c r="V11" s="27">
        <f>T11*PI()*U11^2/400</f>
        <v/>
      </c>
      <c r="W11" s="22">
        <f>IF(OR(S11="REVISAR",V11=0),"REVISAR",IF(V11&gt;R11,"EXCEDE As max",IF(V11&gt;=MAX(S11,Q11),"CUMPLE","NO CUMPLE")))</f>
        <v/>
      </c>
      <c r="X11" s="27">
        <f>IF(O11&lt;=0,0,IF(O11*10^6/(Datos!$B$8*D11*10*(H11*10)^2*Datos!$B$5)&gt;=0.5,"REVISAR",(1-SQRT(1-2*O11*10^6/(Datos!$B$8*D11*10*(H11*10)^2*Datos!$B$5)))*D11*10*H11*10*Datos!$B$5/Datos!$B$6/100))</f>
        <v/>
      </c>
      <c r="Y11" s="24" t="n">
        <v>3</v>
      </c>
      <c r="Z11" s="24" t="n">
        <v>12</v>
      </c>
      <c r="AA11" s="27">
        <f>Y11*PI()*Z11^2/400</f>
        <v/>
      </c>
      <c r="AB11" s="22">
        <f>IF(OR(X11="REVISAR",AA11=0),"REVISAR",IF(AA11&gt;R11,"EXCEDE As max",IF(AA11&gt;=MAX(X11,Q11),"CUMPLE","NO CUMPLE")))</f>
        <v/>
      </c>
      <c r="AC11" s="27">
        <f>Datos!$B$9*0.17*SQRT(Datos!$B$5)*D11*10*H11*10/1000</f>
        <v/>
      </c>
      <c r="AD11" s="24" t="n">
        <v>6</v>
      </c>
      <c r="AE11" s="26" t="n">
        <v>30</v>
      </c>
      <c r="AF11" s="27">
        <f>AC11+Datos!$B$9*(2*PI()*AD11^2/4)*Datos!$B$6*(H11*10)/(AE11*10)/1000</f>
        <v/>
      </c>
      <c r="AG11" s="22">
        <f>IF(P11&lt;=AF11,"CUMPLE","NO CUMPLE")</f>
        <v/>
      </c>
      <c r="AH11" s="27">
        <f>F11*100/VLOOKUP($C11,Datos!$A$18:$E$22,5,0)</f>
        <v/>
      </c>
      <c r="AI11" s="22">
        <f>IF(E11&gt;=AH11,"CUMPLE","VERIFICAR FLECHA")</f>
        <v/>
      </c>
      <c r="AJ11" s="29" t="n"/>
    </row>
    <row r="12" ht="17" customHeight="1">
      <c r="A12" s="22" t="inlineStr">
        <is>
          <t>PA</t>
        </is>
      </c>
      <c r="B12" s="23" t="inlineStr">
        <is>
          <t>VI 07b</t>
        </is>
      </c>
      <c r="C12" s="24" t="inlineStr">
        <is>
          <t>Continua</t>
        </is>
      </c>
      <c r="D12" s="24" t="n">
        <v>15</v>
      </c>
      <c r="E12" s="24" t="n">
        <v>70</v>
      </c>
      <c r="F12" s="25" t="n">
        <v>4.03</v>
      </c>
      <c r="G12" s="26" t="n">
        <v>3</v>
      </c>
      <c r="H12" s="27">
        <f>E12-G12</f>
        <v/>
      </c>
      <c r="I12" s="24" t="n">
        <v>2</v>
      </c>
      <c r="J12" s="24" t="n">
        <v>2.6</v>
      </c>
      <c r="K12" s="27">
        <f>VLOOKUP($A12,Datos!$A$13:$E$14,2,0)*I12+Datos!$B$7*D12*E12/10000+Datos!$B$15*J12</f>
        <v/>
      </c>
      <c r="L12" s="27">
        <f>VLOOKUP($A12,Datos!$A$13:$E$14,3,0)*I12</f>
        <v/>
      </c>
      <c r="M12" s="27">
        <f>1.2*K12+1.6*L12</f>
        <v/>
      </c>
      <c r="N12" s="27">
        <f>VLOOKUP($C12,Datos!$A$18:$E$22,2,0)*M12*F12^2</f>
        <v/>
      </c>
      <c r="O12" s="27">
        <f>VLOOKUP($C12,Datos!$A$18:$E$22,3,0)*M12*F12^2</f>
        <v/>
      </c>
      <c r="P12" s="27">
        <f>VLOOKUP($C12,Datos!$A$18:$E$22,4,0)*M12*F12</f>
        <v/>
      </c>
      <c r="Q12" s="27">
        <f>0.0033*D12*H12</f>
        <v/>
      </c>
      <c r="R12" s="27">
        <f>0.0163*D12*H12</f>
        <v/>
      </c>
      <c r="S12" s="27">
        <f>IF(N12&lt;=0,0,IF(N12*10^6/(Datos!$B$8*D12*10*(H12*10)^2*Datos!$B$5)&gt;=0.5,"REVISAR",(1-SQRT(1-2*N12*10^6/(Datos!$B$8*D12*10*(H12*10)^2*Datos!$B$5)))*D12*10*H12*10*Datos!$B$5/Datos!$B$6/100))</f>
        <v/>
      </c>
      <c r="T12" s="24" t="n">
        <v>3</v>
      </c>
      <c r="U12" s="24" t="n">
        <v>12</v>
      </c>
      <c r="V12" s="27">
        <f>T12*PI()*U12^2/400</f>
        <v/>
      </c>
      <c r="W12" s="22">
        <f>IF(OR(S12="REVISAR",V12=0),"REVISAR",IF(V12&gt;R12,"EXCEDE As max",IF(V12&gt;=MAX(S12,Q12),"CUMPLE","NO CUMPLE")))</f>
        <v/>
      </c>
      <c r="X12" s="27">
        <f>IF(O12&lt;=0,0,IF(O12*10^6/(Datos!$B$8*D12*10*(H12*10)^2*Datos!$B$5)&gt;=0.5,"REVISAR",(1-SQRT(1-2*O12*10^6/(Datos!$B$8*D12*10*(H12*10)^2*Datos!$B$5)))*D12*10*H12*10*Datos!$B$5/Datos!$B$6/100))</f>
        <v/>
      </c>
      <c r="Y12" s="24" t="n">
        <v>3</v>
      </c>
      <c r="Z12" s="24" t="n">
        <v>12</v>
      </c>
      <c r="AA12" s="27">
        <f>Y12*PI()*Z12^2/400</f>
        <v/>
      </c>
      <c r="AB12" s="22">
        <f>IF(OR(X12="REVISAR",AA12=0),"REVISAR",IF(AA12&gt;R12,"EXCEDE As max",IF(AA12&gt;=MAX(X12,Q12),"CUMPLE","NO CUMPLE")))</f>
        <v/>
      </c>
      <c r="AC12" s="27">
        <f>Datos!$B$9*0.17*SQRT(Datos!$B$5)*D12*10*H12*10/1000</f>
        <v/>
      </c>
      <c r="AD12" s="24" t="n">
        <v>6</v>
      </c>
      <c r="AE12" s="26" t="n">
        <v>30</v>
      </c>
      <c r="AF12" s="27">
        <f>AC12+Datos!$B$9*(2*PI()*AD12^2/4)*Datos!$B$6*(H12*10)/(AE12*10)/1000</f>
        <v/>
      </c>
      <c r="AG12" s="22">
        <f>IF(P12&lt;=AF12,"CUMPLE","NO CUMPLE")</f>
        <v/>
      </c>
      <c r="AH12" s="27">
        <f>F12*100/VLOOKUP($C12,Datos!$A$18:$E$22,5,0)</f>
        <v/>
      </c>
      <c r="AI12" s="22">
        <f>IF(E12&gt;=AH12,"CUMPLE","VERIFICAR FLECHA")</f>
        <v/>
      </c>
      <c r="AJ12" s="29" t="n"/>
    </row>
    <row r="13" ht="17" customHeight="1">
      <c r="A13" s="22" t="inlineStr">
        <is>
          <t>PA</t>
        </is>
      </c>
      <c r="B13" s="23" t="inlineStr">
        <is>
          <t>VI 07c</t>
        </is>
      </c>
      <c r="C13" s="24" t="inlineStr">
        <is>
          <t>Continua</t>
        </is>
      </c>
      <c r="D13" s="24" t="n">
        <v>15</v>
      </c>
      <c r="E13" s="24" t="n">
        <v>70</v>
      </c>
      <c r="F13" s="25" t="n">
        <v>8.6</v>
      </c>
      <c r="G13" s="26" t="n">
        <v>3</v>
      </c>
      <c r="H13" s="27">
        <f>E13-G13</f>
        <v/>
      </c>
      <c r="I13" s="24" t="n">
        <v>2</v>
      </c>
      <c r="J13" s="24" t="n">
        <v>2.6</v>
      </c>
      <c r="K13" s="27">
        <f>VLOOKUP($A13,Datos!$A$13:$E$14,2,0)*I13+Datos!$B$7*D13*E13/10000+Datos!$B$15*J13</f>
        <v/>
      </c>
      <c r="L13" s="27">
        <f>VLOOKUP($A13,Datos!$A$13:$E$14,3,0)*I13</f>
        <v/>
      </c>
      <c r="M13" s="27">
        <f>1.2*K13+1.6*L13</f>
        <v/>
      </c>
      <c r="N13" s="27">
        <f>VLOOKUP($C13,Datos!$A$18:$E$22,2,0)*M13*F13^2</f>
        <v/>
      </c>
      <c r="O13" s="27">
        <f>VLOOKUP($C13,Datos!$A$18:$E$22,3,0)*M13*F13^2</f>
        <v/>
      </c>
      <c r="P13" s="27">
        <f>VLOOKUP($C13,Datos!$A$18:$E$22,4,0)*M13*F13</f>
        <v/>
      </c>
      <c r="Q13" s="27">
        <f>0.0033*D13*H13</f>
        <v/>
      </c>
      <c r="R13" s="27">
        <f>0.0163*D13*H13</f>
        <v/>
      </c>
      <c r="S13" s="27">
        <f>IF(N13&lt;=0,0,IF(N13*10^6/(Datos!$B$8*D13*10*(H13*10)^2*Datos!$B$5)&gt;=0.5,"REVISAR",(1-SQRT(1-2*N13*10^6/(Datos!$B$8*D13*10*(H13*10)^2*Datos!$B$5)))*D13*10*H13*10*Datos!$B$5/Datos!$B$6/100))</f>
        <v/>
      </c>
      <c r="T13" s="24" t="n">
        <v>2</v>
      </c>
      <c r="U13" s="24" t="n">
        <v>25</v>
      </c>
      <c r="V13" s="27">
        <f>T13*PI()*U13^2/400</f>
        <v/>
      </c>
      <c r="W13" s="22">
        <f>IF(OR(S13="REVISAR",V13=0),"REVISAR",IF(V13&gt;R13,"EXCEDE As max",IF(V13&gt;=MAX(S13,Q13),"CUMPLE","NO CUMPLE")))</f>
        <v/>
      </c>
      <c r="X13" s="27">
        <f>IF(O13&lt;=0,0,IF(O13*10^6/(Datos!$B$8*D13*10*(H13*10)^2*Datos!$B$5)&gt;=0.5,"REVISAR",(1-SQRT(1-2*O13*10^6/(Datos!$B$8*D13*10*(H13*10)^2*Datos!$B$5)))*D13*10*H13*10*Datos!$B$5/Datos!$B$6/100))</f>
        <v/>
      </c>
      <c r="Y13" s="24" t="n">
        <v>2</v>
      </c>
      <c r="Z13" s="24" t="n">
        <v>25</v>
      </c>
      <c r="AA13" s="27">
        <f>Y13*PI()*Z13^2/400</f>
        <v/>
      </c>
      <c r="AB13" s="22">
        <f>IF(OR(X13="REVISAR",AA13=0),"REVISAR",IF(AA13&gt;R13,"EXCEDE As max",IF(AA13&gt;=MAX(X13,Q13),"CUMPLE","NO CUMPLE")))</f>
        <v/>
      </c>
      <c r="AC13" s="27">
        <f>Datos!$B$9*0.17*SQRT(Datos!$B$5)*D13*10*H13*10/1000</f>
        <v/>
      </c>
      <c r="AD13" s="24" t="n">
        <v>6</v>
      </c>
      <c r="AE13" s="26" t="n">
        <v>10</v>
      </c>
      <c r="AF13" s="27">
        <f>AC13+Datos!$B$9*(2*PI()*AD13^2/4)*Datos!$B$6*(H13*10)/(AE13*10)/1000</f>
        <v/>
      </c>
      <c r="AG13" s="22">
        <f>IF(P13&lt;=AF13,"CUMPLE","NO CUMPLE")</f>
        <v/>
      </c>
      <c r="AH13" s="27">
        <f>F13*100/VLOOKUP($C13,Datos!$A$18:$E$22,5,0)</f>
        <v/>
      </c>
      <c r="AI13" s="22">
        <f>IF(E13&gt;=AH13,"CUMPLE","VERIFICAR FLECHA")</f>
        <v/>
      </c>
      <c r="AJ13" s="29" t="n"/>
    </row>
    <row r="14" ht="17" customHeight="1">
      <c r="A14" s="22" t="inlineStr">
        <is>
          <t>PA</t>
        </is>
      </c>
      <c r="B14" s="23" t="inlineStr">
        <is>
          <t>VI 08a</t>
        </is>
      </c>
      <c r="C14" s="24" t="inlineStr">
        <is>
          <t>Continua</t>
        </is>
      </c>
      <c r="D14" s="24" t="n">
        <v>15</v>
      </c>
      <c r="E14" s="24" t="n">
        <v>70</v>
      </c>
      <c r="F14" s="25" t="n">
        <v>3.65</v>
      </c>
      <c r="G14" s="26" t="n">
        <v>3</v>
      </c>
      <c r="H14" s="27">
        <f>E14-G14</f>
        <v/>
      </c>
      <c r="I14" s="24" t="n">
        <v>2</v>
      </c>
      <c r="J14" s="24" t="n">
        <v>2.6</v>
      </c>
      <c r="K14" s="27">
        <f>VLOOKUP($A14,Datos!$A$13:$E$14,2,0)*I14+Datos!$B$7*D14*E14/10000+Datos!$B$15*J14</f>
        <v/>
      </c>
      <c r="L14" s="27">
        <f>VLOOKUP($A14,Datos!$A$13:$E$14,3,0)*I14</f>
        <v/>
      </c>
      <c r="M14" s="27">
        <f>1.2*K14+1.6*L14</f>
        <v/>
      </c>
      <c r="N14" s="27">
        <f>VLOOKUP($C14,Datos!$A$18:$E$22,2,0)*M14*F14^2</f>
        <v/>
      </c>
      <c r="O14" s="27">
        <f>VLOOKUP($C14,Datos!$A$18:$E$22,3,0)*M14*F14^2</f>
        <v/>
      </c>
      <c r="P14" s="27">
        <f>VLOOKUP($C14,Datos!$A$18:$E$22,4,0)*M14*F14</f>
        <v/>
      </c>
      <c r="Q14" s="27">
        <f>0.0033*D14*H14</f>
        <v/>
      </c>
      <c r="R14" s="27">
        <f>0.0163*D14*H14</f>
        <v/>
      </c>
      <c r="S14" s="27">
        <f>IF(N14&lt;=0,0,IF(N14*10^6/(Datos!$B$8*D14*10*(H14*10)^2*Datos!$B$5)&gt;=0.5,"REVISAR",(1-SQRT(1-2*N14*10^6/(Datos!$B$8*D14*10*(H14*10)^2*Datos!$B$5)))*D14*10*H14*10*Datos!$B$5/Datos!$B$6/100))</f>
        <v/>
      </c>
      <c r="T14" s="24" t="n">
        <v>3</v>
      </c>
      <c r="U14" s="24" t="n">
        <v>12</v>
      </c>
      <c r="V14" s="27">
        <f>T14*PI()*U14^2/400</f>
        <v/>
      </c>
      <c r="W14" s="22">
        <f>IF(OR(S14="REVISAR",V14=0),"REVISAR",IF(V14&gt;R14,"EXCEDE As max",IF(V14&gt;=MAX(S14,Q14),"CUMPLE","NO CUMPLE")))</f>
        <v/>
      </c>
      <c r="X14" s="27">
        <f>IF(O14&lt;=0,0,IF(O14*10^6/(Datos!$B$8*D14*10*(H14*10)^2*Datos!$B$5)&gt;=0.5,"REVISAR",(1-SQRT(1-2*O14*10^6/(Datos!$B$8*D14*10*(H14*10)^2*Datos!$B$5)))*D14*10*H14*10*Datos!$B$5/Datos!$B$6/100))</f>
        <v/>
      </c>
      <c r="Y14" s="24" t="n">
        <v>3</v>
      </c>
      <c r="Z14" s="24" t="n">
        <v>12</v>
      </c>
      <c r="AA14" s="27">
        <f>Y14*PI()*Z14^2/400</f>
        <v/>
      </c>
      <c r="AB14" s="22">
        <f>IF(OR(X14="REVISAR",AA14=0),"REVISAR",IF(AA14&gt;R14,"EXCEDE As max",IF(AA14&gt;=MAX(X14,Q14),"CUMPLE","NO CUMPLE")))</f>
        <v/>
      </c>
      <c r="AC14" s="27">
        <f>Datos!$B$9*0.17*SQRT(Datos!$B$5)*D14*10*H14*10/1000</f>
        <v/>
      </c>
      <c r="AD14" s="24" t="n">
        <v>6</v>
      </c>
      <c r="AE14" s="26" t="n">
        <v>30</v>
      </c>
      <c r="AF14" s="27">
        <f>AC14+Datos!$B$9*(2*PI()*AD14^2/4)*Datos!$B$6*(H14*10)/(AE14*10)/1000</f>
        <v/>
      </c>
      <c r="AG14" s="22">
        <f>IF(P14&lt;=AF14,"CUMPLE","NO CUMPLE")</f>
        <v/>
      </c>
      <c r="AH14" s="27">
        <f>F14*100/VLOOKUP($C14,Datos!$A$18:$E$22,5,0)</f>
        <v/>
      </c>
      <c r="AI14" s="22">
        <f>IF(E14&gt;=AH14,"CUMPLE","VERIFICAR FLECHA")</f>
        <v/>
      </c>
      <c r="AJ14" s="29" t="n"/>
    </row>
    <row r="15" ht="17" customHeight="1">
      <c r="A15" s="22" t="inlineStr">
        <is>
          <t>PA</t>
        </is>
      </c>
      <c r="B15" s="23" t="inlineStr">
        <is>
          <t>VI 08b</t>
        </is>
      </c>
      <c r="C15" s="24" t="inlineStr">
        <is>
          <t>Continua</t>
        </is>
      </c>
      <c r="D15" s="24" t="n">
        <v>15</v>
      </c>
      <c r="E15" s="24" t="n">
        <v>70</v>
      </c>
      <c r="F15" s="25" t="n">
        <v>4.85</v>
      </c>
      <c r="G15" s="26" t="n">
        <v>3</v>
      </c>
      <c r="H15" s="27">
        <f>E15-G15</f>
        <v/>
      </c>
      <c r="I15" s="24" t="n">
        <v>2</v>
      </c>
      <c r="J15" s="24" t="n">
        <v>2.6</v>
      </c>
      <c r="K15" s="27">
        <f>VLOOKUP($A15,Datos!$A$13:$E$14,2,0)*I15+Datos!$B$7*D15*E15/10000+Datos!$B$15*J15</f>
        <v/>
      </c>
      <c r="L15" s="27">
        <f>VLOOKUP($A15,Datos!$A$13:$E$14,3,0)*I15</f>
        <v/>
      </c>
      <c r="M15" s="27">
        <f>1.2*K15+1.6*L15</f>
        <v/>
      </c>
      <c r="N15" s="27">
        <f>VLOOKUP($C15,Datos!$A$18:$E$22,2,0)*M15*F15^2</f>
        <v/>
      </c>
      <c r="O15" s="27">
        <f>VLOOKUP($C15,Datos!$A$18:$E$22,3,0)*M15*F15^2</f>
        <v/>
      </c>
      <c r="P15" s="27">
        <f>VLOOKUP($C15,Datos!$A$18:$E$22,4,0)*M15*F15</f>
        <v/>
      </c>
      <c r="Q15" s="27">
        <f>0.0033*D15*H15</f>
        <v/>
      </c>
      <c r="R15" s="27">
        <f>0.0163*D15*H15</f>
        <v/>
      </c>
      <c r="S15" s="27">
        <f>IF(N15&lt;=0,0,IF(N15*10^6/(Datos!$B$8*D15*10*(H15*10)^2*Datos!$B$5)&gt;=0.5,"REVISAR",(1-SQRT(1-2*N15*10^6/(Datos!$B$8*D15*10*(H15*10)^2*Datos!$B$5)))*D15*10*H15*10*Datos!$B$5/Datos!$B$6/100))</f>
        <v/>
      </c>
      <c r="T15" s="24" t="n">
        <v>3</v>
      </c>
      <c r="U15" s="24" t="n">
        <v>12</v>
      </c>
      <c r="V15" s="27">
        <f>T15*PI()*U15^2/400</f>
        <v/>
      </c>
      <c r="W15" s="22">
        <f>IF(OR(S15="REVISAR",V15=0),"REVISAR",IF(V15&gt;R15,"EXCEDE As max",IF(V15&gt;=MAX(S15,Q15),"CUMPLE","NO CUMPLE")))</f>
        <v/>
      </c>
      <c r="X15" s="27">
        <f>IF(O15&lt;=0,0,IF(O15*10^6/(Datos!$B$8*D15*10*(H15*10)^2*Datos!$B$5)&gt;=0.5,"REVISAR",(1-SQRT(1-2*O15*10^6/(Datos!$B$8*D15*10*(H15*10)^2*Datos!$B$5)))*D15*10*H15*10*Datos!$B$5/Datos!$B$6/100))</f>
        <v/>
      </c>
      <c r="Y15" s="24" t="n">
        <v>3</v>
      </c>
      <c r="Z15" s="24" t="n">
        <v>12</v>
      </c>
      <c r="AA15" s="27">
        <f>Y15*PI()*Z15^2/400</f>
        <v/>
      </c>
      <c r="AB15" s="22">
        <f>IF(OR(X15="REVISAR",AA15=0),"REVISAR",IF(AA15&gt;R15,"EXCEDE As max",IF(AA15&gt;=MAX(X15,Q15),"CUMPLE","NO CUMPLE")))</f>
        <v/>
      </c>
      <c r="AC15" s="27">
        <f>Datos!$B$9*0.17*SQRT(Datos!$B$5)*D15*10*H15*10/1000</f>
        <v/>
      </c>
      <c r="AD15" s="24" t="n">
        <v>6</v>
      </c>
      <c r="AE15" s="26" t="n">
        <v>30</v>
      </c>
      <c r="AF15" s="27">
        <f>AC15+Datos!$B$9*(2*PI()*AD15^2/4)*Datos!$B$6*(H15*10)/(AE15*10)/1000</f>
        <v/>
      </c>
      <c r="AG15" s="22">
        <f>IF(P15&lt;=AF15,"CUMPLE","NO CUMPLE")</f>
        <v/>
      </c>
      <c r="AH15" s="27">
        <f>F15*100/VLOOKUP($C15,Datos!$A$18:$E$22,5,0)</f>
        <v/>
      </c>
      <c r="AI15" s="22">
        <f>IF(E15&gt;=AH15,"CUMPLE","VERIFICAR FLECHA")</f>
        <v/>
      </c>
      <c r="AJ15" s="29" t="n"/>
    </row>
    <row r="16" ht="17" customHeight="1">
      <c r="A16" s="22" t="inlineStr">
        <is>
          <t>PA</t>
        </is>
      </c>
      <c r="B16" s="23" t="inlineStr">
        <is>
          <t>VI 09</t>
        </is>
      </c>
      <c r="C16" s="24" t="inlineStr">
        <is>
          <t>Simplemente apoyada</t>
        </is>
      </c>
      <c r="D16" s="24" t="n">
        <v>15</v>
      </c>
      <c r="E16" s="24" t="n">
        <v>70</v>
      </c>
      <c r="F16" s="25" t="n">
        <v>4.85</v>
      </c>
      <c r="G16" s="26" t="n">
        <v>3</v>
      </c>
      <c r="H16" s="27">
        <f>E16-G16</f>
        <v/>
      </c>
      <c r="I16" s="24" t="n">
        <v>2</v>
      </c>
      <c r="J16" s="24" t="n">
        <v>2.6</v>
      </c>
      <c r="K16" s="27">
        <f>VLOOKUP($A16,Datos!$A$13:$E$14,2,0)*I16+Datos!$B$7*D16*E16/10000+Datos!$B$15*J16</f>
        <v/>
      </c>
      <c r="L16" s="27">
        <f>VLOOKUP($A16,Datos!$A$13:$E$14,3,0)*I16</f>
        <v/>
      </c>
      <c r="M16" s="27">
        <f>1.2*K16+1.6*L16</f>
        <v/>
      </c>
      <c r="N16" s="27">
        <f>VLOOKUP($C16,Datos!$A$18:$E$22,2,0)*M16*F16^2</f>
        <v/>
      </c>
      <c r="O16" s="27">
        <f>VLOOKUP($C16,Datos!$A$18:$E$22,3,0)*M16*F16^2</f>
        <v/>
      </c>
      <c r="P16" s="27">
        <f>VLOOKUP($C16,Datos!$A$18:$E$22,4,0)*M16*F16</f>
        <v/>
      </c>
      <c r="Q16" s="27">
        <f>0.0033*D16*H16</f>
        <v/>
      </c>
      <c r="R16" s="27">
        <f>0.0163*D16*H16</f>
        <v/>
      </c>
      <c r="S16" s="27">
        <f>IF(N16&lt;=0,0,IF(N16*10^6/(Datos!$B$8*D16*10*(H16*10)^2*Datos!$B$5)&gt;=0.5,"REVISAR",(1-SQRT(1-2*N16*10^6/(Datos!$B$8*D16*10*(H16*10)^2*Datos!$B$5)))*D16*10*H16*10*Datos!$B$5/Datos!$B$6/100))</f>
        <v/>
      </c>
      <c r="T16" s="24" t="n">
        <v>2</v>
      </c>
      <c r="U16" s="24" t="n">
        <v>16</v>
      </c>
      <c r="V16" s="27">
        <f>T16*PI()*U16^2/400</f>
        <v/>
      </c>
      <c r="W16" s="22">
        <f>IF(OR(S16="REVISAR",V16=0),"REVISAR",IF(V16&gt;R16,"EXCEDE As max",IF(V16&gt;=MAX(S16,Q16),"CUMPLE","NO CUMPLE")))</f>
        <v/>
      </c>
      <c r="X16" s="27">
        <f>IF(O16&lt;=0,0,IF(O16*10^6/(Datos!$B$8*D16*10*(H16*10)^2*Datos!$B$5)&gt;=0.5,"REVISAR",(1-SQRT(1-2*O16*10^6/(Datos!$B$8*D16*10*(H16*10)^2*Datos!$B$5)))*D16*10*H16*10*Datos!$B$5/Datos!$B$6/100))</f>
        <v/>
      </c>
      <c r="Y16" s="24" t="n">
        <v>3</v>
      </c>
      <c r="Z16" s="24" t="n">
        <v>12</v>
      </c>
      <c r="AA16" s="27">
        <f>Y16*PI()*Z16^2/400</f>
        <v/>
      </c>
      <c r="AB16" s="22">
        <f>IF(OR(X16="REVISAR",AA16=0),"REVISAR",IF(AA16&gt;R16,"EXCEDE As max",IF(AA16&gt;=MAX(X16,Q16),"CUMPLE","NO CUMPLE")))</f>
        <v/>
      </c>
      <c r="AC16" s="27">
        <f>Datos!$B$9*0.17*SQRT(Datos!$B$5)*D16*10*H16*10/1000</f>
        <v/>
      </c>
      <c r="AD16" s="24" t="n">
        <v>6</v>
      </c>
      <c r="AE16" s="26" t="n">
        <v>30</v>
      </c>
      <c r="AF16" s="27">
        <f>AC16+Datos!$B$9*(2*PI()*AD16^2/4)*Datos!$B$6*(H16*10)/(AE16*10)/1000</f>
        <v/>
      </c>
      <c r="AG16" s="22">
        <f>IF(P16&lt;=AF16,"CUMPLE","NO CUMPLE")</f>
        <v/>
      </c>
      <c r="AH16" s="27">
        <f>F16*100/VLOOKUP($C16,Datos!$A$18:$E$22,5,0)</f>
        <v/>
      </c>
      <c r="AI16" s="22">
        <f>IF(E16&gt;=AH16,"CUMPLE","VERIFICAR FLECHA")</f>
        <v/>
      </c>
      <c r="AJ16" s="29" t="n"/>
    </row>
    <row r="17" ht="17" customHeight="1">
      <c r="A17" s="22" t="inlineStr">
        <is>
          <t>PA</t>
        </is>
      </c>
      <c r="B17" s="23" t="inlineStr">
        <is>
          <t>VI 10a</t>
        </is>
      </c>
      <c r="C17" s="24" t="inlineStr">
        <is>
          <t>Continua</t>
        </is>
      </c>
      <c r="D17" s="24" t="n">
        <v>15</v>
      </c>
      <c r="E17" s="24" t="n">
        <v>70</v>
      </c>
      <c r="F17" s="25" t="n">
        <v>2.55</v>
      </c>
      <c r="G17" s="26" t="n">
        <v>3</v>
      </c>
      <c r="H17" s="27">
        <f>E17-G17</f>
        <v/>
      </c>
      <c r="I17" s="24" t="n">
        <v>2</v>
      </c>
      <c r="J17" s="24" t="n">
        <v>2.6</v>
      </c>
      <c r="K17" s="27">
        <f>VLOOKUP($A17,Datos!$A$13:$E$14,2,0)*I17+Datos!$B$7*D17*E17/10000+Datos!$B$15*J17</f>
        <v/>
      </c>
      <c r="L17" s="27">
        <f>VLOOKUP($A17,Datos!$A$13:$E$14,3,0)*I17</f>
        <v/>
      </c>
      <c r="M17" s="27">
        <f>1.2*K17+1.6*L17</f>
        <v/>
      </c>
      <c r="N17" s="27">
        <f>VLOOKUP($C17,Datos!$A$18:$E$22,2,0)*M17*F17^2</f>
        <v/>
      </c>
      <c r="O17" s="27">
        <f>VLOOKUP($C17,Datos!$A$18:$E$22,3,0)*M17*F17^2</f>
        <v/>
      </c>
      <c r="P17" s="27">
        <f>VLOOKUP($C17,Datos!$A$18:$E$22,4,0)*M17*F17</f>
        <v/>
      </c>
      <c r="Q17" s="27">
        <f>0.0033*D17*H17</f>
        <v/>
      </c>
      <c r="R17" s="27">
        <f>0.0163*D17*H17</f>
        <v/>
      </c>
      <c r="S17" s="27">
        <f>IF(N17&lt;=0,0,IF(N17*10^6/(Datos!$B$8*D17*10*(H17*10)^2*Datos!$B$5)&gt;=0.5,"REVISAR",(1-SQRT(1-2*N17*10^6/(Datos!$B$8*D17*10*(H17*10)^2*Datos!$B$5)))*D17*10*H17*10*Datos!$B$5/Datos!$B$6/100))</f>
        <v/>
      </c>
      <c r="T17" s="24" t="n">
        <v>3</v>
      </c>
      <c r="U17" s="24" t="n">
        <v>12</v>
      </c>
      <c r="V17" s="27">
        <f>T17*PI()*U17^2/400</f>
        <v/>
      </c>
      <c r="W17" s="22">
        <f>IF(OR(S17="REVISAR",V17=0),"REVISAR",IF(V17&gt;R17,"EXCEDE As max",IF(V17&gt;=MAX(S17,Q17),"CUMPLE","NO CUMPLE")))</f>
        <v/>
      </c>
      <c r="X17" s="27">
        <f>IF(O17&lt;=0,0,IF(O17*10^6/(Datos!$B$8*D17*10*(H17*10)^2*Datos!$B$5)&gt;=0.5,"REVISAR",(1-SQRT(1-2*O17*10^6/(Datos!$B$8*D17*10*(H17*10)^2*Datos!$B$5)))*D17*10*H17*10*Datos!$B$5/Datos!$B$6/100))</f>
        <v/>
      </c>
      <c r="Y17" s="24" t="n">
        <v>3</v>
      </c>
      <c r="Z17" s="24" t="n">
        <v>12</v>
      </c>
      <c r="AA17" s="27">
        <f>Y17*PI()*Z17^2/400</f>
        <v/>
      </c>
      <c r="AB17" s="22">
        <f>IF(OR(X17="REVISAR",AA17=0),"REVISAR",IF(AA17&gt;R17,"EXCEDE As max",IF(AA17&gt;=MAX(X17,Q17),"CUMPLE","NO CUMPLE")))</f>
        <v/>
      </c>
      <c r="AC17" s="27">
        <f>Datos!$B$9*0.17*SQRT(Datos!$B$5)*D17*10*H17*10/1000</f>
        <v/>
      </c>
      <c r="AD17" s="24" t="n">
        <v>6</v>
      </c>
      <c r="AE17" s="26" t="n">
        <v>30</v>
      </c>
      <c r="AF17" s="27">
        <f>AC17+Datos!$B$9*(2*PI()*AD17^2/4)*Datos!$B$6*(H17*10)/(AE17*10)/1000</f>
        <v/>
      </c>
      <c r="AG17" s="22">
        <f>IF(P17&lt;=AF17,"CUMPLE","NO CUMPLE")</f>
        <v/>
      </c>
      <c r="AH17" s="27">
        <f>F17*100/VLOOKUP($C17,Datos!$A$18:$E$22,5,0)</f>
        <v/>
      </c>
      <c r="AI17" s="22">
        <f>IF(E17&gt;=AH17,"CUMPLE","VERIFICAR FLECHA")</f>
        <v/>
      </c>
      <c r="AJ17" s="29" t="n"/>
    </row>
    <row r="18" ht="17" customHeight="1">
      <c r="A18" s="22" t="inlineStr">
        <is>
          <t>PA</t>
        </is>
      </c>
      <c r="B18" s="23" t="inlineStr">
        <is>
          <t>VI 10b</t>
        </is>
      </c>
      <c r="C18" s="24" t="inlineStr">
        <is>
          <t>Continua</t>
        </is>
      </c>
      <c r="D18" s="24" t="n">
        <v>15</v>
      </c>
      <c r="E18" s="24" t="n">
        <v>70</v>
      </c>
      <c r="F18" s="25" t="n">
        <v>4</v>
      </c>
      <c r="G18" s="26" t="n">
        <v>3</v>
      </c>
      <c r="H18" s="27">
        <f>E18-G18</f>
        <v/>
      </c>
      <c r="I18" s="24" t="n">
        <v>2</v>
      </c>
      <c r="J18" s="24" t="n">
        <v>2.6</v>
      </c>
      <c r="K18" s="27">
        <f>VLOOKUP($A18,Datos!$A$13:$E$14,2,0)*I18+Datos!$B$7*D18*E18/10000+Datos!$B$15*J18</f>
        <v/>
      </c>
      <c r="L18" s="27">
        <f>VLOOKUP($A18,Datos!$A$13:$E$14,3,0)*I18</f>
        <v/>
      </c>
      <c r="M18" s="27">
        <f>1.2*K18+1.6*L18</f>
        <v/>
      </c>
      <c r="N18" s="27">
        <f>VLOOKUP($C18,Datos!$A$18:$E$22,2,0)*M18*F18^2</f>
        <v/>
      </c>
      <c r="O18" s="27">
        <f>VLOOKUP($C18,Datos!$A$18:$E$22,3,0)*M18*F18^2</f>
        <v/>
      </c>
      <c r="P18" s="27">
        <f>VLOOKUP($C18,Datos!$A$18:$E$22,4,0)*M18*F18</f>
        <v/>
      </c>
      <c r="Q18" s="27">
        <f>0.0033*D18*H18</f>
        <v/>
      </c>
      <c r="R18" s="27">
        <f>0.0163*D18*H18</f>
        <v/>
      </c>
      <c r="S18" s="27">
        <f>IF(N18&lt;=0,0,IF(N18*10^6/(Datos!$B$8*D18*10*(H18*10)^2*Datos!$B$5)&gt;=0.5,"REVISAR",(1-SQRT(1-2*N18*10^6/(Datos!$B$8*D18*10*(H18*10)^2*Datos!$B$5)))*D18*10*H18*10*Datos!$B$5/Datos!$B$6/100))</f>
        <v/>
      </c>
      <c r="T18" s="24" t="n">
        <v>3</v>
      </c>
      <c r="U18" s="24" t="n">
        <v>12</v>
      </c>
      <c r="V18" s="27">
        <f>T18*PI()*U18^2/400</f>
        <v/>
      </c>
      <c r="W18" s="22">
        <f>IF(OR(S18="REVISAR",V18=0),"REVISAR",IF(V18&gt;R18,"EXCEDE As max",IF(V18&gt;=MAX(S18,Q18),"CUMPLE","NO CUMPLE")))</f>
        <v/>
      </c>
      <c r="X18" s="27">
        <f>IF(O18&lt;=0,0,IF(O18*10^6/(Datos!$B$8*D18*10*(H18*10)^2*Datos!$B$5)&gt;=0.5,"REVISAR",(1-SQRT(1-2*O18*10^6/(Datos!$B$8*D18*10*(H18*10)^2*Datos!$B$5)))*D18*10*H18*10*Datos!$B$5/Datos!$B$6/100))</f>
        <v/>
      </c>
      <c r="Y18" s="24" t="n">
        <v>3</v>
      </c>
      <c r="Z18" s="24" t="n">
        <v>12</v>
      </c>
      <c r="AA18" s="27">
        <f>Y18*PI()*Z18^2/400</f>
        <v/>
      </c>
      <c r="AB18" s="22">
        <f>IF(OR(X18="REVISAR",AA18=0),"REVISAR",IF(AA18&gt;R18,"EXCEDE As max",IF(AA18&gt;=MAX(X18,Q18),"CUMPLE","NO CUMPLE")))</f>
        <v/>
      </c>
      <c r="AC18" s="27">
        <f>Datos!$B$9*0.17*SQRT(Datos!$B$5)*D18*10*H18*10/1000</f>
        <v/>
      </c>
      <c r="AD18" s="24" t="n">
        <v>6</v>
      </c>
      <c r="AE18" s="26" t="n">
        <v>30</v>
      </c>
      <c r="AF18" s="27">
        <f>AC18+Datos!$B$9*(2*PI()*AD18^2/4)*Datos!$B$6*(H18*10)/(AE18*10)/1000</f>
        <v/>
      </c>
      <c r="AG18" s="22">
        <f>IF(P18&lt;=AF18,"CUMPLE","NO CUMPLE")</f>
        <v/>
      </c>
      <c r="AH18" s="27">
        <f>F18*100/VLOOKUP($C18,Datos!$A$18:$E$22,5,0)</f>
        <v/>
      </c>
      <c r="AI18" s="22">
        <f>IF(E18&gt;=AH18,"CUMPLE","VERIFICAR FLECHA")</f>
        <v/>
      </c>
      <c r="AJ18" s="29" t="n"/>
    </row>
    <row r="19" ht="17" customHeight="1">
      <c r="A19" s="22" t="inlineStr">
        <is>
          <t>PA</t>
        </is>
      </c>
      <c r="B19" s="23" t="inlineStr">
        <is>
          <t>VI 10c</t>
        </is>
      </c>
      <c r="C19" s="24" t="inlineStr">
        <is>
          <t>Continua</t>
        </is>
      </c>
      <c r="D19" s="24" t="n">
        <v>15</v>
      </c>
      <c r="E19" s="24" t="n">
        <v>70</v>
      </c>
      <c r="F19" s="25" t="n">
        <v>3.6</v>
      </c>
      <c r="G19" s="26" t="n">
        <v>3</v>
      </c>
      <c r="H19" s="27">
        <f>E19-G19</f>
        <v/>
      </c>
      <c r="I19" s="24" t="n">
        <v>2</v>
      </c>
      <c r="J19" s="24" t="n">
        <v>2.6</v>
      </c>
      <c r="K19" s="27">
        <f>VLOOKUP($A19,Datos!$A$13:$E$14,2,0)*I19+Datos!$B$7*D19*E19/10000+Datos!$B$15*J19</f>
        <v/>
      </c>
      <c r="L19" s="27">
        <f>VLOOKUP($A19,Datos!$A$13:$E$14,3,0)*I19</f>
        <v/>
      </c>
      <c r="M19" s="27">
        <f>1.2*K19+1.6*L19</f>
        <v/>
      </c>
      <c r="N19" s="27">
        <f>VLOOKUP($C19,Datos!$A$18:$E$22,2,0)*M19*F19^2</f>
        <v/>
      </c>
      <c r="O19" s="27">
        <f>VLOOKUP($C19,Datos!$A$18:$E$22,3,0)*M19*F19^2</f>
        <v/>
      </c>
      <c r="P19" s="27">
        <f>VLOOKUP($C19,Datos!$A$18:$E$22,4,0)*M19*F19</f>
        <v/>
      </c>
      <c r="Q19" s="27">
        <f>0.0033*D19*H19</f>
        <v/>
      </c>
      <c r="R19" s="27">
        <f>0.0163*D19*H19</f>
        <v/>
      </c>
      <c r="S19" s="27">
        <f>IF(N19&lt;=0,0,IF(N19*10^6/(Datos!$B$8*D19*10*(H19*10)^2*Datos!$B$5)&gt;=0.5,"REVISAR",(1-SQRT(1-2*N19*10^6/(Datos!$B$8*D19*10*(H19*10)^2*Datos!$B$5)))*D19*10*H19*10*Datos!$B$5/Datos!$B$6/100))</f>
        <v/>
      </c>
      <c r="T19" s="24" t="n">
        <v>3</v>
      </c>
      <c r="U19" s="24" t="n">
        <v>12</v>
      </c>
      <c r="V19" s="27">
        <f>T19*PI()*U19^2/400</f>
        <v/>
      </c>
      <c r="W19" s="22">
        <f>IF(OR(S19="REVISAR",V19=0),"REVISAR",IF(V19&gt;R19,"EXCEDE As max",IF(V19&gt;=MAX(S19,Q19),"CUMPLE","NO CUMPLE")))</f>
        <v/>
      </c>
      <c r="X19" s="27">
        <f>IF(O19&lt;=0,0,IF(O19*10^6/(Datos!$B$8*D19*10*(H19*10)^2*Datos!$B$5)&gt;=0.5,"REVISAR",(1-SQRT(1-2*O19*10^6/(Datos!$B$8*D19*10*(H19*10)^2*Datos!$B$5)))*D19*10*H19*10*Datos!$B$5/Datos!$B$6/100))</f>
        <v/>
      </c>
      <c r="Y19" s="24" t="n">
        <v>3</v>
      </c>
      <c r="Z19" s="24" t="n">
        <v>12</v>
      </c>
      <c r="AA19" s="27">
        <f>Y19*PI()*Z19^2/400</f>
        <v/>
      </c>
      <c r="AB19" s="22">
        <f>IF(OR(X19="REVISAR",AA19=0),"REVISAR",IF(AA19&gt;R19,"EXCEDE As max",IF(AA19&gt;=MAX(X19,Q19),"CUMPLE","NO CUMPLE")))</f>
        <v/>
      </c>
      <c r="AC19" s="27">
        <f>Datos!$B$9*0.17*SQRT(Datos!$B$5)*D19*10*H19*10/1000</f>
        <v/>
      </c>
      <c r="AD19" s="24" t="n">
        <v>6</v>
      </c>
      <c r="AE19" s="26" t="n">
        <v>30</v>
      </c>
      <c r="AF19" s="27">
        <f>AC19+Datos!$B$9*(2*PI()*AD19^2/4)*Datos!$B$6*(H19*10)/(AE19*10)/1000</f>
        <v/>
      </c>
      <c r="AG19" s="22">
        <f>IF(P19&lt;=AF19,"CUMPLE","NO CUMPLE")</f>
        <v/>
      </c>
      <c r="AH19" s="27">
        <f>F19*100/VLOOKUP($C19,Datos!$A$18:$E$22,5,0)</f>
        <v/>
      </c>
      <c r="AI19" s="22">
        <f>IF(E19&gt;=AH19,"CUMPLE","VERIFICAR FLECHA")</f>
        <v/>
      </c>
      <c r="AJ19" s="29" t="n"/>
    </row>
    <row r="20" ht="17" customHeight="1">
      <c r="A20" s="22" t="inlineStr">
        <is>
          <t>PA</t>
        </is>
      </c>
      <c r="B20" s="23" t="inlineStr">
        <is>
          <t>VI 11a</t>
        </is>
      </c>
      <c r="C20" s="24" t="inlineStr">
        <is>
          <t>Continua</t>
        </is>
      </c>
      <c r="D20" s="24" t="n">
        <v>15</v>
      </c>
      <c r="E20" s="24" t="n">
        <v>70</v>
      </c>
      <c r="F20" s="25" t="n">
        <v>7.68</v>
      </c>
      <c r="G20" s="26" t="n">
        <v>3</v>
      </c>
      <c r="H20" s="27">
        <f>E20-G20</f>
        <v/>
      </c>
      <c r="I20" s="24" t="n">
        <v>2</v>
      </c>
      <c r="J20" s="24" t="n">
        <v>2.6</v>
      </c>
      <c r="K20" s="27">
        <f>VLOOKUP($A20,Datos!$A$13:$E$14,2,0)*I20+Datos!$B$7*D20*E20/10000+Datos!$B$15*J20</f>
        <v/>
      </c>
      <c r="L20" s="27">
        <f>VLOOKUP($A20,Datos!$A$13:$E$14,3,0)*I20</f>
        <v/>
      </c>
      <c r="M20" s="27">
        <f>1.2*K20+1.6*L20</f>
        <v/>
      </c>
      <c r="N20" s="27">
        <f>VLOOKUP($C20,Datos!$A$18:$E$22,2,0)*M20*F20^2</f>
        <v/>
      </c>
      <c r="O20" s="27">
        <f>VLOOKUP($C20,Datos!$A$18:$E$22,3,0)*M20*F20^2</f>
        <v/>
      </c>
      <c r="P20" s="27">
        <f>VLOOKUP($C20,Datos!$A$18:$E$22,4,0)*M20*F20</f>
        <v/>
      </c>
      <c r="Q20" s="27">
        <f>0.0033*D20*H20</f>
        <v/>
      </c>
      <c r="R20" s="27">
        <f>0.0163*D20*H20</f>
        <v/>
      </c>
      <c r="S20" s="27">
        <f>IF(N20&lt;=0,0,IF(N20*10^6/(Datos!$B$8*D20*10*(H20*10)^2*Datos!$B$5)&gt;=0.5,"REVISAR",(1-SQRT(1-2*N20*10^6/(Datos!$B$8*D20*10*(H20*10)^2*Datos!$B$5)))*D20*10*H20*10*Datos!$B$5/Datos!$B$6/100))</f>
        <v/>
      </c>
      <c r="T20" s="24" t="n">
        <v>2</v>
      </c>
      <c r="U20" s="24" t="n">
        <v>20</v>
      </c>
      <c r="V20" s="27">
        <f>T20*PI()*U20^2/400</f>
        <v/>
      </c>
      <c r="W20" s="22">
        <f>IF(OR(S20="REVISAR",V20=0),"REVISAR",IF(V20&gt;R20,"EXCEDE As max",IF(V20&gt;=MAX(S20,Q20),"CUMPLE","NO CUMPLE")))</f>
        <v/>
      </c>
      <c r="X20" s="27">
        <f>IF(O20&lt;=0,0,IF(O20*10^6/(Datos!$B$8*D20*10*(H20*10)^2*Datos!$B$5)&gt;=0.5,"REVISAR",(1-SQRT(1-2*O20*10^6/(Datos!$B$8*D20*10*(H20*10)^2*Datos!$B$5)))*D20*10*H20*10*Datos!$B$5/Datos!$B$6/100))</f>
        <v/>
      </c>
      <c r="Y20" s="24" t="n">
        <v>2</v>
      </c>
      <c r="Z20" s="24" t="n">
        <v>25</v>
      </c>
      <c r="AA20" s="27">
        <f>Y20*PI()*Z20^2/400</f>
        <v/>
      </c>
      <c r="AB20" s="22">
        <f>IF(OR(X20="REVISAR",AA20=0),"REVISAR",IF(AA20&gt;R20,"EXCEDE As max",IF(AA20&gt;=MAX(X20,Q20),"CUMPLE","NO CUMPLE")))</f>
        <v/>
      </c>
      <c r="AC20" s="27">
        <f>Datos!$B$9*0.17*SQRT(Datos!$B$5)*D20*10*H20*10/1000</f>
        <v/>
      </c>
      <c r="AD20" s="24" t="n">
        <v>6</v>
      </c>
      <c r="AE20" s="26" t="n">
        <v>15</v>
      </c>
      <c r="AF20" s="27">
        <f>AC20+Datos!$B$9*(2*PI()*AD20^2/4)*Datos!$B$6*(H20*10)/(AE20*10)/1000</f>
        <v/>
      </c>
      <c r="AG20" s="22">
        <f>IF(P20&lt;=AF20,"CUMPLE","NO CUMPLE")</f>
        <v/>
      </c>
      <c r="AH20" s="27">
        <f>F20*100/VLOOKUP($C20,Datos!$A$18:$E$22,5,0)</f>
        <v/>
      </c>
      <c r="AI20" s="22">
        <f>IF(E20&gt;=AH20,"CUMPLE","VERIFICAR FLECHA")</f>
        <v/>
      </c>
      <c r="AJ20" s="28" t="inlineStr">
        <is>
          <t>Rotulo del plano se lee 'VI 111'. Confirmar.</t>
        </is>
      </c>
    </row>
    <row r="21" ht="17" customHeight="1">
      <c r="A21" s="22" t="inlineStr">
        <is>
          <t>PA</t>
        </is>
      </c>
      <c r="B21" s="23" t="inlineStr">
        <is>
          <t>VI 11b</t>
        </is>
      </c>
      <c r="C21" s="24" t="inlineStr">
        <is>
          <t>Continua</t>
        </is>
      </c>
      <c r="D21" s="24" t="n">
        <v>15</v>
      </c>
      <c r="E21" s="24" t="n">
        <v>70</v>
      </c>
      <c r="F21" s="25" t="n">
        <v>3.45</v>
      </c>
      <c r="G21" s="26" t="n">
        <v>3</v>
      </c>
      <c r="H21" s="27">
        <f>E21-G21</f>
        <v/>
      </c>
      <c r="I21" s="24" t="n">
        <v>2</v>
      </c>
      <c r="J21" s="24" t="n">
        <v>2.6</v>
      </c>
      <c r="K21" s="27">
        <f>VLOOKUP($A21,Datos!$A$13:$E$14,2,0)*I21+Datos!$B$7*D21*E21/10000+Datos!$B$15*J21</f>
        <v/>
      </c>
      <c r="L21" s="27">
        <f>VLOOKUP($A21,Datos!$A$13:$E$14,3,0)*I21</f>
        <v/>
      </c>
      <c r="M21" s="27">
        <f>1.2*K21+1.6*L21</f>
        <v/>
      </c>
      <c r="N21" s="27">
        <f>VLOOKUP($C21,Datos!$A$18:$E$22,2,0)*M21*F21^2</f>
        <v/>
      </c>
      <c r="O21" s="27">
        <f>VLOOKUP($C21,Datos!$A$18:$E$22,3,0)*M21*F21^2</f>
        <v/>
      </c>
      <c r="P21" s="27">
        <f>VLOOKUP($C21,Datos!$A$18:$E$22,4,0)*M21*F21</f>
        <v/>
      </c>
      <c r="Q21" s="27">
        <f>0.0033*D21*H21</f>
        <v/>
      </c>
      <c r="R21" s="27">
        <f>0.0163*D21*H21</f>
        <v/>
      </c>
      <c r="S21" s="27">
        <f>IF(N21&lt;=0,0,IF(N21*10^6/(Datos!$B$8*D21*10*(H21*10)^2*Datos!$B$5)&gt;=0.5,"REVISAR",(1-SQRT(1-2*N21*10^6/(Datos!$B$8*D21*10*(H21*10)^2*Datos!$B$5)))*D21*10*H21*10*Datos!$B$5/Datos!$B$6/100))</f>
        <v/>
      </c>
      <c r="T21" s="24" t="n">
        <v>3</v>
      </c>
      <c r="U21" s="24" t="n">
        <v>12</v>
      </c>
      <c r="V21" s="27">
        <f>T21*PI()*U21^2/400</f>
        <v/>
      </c>
      <c r="W21" s="22">
        <f>IF(OR(S21="REVISAR",V21=0),"REVISAR",IF(V21&gt;R21,"EXCEDE As max",IF(V21&gt;=MAX(S21,Q21),"CUMPLE","NO CUMPLE")))</f>
        <v/>
      </c>
      <c r="X21" s="27">
        <f>IF(O21&lt;=0,0,IF(O21*10^6/(Datos!$B$8*D21*10*(H21*10)^2*Datos!$B$5)&gt;=0.5,"REVISAR",(1-SQRT(1-2*O21*10^6/(Datos!$B$8*D21*10*(H21*10)^2*Datos!$B$5)))*D21*10*H21*10*Datos!$B$5/Datos!$B$6/100))</f>
        <v/>
      </c>
      <c r="Y21" s="24" t="n">
        <v>3</v>
      </c>
      <c r="Z21" s="24" t="n">
        <v>12</v>
      </c>
      <c r="AA21" s="27">
        <f>Y21*PI()*Z21^2/400</f>
        <v/>
      </c>
      <c r="AB21" s="22">
        <f>IF(OR(X21="REVISAR",AA21=0),"REVISAR",IF(AA21&gt;R21,"EXCEDE As max",IF(AA21&gt;=MAX(X21,Q21),"CUMPLE","NO CUMPLE")))</f>
        <v/>
      </c>
      <c r="AC21" s="27">
        <f>Datos!$B$9*0.17*SQRT(Datos!$B$5)*D21*10*H21*10/1000</f>
        <v/>
      </c>
      <c r="AD21" s="24" t="n">
        <v>6</v>
      </c>
      <c r="AE21" s="26" t="n">
        <v>30</v>
      </c>
      <c r="AF21" s="27">
        <f>AC21+Datos!$B$9*(2*PI()*AD21^2/4)*Datos!$B$6*(H21*10)/(AE21*10)/1000</f>
        <v/>
      </c>
      <c r="AG21" s="22">
        <f>IF(P21&lt;=AF21,"CUMPLE","NO CUMPLE")</f>
        <v/>
      </c>
      <c r="AH21" s="27">
        <f>F21*100/VLOOKUP($C21,Datos!$A$18:$E$22,5,0)</f>
        <v/>
      </c>
      <c r="AI21" s="22">
        <f>IF(E21&gt;=AH21,"CUMPLE","VERIFICAR FLECHA")</f>
        <v/>
      </c>
      <c r="AJ21" s="29" t="n"/>
    </row>
    <row r="22" ht="17" customHeight="1">
      <c r="A22" s="22" t="inlineStr">
        <is>
          <t>PA</t>
        </is>
      </c>
      <c r="B22" s="23" t="inlineStr">
        <is>
          <t>VI 11c</t>
        </is>
      </c>
      <c r="C22" s="24" t="inlineStr">
        <is>
          <t>Continua</t>
        </is>
      </c>
      <c r="D22" s="24" t="n">
        <v>15</v>
      </c>
      <c r="E22" s="24" t="n">
        <v>70</v>
      </c>
      <c r="F22" s="25" t="n">
        <v>5.02</v>
      </c>
      <c r="G22" s="26" t="n">
        <v>3</v>
      </c>
      <c r="H22" s="27">
        <f>E22-G22</f>
        <v/>
      </c>
      <c r="I22" s="24" t="n">
        <v>2</v>
      </c>
      <c r="J22" s="24" t="n">
        <v>2.6</v>
      </c>
      <c r="K22" s="27">
        <f>VLOOKUP($A22,Datos!$A$13:$E$14,2,0)*I22+Datos!$B$7*D22*E22/10000+Datos!$B$15*J22</f>
        <v/>
      </c>
      <c r="L22" s="27">
        <f>VLOOKUP($A22,Datos!$A$13:$E$14,3,0)*I22</f>
        <v/>
      </c>
      <c r="M22" s="27">
        <f>1.2*K22+1.6*L22</f>
        <v/>
      </c>
      <c r="N22" s="27">
        <f>VLOOKUP($C22,Datos!$A$18:$E$22,2,0)*M22*F22^2</f>
        <v/>
      </c>
      <c r="O22" s="27">
        <f>VLOOKUP($C22,Datos!$A$18:$E$22,3,0)*M22*F22^2</f>
        <v/>
      </c>
      <c r="P22" s="27">
        <f>VLOOKUP($C22,Datos!$A$18:$E$22,4,0)*M22*F22</f>
        <v/>
      </c>
      <c r="Q22" s="27">
        <f>0.0033*D22*H22</f>
        <v/>
      </c>
      <c r="R22" s="27">
        <f>0.0163*D22*H22</f>
        <v/>
      </c>
      <c r="S22" s="27">
        <f>IF(N22&lt;=0,0,IF(N22*10^6/(Datos!$B$8*D22*10*(H22*10)^2*Datos!$B$5)&gt;=0.5,"REVISAR",(1-SQRT(1-2*N22*10^6/(Datos!$B$8*D22*10*(H22*10)^2*Datos!$B$5)))*D22*10*H22*10*Datos!$B$5/Datos!$B$6/100))</f>
        <v/>
      </c>
      <c r="T22" s="24" t="n">
        <v>3</v>
      </c>
      <c r="U22" s="24" t="n">
        <v>12</v>
      </c>
      <c r="V22" s="27">
        <f>T22*PI()*U22^2/400</f>
        <v/>
      </c>
      <c r="W22" s="22">
        <f>IF(OR(S22="REVISAR",V22=0),"REVISAR",IF(V22&gt;R22,"EXCEDE As max",IF(V22&gt;=MAX(S22,Q22),"CUMPLE","NO CUMPLE")))</f>
        <v/>
      </c>
      <c r="X22" s="27">
        <f>IF(O22&lt;=0,0,IF(O22*10^6/(Datos!$B$8*D22*10*(H22*10)^2*Datos!$B$5)&gt;=0.5,"REVISAR",(1-SQRT(1-2*O22*10^6/(Datos!$B$8*D22*10*(H22*10)^2*Datos!$B$5)))*D22*10*H22*10*Datos!$B$5/Datos!$B$6/100))</f>
        <v/>
      </c>
      <c r="Y22" s="24" t="n">
        <v>3</v>
      </c>
      <c r="Z22" s="24" t="n">
        <v>12</v>
      </c>
      <c r="AA22" s="27">
        <f>Y22*PI()*Z22^2/400</f>
        <v/>
      </c>
      <c r="AB22" s="22">
        <f>IF(OR(X22="REVISAR",AA22=0),"REVISAR",IF(AA22&gt;R22,"EXCEDE As max",IF(AA22&gt;=MAX(X22,Q22),"CUMPLE","NO CUMPLE")))</f>
        <v/>
      </c>
      <c r="AC22" s="27">
        <f>Datos!$B$9*0.17*SQRT(Datos!$B$5)*D22*10*H22*10/1000</f>
        <v/>
      </c>
      <c r="AD22" s="24" t="n">
        <v>6</v>
      </c>
      <c r="AE22" s="26" t="n">
        <v>30</v>
      </c>
      <c r="AF22" s="27">
        <f>AC22+Datos!$B$9*(2*PI()*AD22^2/4)*Datos!$B$6*(H22*10)/(AE22*10)/1000</f>
        <v/>
      </c>
      <c r="AG22" s="22">
        <f>IF(P22&lt;=AF22,"CUMPLE","NO CUMPLE")</f>
        <v/>
      </c>
      <c r="AH22" s="27">
        <f>F22*100/VLOOKUP($C22,Datos!$A$18:$E$22,5,0)</f>
        <v/>
      </c>
      <c r="AI22" s="22">
        <f>IF(E22&gt;=AH22,"CUMPLE","VERIFICAR FLECHA")</f>
        <v/>
      </c>
      <c r="AJ22" s="29" t="n"/>
    </row>
    <row r="23" ht="17" customHeight="1">
      <c r="A23" s="22" t="inlineStr">
        <is>
          <t>PA</t>
        </is>
      </c>
      <c r="B23" s="23" t="inlineStr">
        <is>
          <t>VCH 03a</t>
        </is>
      </c>
      <c r="C23" s="24" t="inlineStr">
        <is>
          <t>Continua</t>
        </is>
      </c>
      <c r="D23" s="24" t="n">
        <v>40</v>
      </c>
      <c r="E23" s="24" t="n">
        <v>13</v>
      </c>
      <c r="F23" s="25" t="n">
        <v>3.71</v>
      </c>
      <c r="G23" s="26" t="n">
        <v>3</v>
      </c>
      <c r="H23" s="27">
        <f>E23-G23</f>
        <v/>
      </c>
      <c r="I23" s="24" t="n">
        <v>0.6</v>
      </c>
      <c r="J23" s="24" t="n">
        <v>2.6</v>
      </c>
      <c r="K23" s="27">
        <f>VLOOKUP($A23,Datos!$A$13:$E$14,2,0)*I23+Datos!$B$7*D23*E23/10000+Datos!$B$15*J23</f>
        <v/>
      </c>
      <c r="L23" s="27">
        <f>VLOOKUP($A23,Datos!$A$13:$E$14,3,0)*I23</f>
        <v/>
      </c>
      <c r="M23" s="27">
        <f>1.2*K23+1.6*L23</f>
        <v/>
      </c>
      <c r="N23" s="27">
        <f>VLOOKUP($C23,Datos!$A$18:$E$22,2,0)*M23*F23^2</f>
        <v/>
      </c>
      <c r="O23" s="27">
        <f>VLOOKUP($C23,Datos!$A$18:$E$22,3,0)*M23*F23^2</f>
        <v/>
      </c>
      <c r="P23" s="27">
        <f>VLOOKUP($C23,Datos!$A$18:$E$22,4,0)*M23*F23</f>
        <v/>
      </c>
      <c r="Q23" s="27">
        <f>0.0033*D23*H23</f>
        <v/>
      </c>
      <c r="R23" s="27">
        <f>0.0163*D23*H23</f>
        <v/>
      </c>
      <c r="S23" s="27">
        <f>IF(N23&lt;=0,0,IF(N23*10^6/(Datos!$B$8*D23*10*(H23*10)^2*Datos!$B$5)&gt;=0.5,"REVISAR",(1-SQRT(1-2*N23*10^6/(Datos!$B$8*D23*10*(H23*10)^2*Datos!$B$5)))*D23*10*H23*10*Datos!$B$5/Datos!$B$6/100))</f>
        <v/>
      </c>
      <c r="T23" s="24" t="n">
        <v>9</v>
      </c>
      <c r="U23" s="24" t="n">
        <v>8</v>
      </c>
      <c r="V23" s="27">
        <f>T23*PI()*U23^2/400</f>
        <v/>
      </c>
      <c r="W23" s="22">
        <f>IF(OR(S23="REVISAR",V23=0),"REVISAR",IF(V23&gt;R23,"EXCEDE As max",IF(V23&gt;=MAX(S23,Q23),"CUMPLE","NO CUMPLE")))</f>
        <v/>
      </c>
      <c r="X23" s="27">
        <f>IF(O23&lt;=0,0,IF(O23*10^6/(Datos!$B$8*D23*10*(H23*10)^2*Datos!$B$5)&gt;=0.5,"REVISAR",(1-SQRT(1-2*O23*10^6/(Datos!$B$8*D23*10*(H23*10)^2*Datos!$B$5)))*D23*10*H23*10*Datos!$B$5/Datos!$B$6/100))</f>
        <v/>
      </c>
      <c r="Y23" s="24" t="n">
        <v>6</v>
      </c>
      <c r="Z23" s="24" t="n">
        <v>12</v>
      </c>
      <c r="AA23" s="27">
        <f>Y23*PI()*Z23^2/400</f>
        <v/>
      </c>
      <c r="AB23" s="22">
        <f>IF(OR(X23="REVISAR",AA23=0),"REVISAR",IF(AA23&gt;R23,"EXCEDE As max",IF(AA23&gt;=MAX(X23,Q23),"CUMPLE","NO CUMPLE")))</f>
        <v/>
      </c>
      <c r="AC23" s="27">
        <f>Datos!$B$9*0.17*SQRT(Datos!$B$5)*D23*10*H23*10/1000</f>
        <v/>
      </c>
      <c r="AD23" s="24" t="n">
        <v>8</v>
      </c>
      <c r="AE23" s="26" t="n">
        <v>5</v>
      </c>
      <c r="AF23" s="27">
        <f>AC23+Datos!$B$9*(2*PI()*AD23^2/4)*Datos!$B$6*(H23*10)/(AE23*10)/1000</f>
        <v/>
      </c>
      <c r="AG23" s="22">
        <f>IF(P23&lt;=AF23,"CUMPLE","NO CUMPLE")</f>
        <v/>
      </c>
      <c r="AH23" s="27">
        <f>F23*100/VLOOKUP($C23,Datos!$A$18:$E$22,5,0)</f>
        <v/>
      </c>
      <c r="AI23" s="22">
        <f>IF(E23&gt;=AH23,"CUMPLE","VERIFICAR FLECHA")</f>
        <v/>
      </c>
      <c r="AJ23" s="28" t="inlineStr">
        <is>
          <t>NO VERIFICA. Viga chata 40x13 con 3,71 m: revisar ancho tributario real y altura (h nec. 18 cm).</t>
        </is>
      </c>
    </row>
    <row r="24" ht="17" customHeight="1">
      <c r="A24" s="22" t="inlineStr">
        <is>
          <t>PA</t>
        </is>
      </c>
      <c r="B24" s="23" t="inlineStr">
        <is>
          <t>VCH 03b</t>
        </is>
      </c>
      <c r="C24" s="24" t="inlineStr">
        <is>
          <t>Continua</t>
        </is>
      </c>
      <c r="D24" s="24" t="n">
        <v>40</v>
      </c>
      <c r="E24" s="24" t="n">
        <v>13</v>
      </c>
      <c r="F24" s="25" t="n">
        <v>2.13</v>
      </c>
      <c r="G24" s="26" t="n">
        <v>3</v>
      </c>
      <c r="H24" s="27">
        <f>E24-G24</f>
        <v/>
      </c>
      <c r="I24" s="24" t="n">
        <v>0.6</v>
      </c>
      <c r="J24" s="24" t="n">
        <v>2.6</v>
      </c>
      <c r="K24" s="27">
        <f>VLOOKUP($A24,Datos!$A$13:$E$14,2,0)*I24+Datos!$B$7*D24*E24/10000+Datos!$B$15*J24</f>
        <v/>
      </c>
      <c r="L24" s="27">
        <f>VLOOKUP($A24,Datos!$A$13:$E$14,3,0)*I24</f>
        <v/>
      </c>
      <c r="M24" s="27">
        <f>1.2*K24+1.6*L24</f>
        <v/>
      </c>
      <c r="N24" s="27">
        <f>VLOOKUP($C24,Datos!$A$18:$E$22,2,0)*M24*F24^2</f>
        <v/>
      </c>
      <c r="O24" s="27">
        <f>VLOOKUP($C24,Datos!$A$18:$E$22,3,0)*M24*F24^2</f>
        <v/>
      </c>
      <c r="P24" s="27">
        <f>VLOOKUP($C24,Datos!$A$18:$E$22,4,0)*M24*F24</f>
        <v/>
      </c>
      <c r="Q24" s="27">
        <f>0.0033*D24*H24</f>
        <v/>
      </c>
      <c r="R24" s="27">
        <f>0.0163*D24*H24</f>
        <v/>
      </c>
      <c r="S24" s="27">
        <f>IF(N24&lt;=0,0,IF(N24*10^6/(Datos!$B$8*D24*10*(H24*10)^2*Datos!$B$5)&gt;=0.5,"REVISAR",(1-SQRT(1-2*N24*10^6/(Datos!$B$8*D24*10*(H24*10)^2*Datos!$B$5)))*D24*10*H24*10*Datos!$B$5/Datos!$B$6/100))</f>
        <v/>
      </c>
      <c r="T24" s="24" t="n">
        <v>3</v>
      </c>
      <c r="U24" s="24" t="n">
        <v>8</v>
      </c>
      <c r="V24" s="27">
        <f>T24*PI()*U24^2/400</f>
        <v/>
      </c>
      <c r="W24" s="22">
        <f>IF(OR(S24="REVISAR",V24=0),"REVISAR",IF(V24&gt;R24,"EXCEDE As max",IF(V24&gt;=MAX(S24,Q24),"CUMPLE","NO CUMPLE")))</f>
        <v/>
      </c>
      <c r="X24" s="27">
        <f>IF(O24&lt;=0,0,IF(O24*10^6/(Datos!$B$8*D24*10*(H24*10)^2*Datos!$B$5)&gt;=0.5,"REVISAR",(1-SQRT(1-2*O24*10^6/(Datos!$B$8*D24*10*(H24*10)^2*Datos!$B$5)))*D24*10*H24*10*Datos!$B$5/Datos!$B$6/100))</f>
        <v/>
      </c>
      <c r="Y24" s="24" t="n">
        <v>4</v>
      </c>
      <c r="Z24" s="24" t="n">
        <v>8</v>
      </c>
      <c r="AA24" s="27">
        <f>Y24*PI()*Z24^2/400</f>
        <v/>
      </c>
      <c r="AB24" s="22">
        <f>IF(OR(X24="REVISAR",AA24=0),"REVISAR",IF(AA24&gt;R24,"EXCEDE As max",IF(AA24&gt;=MAX(X24,Q24),"CUMPLE","NO CUMPLE")))</f>
        <v/>
      </c>
      <c r="AC24" s="27">
        <f>Datos!$B$9*0.17*SQRT(Datos!$B$5)*D24*10*H24*10/1000</f>
        <v/>
      </c>
      <c r="AD24" s="24" t="n">
        <v>8</v>
      </c>
      <c r="AE24" s="26" t="n">
        <v>5</v>
      </c>
      <c r="AF24" s="27">
        <f>AC24+Datos!$B$9*(2*PI()*AD24^2/4)*Datos!$B$6*(H24*10)/(AE24*10)/1000</f>
        <v/>
      </c>
      <c r="AG24" s="22">
        <f>IF(P24&lt;=AF24,"CUMPLE","NO CUMPLE")</f>
        <v/>
      </c>
      <c r="AH24" s="27">
        <f>F24*100/VLOOKUP($C24,Datos!$A$18:$E$22,5,0)</f>
        <v/>
      </c>
      <c r="AI24" s="22">
        <f>IF(E24&gt;=AH24,"CUMPLE","VERIFICAR FLECHA")</f>
        <v/>
      </c>
      <c r="AJ24" s="29" t="n"/>
    </row>
    <row r="25" ht="17" customHeight="1">
      <c r="A25" s="22" t="inlineStr">
        <is>
          <t>PA</t>
        </is>
      </c>
      <c r="B25" s="23" t="inlineStr">
        <is>
          <t>VCH 05</t>
        </is>
      </c>
      <c r="C25" s="24" t="inlineStr">
        <is>
          <t>Simplemente apoyada</t>
        </is>
      </c>
      <c r="D25" s="24" t="n">
        <v>12</v>
      </c>
      <c r="E25" s="24" t="n">
        <v>45</v>
      </c>
      <c r="F25" s="25" t="n">
        <v>3.71</v>
      </c>
      <c r="G25" s="26" t="n">
        <v>3</v>
      </c>
      <c r="H25" s="27">
        <f>E25-G25</f>
        <v/>
      </c>
      <c r="I25" s="24" t="n">
        <v>0.6</v>
      </c>
      <c r="J25" s="24" t="n">
        <v>2.6</v>
      </c>
      <c r="K25" s="27">
        <f>VLOOKUP($A25,Datos!$A$13:$E$14,2,0)*I25+Datos!$B$7*D25*E25/10000+Datos!$B$15*J25</f>
        <v/>
      </c>
      <c r="L25" s="27">
        <f>VLOOKUP($A25,Datos!$A$13:$E$14,3,0)*I25</f>
        <v/>
      </c>
      <c r="M25" s="27">
        <f>1.2*K25+1.6*L25</f>
        <v/>
      </c>
      <c r="N25" s="27">
        <f>VLOOKUP($C25,Datos!$A$18:$E$22,2,0)*M25*F25^2</f>
        <v/>
      </c>
      <c r="O25" s="27">
        <f>VLOOKUP($C25,Datos!$A$18:$E$22,3,0)*M25*F25^2</f>
        <v/>
      </c>
      <c r="P25" s="27">
        <f>VLOOKUP($C25,Datos!$A$18:$E$22,4,0)*M25*F25</f>
        <v/>
      </c>
      <c r="Q25" s="27">
        <f>0.0033*D25*H25</f>
        <v/>
      </c>
      <c r="R25" s="27">
        <f>0.0163*D25*H25</f>
        <v/>
      </c>
      <c r="S25" s="27">
        <f>IF(N25&lt;=0,0,IF(N25*10^6/(Datos!$B$8*D25*10*(H25*10)^2*Datos!$B$5)&gt;=0.5,"REVISAR",(1-SQRT(1-2*N25*10^6/(Datos!$B$8*D25*10*(H25*10)^2*Datos!$B$5)))*D25*10*H25*10*Datos!$B$5/Datos!$B$6/100))</f>
        <v/>
      </c>
      <c r="T25" s="24" t="n">
        <v>2</v>
      </c>
      <c r="U25" s="24" t="n">
        <v>12</v>
      </c>
      <c r="V25" s="27">
        <f>T25*PI()*U25^2/400</f>
        <v/>
      </c>
      <c r="W25" s="22">
        <f>IF(OR(S25="REVISAR",V25=0),"REVISAR",IF(V25&gt;R25,"EXCEDE As max",IF(V25&gt;=MAX(S25,Q25),"CUMPLE","NO CUMPLE")))</f>
        <v/>
      </c>
      <c r="X25" s="27">
        <f>IF(O25&lt;=0,0,IF(O25*10^6/(Datos!$B$8*D25*10*(H25*10)^2*Datos!$B$5)&gt;=0.5,"REVISAR",(1-SQRT(1-2*O25*10^6/(Datos!$B$8*D25*10*(H25*10)^2*Datos!$B$5)))*D25*10*H25*10*Datos!$B$5/Datos!$B$6/100))</f>
        <v/>
      </c>
      <c r="Y25" s="24" t="n">
        <v>2</v>
      </c>
      <c r="Z25" s="24" t="n">
        <v>12</v>
      </c>
      <c r="AA25" s="27">
        <f>Y25*PI()*Z25^2/400</f>
        <v/>
      </c>
      <c r="AB25" s="22">
        <f>IF(OR(X25="REVISAR",AA25=0),"REVISAR",IF(AA25&gt;R25,"EXCEDE As max",IF(AA25&gt;=MAX(X25,Q25),"CUMPLE","NO CUMPLE")))</f>
        <v/>
      </c>
      <c r="AC25" s="27">
        <f>Datos!$B$9*0.17*SQRT(Datos!$B$5)*D25*10*H25*10/1000</f>
        <v/>
      </c>
      <c r="AD25" s="24" t="n">
        <v>6</v>
      </c>
      <c r="AE25" s="26" t="n">
        <v>20</v>
      </c>
      <c r="AF25" s="27">
        <f>AC25+Datos!$B$9*(2*PI()*AD25^2/4)*Datos!$B$6*(H25*10)/(AE25*10)/1000</f>
        <v/>
      </c>
      <c r="AG25" s="22">
        <f>IF(P25&lt;=AF25,"CUMPLE","NO CUMPLE")</f>
        <v/>
      </c>
      <c r="AH25" s="27">
        <f>F25*100/VLOOKUP($C25,Datos!$A$18:$E$22,5,0)</f>
        <v/>
      </c>
      <c r="AI25" s="22">
        <f>IF(E25&gt;=AH25,"CUMPLE","VERIFICAR FLECHA")</f>
        <v/>
      </c>
      <c r="AJ25" s="29" t="n"/>
    </row>
    <row r="27">
      <c r="A27" s="20" t="inlineStr">
        <is>
          <t>LOSA DE TECHO / AZOTEA   (N.F.L +6,80 / N.S.V +7,50)</t>
        </is>
      </c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</row>
    <row r="28" ht="17" customHeight="1">
      <c r="A28" s="22" t="inlineStr">
        <is>
          <t>TECHO</t>
        </is>
      </c>
      <c r="B28" s="23" t="inlineStr">
        <is>
          <t>VI 12</t>
        </is>
      </c>
      <c r="C28" s="24" t="inlineStr">
        <is>
          <t>Continua</t>
        </is>
      </c>
      <c r="D28" s="24" t="n">
        <v>15</v>
      </c>
      <c r="E28" s="24" t="n">
        <v>70</v>
      </c>
      <c r="F28" s="25" t="n">
        <v>9.9</v>
      </c>
      <c r="G28" s="26" t="n">
        <v>3</v>
      </c>
      <c r="H28" s="27">
        <f>E28-G28</f>
        <v/>
      </c>
      <c r="I28" s="24" t="n">
        <v>2</v>
      </c>
      <c r="J28" s="24" t="n">
        <v>1</v>
      </c>
      <c r="K28" s="27">
        <f>VLOOKUP($A28,Datos!$A$13:$E$14,2,0)*I28+Datos!$B$7*D28*E28/10000+Datos!$B$15*J28</f>
        <v/>
      </c>
      <c r="L28" s="27">
        <f>VLOOKUP($A28,Datos!$A$13:$E$14,3,0)*I28</f>
        <v/>
      </c>
      <c r="M28" s="27">
        <f>1.2*K28+1.6*L28</f>
        <v/>
      </c>
      <c r="N28" s="27">
        <f>VLOOKUP($C28,Datos!$A$18:$E$22,2,0)*M28*F28^2</f>
        <v/>
      </c>
      <c r="O28" s="27">
        <f>VLOOKUP($C28,Datos!$A$18:$E$22,3,0)*M28*F28^2</f>
        <v/>
      </c>
      <c r="P28" s="27">
        <f>VLOOKUP($C28,Datos!$A$18:$E$22,4,0)*M28*F28</f>
        <v/>
      </c>
      <c r="Q28" s="27">
        <f>0.0033*D28*H28</f>
        <v/>
      </c>
      <c r="R28" s="27">
        <f>0.0163*D28*H28</f>
        <v/>
      </c>
      <c r="S28" s="27">
        <f>IF(N28&lt;=0,0,IF(N28*10^6/(Datos!$B$8*D28*10*(H28*10)^2*Datos!$B$5)&gt;=0.5,"REVISAR",(1-SQRT(1-2*N28*10^6/(Datos!$B$8*D28*10*(H28*10)^2*Datos!$B$5)))*D28*10*H28*10*Datos!$B$5/Datos!$B$6/100))</f>
        <v/>
      </c>
      <c r="T28" s="24" t="n">
        <v>2</v>
      </c>
      <c r="U28" s="24" t="n">
        <v>25</v>
      </c>
      <c r="V28" s="27">
        <f>T28*PI()*U28^2/400</f>
        <v/>
      </c>
      <c r="W28" s="22">
        <f>IF(OR(S28="REVISAR",V28=0),"REVISAR",IF(V28&gt;R28,"EXCEDE As max",IF(V28&gt;=MAX(S28,Q28),"CUMPLE","NO CUMPLE")))</f>
        <v/>
      </c>
      <c r="X28" s="27">
        <f>IF(O28&lt;=0,0,IF(O28*10^6/(Datos!$B$8*D28*10*(H28*10)^2*Datos!$B$5)&gt;=0.5,"REVISAR",(1-SQRT(1-2*O28*10^6/(Datos!$B$8*D28*10*(H28*10)^2*Datos!$B$5)))*D28*10*H28*10*Datos!$B$5/Datos!$B$6/100))</f>
        <v/>
      </c>
      <c r="Y28" s="24" t="n">
        <v>2</v>
      </c>
      <c r="Z28" s="24" t="n">
        <v>25</v>
      </c>
      <c r="AA28" s="27">
        <f>Y28*PI()*Z28^2/400</f>
        <v/>
      </c>
      <c r="AB28" s="22">
        <f>IF(OR(X28="REVISAR",AA28=0),"REVISAR",IF(AA28&gt;R28,"EXCEDE As max",IF(AA28&gt;=MAX(X28,Q28),"CUMPLE","NO CUMPLE")))</f>
        <v/>
      </c>
      <c r="AC28" s="27">
        <f>Datos!$B$9*0.17*SQRT(Datos!$B$5)*D28*10*H28*10/1000</f>
        <v/>
      </c>
      <c r="AD28" s="24" t="n">
        <v>6</v>
      </c>
      <c r="AE28" s="26" t="n">
        <v>15</v>
      </c>
      <c r="AF28" s="27">
        <f>AC28+Datos!$B$9*(2*PI()*AD28^2/4)*Datos!$B$6*(H28*10)/(AE28*10)/1000</f>
        <v/>
      </c>
      <c r="AG28" s="22">
        <f>IF(P28&lt;=AF28,"CUMPLE","NO CUMPLE")</f>
        <v/>
      </c>
      <c r="AH28" s="27">
        <f>F28*100/VLOOKUP($C28,Datos!$A$18:$E$22,5,0)</f>
        <v/>
      </c>
      <c r="AI28" s="22">
        <f>IF(E28&gt;=AH28,"CUMPLE","VERIFICAR FLECHA")</f>
        <v/>
      </c>
      <c r="AJ28" s="29" t="n"/>
    </row>
    <row r="29" ht="17" customHeight="1">
      <c r="A29" s="22" t="inlineStr">
        <is>
          <t>TECHO</t>
        </is>
      </c>
      <c r="B29" s="23" t="inlineStr">
        <is>
          <t>VI 13a</t>
        </is>
      </c>
      <c r="C29" s="24" t="inlineStr">
        <is>
          <t>Continua</t>
        </is>
      </c>
      <c r="D29" s="24" t="n">
        <v>15</v>
      </c>
      <c r="E29" s="24" t="n">
        <v>50</v>
      </c>
      <c r="F29" s="25" t="n">
        <v>6</v>
      </c>
      <c r="G29" s="26" t="n">
        <v>3</v>
      </c>
      <c r="H29" s="27">
        <f>E29-G29</f>
        <v/>
      </c>
      <c r="I29" s="24" t="n">
        <v>2</v>
      </c>
      <c r="J29" s="24" t="n">
        <v>1</v>
      </c>
      <c r="K29" s="27">
        <f>VLOOKUP($A29,Datos!$A$13:$E$14,2,0)*I29+Datos!$B$7*D29*E29/10000+Datos!$B$15*J29</f>
        <v/>
      </c>
      <c r="L29" s="27">
        <f>VLOOKUP($A29,Datos!$A$13:$E$14,3,0)*I29</f>
        <v/>
      </c>
      <c r="M29" s="27">
        <f>1.2*K29+1.6*L29</f>
        <v/>
      </c>
      <c r="N29" s="27">
        <f>VLOOKUP($C29,Datos!$A$18:$E$22,2,0)*M29*F29^2</f>
        <v/>
      </c>
      <c r="O29" s="27">
        <f>VLOOKUP($C29,Datos!$A$18:$E$22,3,0)*M29*F29^2</f>
        <v/>
      </c>
      <c r="P29" s="27">
        <f>VLOOKUP($C29,Datos!$A$18:$E$22,4,0)*M29*F29</f>
        <v/>
      </c>
      <c r="Q29" s="27">
        <f>0.0033*D29*H29</f>
        <v/>
      </c>
      <c r="R29" s="27">
        <f>0.0163*D29*H29</f>
        <v/>
      </c>
      <c r="S29" s="27">
        <f>IF(N29&lt;=0,0,IF(N29*10^6/(Datos!$B$8*D29*10*(H29*10)^2*Datos!$B$5)&gt;=0.5,"REVISAR",(1-SQRT(1-2*N29*10^6/(Datos!$B$8*D29*10*(H29*10)^2*Datos!$B$5)))*D29*10*H29*10*Datos!$B$5/Datos!$B$6/100))</f>
        <v/>
      </c>
      <c r="T29" s="24" t="n">
        <v>3</v>
      </c>
      <c r="U29" s="24" t="n">
        <v>12</v>
      </c>
      <c r="V29" s="27">
        <f>T29*PI()*U29^2/400</f>
        <v/>
      </c>
      <c r="W29" s="22">
        <f>IF(OR(S29="REVISAR",V29=0),"REVISAR",IF(V29&gt;R29,"EXCEDE As max",IF(V29&gt;=MAX(S29,Q29),"CUMPLE","NO CUMPLE")))</f>
        <v/>
      </c>
      <c r="X29" s="27">
        <f>IF(O29&lt;=0,0,IF(O29*10^6/(Datos!$B$8*D29*10*(H29*10)^2*Datos!$B$5)&gt;=0.5,"REVISAR",(1-SQRT(1-2*O29*10^6/(Datos!$B$8*D29*10*(H29*10)^2*Datos!$B$5)))*D29*10*H29*10*Datos!$B$5/Datos!$B$6/100))</f>
        <v/>
      </c>
      <c r="Y29" s="24" t="n">
        <v>2</v>
      </c>
      <c r="Z29" s="24" t="n">
        <v>20</v>
      </c>
      <c r="AA29" s="27">
        <f>Y29*PI()*Z29^2/400</f>
        <v/>
      </c>
      <c r="AB29" s="22">
        <f>IF(OR(X29="REVISAR",AA29=0),"REVISAR",IF(AA29&gt;R29,"EXCEDE As max",IF(AA29&gt;=MAX(X29,Q29),"CUMPLE","NO CUMPLE")))</f>
        <v/>
      </c>
      <c r="AC29" s="27">
        <f>Datos!$B$9*0.17*SQRT(Datos!$B$5)*D29*10*H29*10/1000</f>
        <v/>
      </c>
      <c r="AD29" s="24" t="n">
        <v>6</v>
      </c>
      <c r="AE29" s="26" t="n">
        <v>20</v>
      </c>
      <c r="AF29" s="27">
        <f>AC29+Datos!$B$9*(2*PI()*AD29^2/4)*Datos!$B$6*(H29*10)/(AE29*10)/1000</f>
        <v/>
      </c>
      <c r="AG29" s="22">
        <f>IF(P29&lt;=AF29,"CUMPLE","NO CUMPLE")</f>
        <v/>
      </c>
      <c r="AH29" s="27">
        <f>F29*100/VLOOKUP($C29,Datos!$A$18:$E$22,5,0)</f>
        <v/>
      </c>
      <c r="AI29" s="22">
        <f>IF(E29&gt;=AH29,"CUMPLE","VERIFICAR FLECHA")</f>
        <v/>
      </c>
      <c r="AJ29" s="29" t="n"/>
    </row>
    <row r="30" ht="17" customHeight="1">
      <c r="A30" s="22" t="inlineStr">
        <is>
          <t>TECHO</t>
        </is>
      </c>
      <c r="B30" s="23" t="inlineStr">
        <is>
          <t>VI 13b</t>
        </is>
      </c>
      <c r="C30" s="24" t="inlineStr">
        <is>
          <t>Continua</t>
        </is>
      </c>
      <c r="D30" s="24" t="n">
        <v>15</v>
      </c>
      <c r="E30" s="24" t="n">
        <v>50</v>
      </c>
      <c r="F30" s="25" t="n">
        <v>3.75</v>
      </c>
      <c r="G30" s="26" t="n">
        <v>3</v>
      </c>
      <c r="H30" s="27">
        <f>E30-G30</f>
        <v/>
      </c>
      <c r="I30" s="24" t="n">
        <v>2</v>
      </c>
      <c r="J30" s="24" t="n">
        <v>1</v>
      </c>
      <c r="K30" s="27">
        <f>VLOOKUP($A30,Datos!$A$13:$E$14,2,0)*I30+Datos!$B$7*D30*E30/10000+Datos!$B$15*J30</f>
        <v/>
      </c>
      <c r="L30" s="27">
        <f>VLOOKUP($A30,Datos!$A$13:$E$14,3,0)*I30</f>
        <v/>
      </c>
      <c r="M30" s="27">
        <f>1.2*K30+1.6*L30</f>
        <v/>
      </c>
      <c r="N30" s="27">
        <f>VLOOKUP($C30,Datos!$A$18:$E$22,2,0)*M30*F30^2</f>
        <v/>
      </c>
      <c r="O30" s="27">
        <f>VLOOKUP($C30,Datos!$A$18:$E$22,3,0)*M30*F30^2</f>
        <v/>
      </c>
      <c r="P30" s="27">
        <f>VLOOKUP($C30,Datos!$A$18:$E$22,4,0)*M30*F30</f>
        <v/>
      </c>
      <c r="Q30" s="27">
        <f>0.0033*D30*H30</f>
        <v/>
      </c>
      <c r="R30" s="27">
        <f>0.0163*D30*H30</f>
        <v/>
      </c>
      <c r="S30" s="27">
        <f>IF(N30&lt;=0,0,IF(N30*10^6/(Datos!$B$8*D30*10*(H30*10)^2*Datos!$B$5)&gt;=0.5,"REVISAR",(1-SQRT(1-2*N30*10^6/(Datos!$B$8*D30*10*(H30*10)^2*Datos!$B$5)))*D30*10*H30*10*Datos!$B$5/Datos!$B$6/100))</f>
        <v/>
      </c>
      <c r="T30" s="24" t="n">
        <v>3</v>
      </c>
      <c r="U30" s="24" t="n">
        <v>10</v>
      </c>
      <c r="V30" s="27">
        <f>T30*PI()*U30^2/400</f>
        <v/>
      </c>
      <c r="W30" s="22">
        <f>IF(OR(S30="REVISAR",V30=0),"REVISAR",IF(V30&gt;R30,"EXCEDE As max",IF(V30&gt;=MAX(S30,Q30),"CUMPLE","NO CUMPLE")))</f>
        <v/>
      </c>
      <c r="X30" s="27">
        <f>IF(O30&lt;=0,0,IF(O30*10^6/(Datos!$B$8*D30*10*(H30*10)^2*Datos!$B$5)&gt;=0.5,"REVISAR",(1-SQRT(1-2*O30*10^6/(Datos!$B$8*D30*10*(H30*10)^2*Datos!$B$5)))*D30*10*H30*10*Datos!$B$5/Datos!$B$6/100))</f>
        <v/>
      </c>
      <c r="Y30" s="24" t="n">
        <v>3</v>
      </c>
      <c r="Z30" s="24" t="n">
        <v>10</v>
      </c>
      <c r="AA30" s="27">
        <f>Y30*PI()*Z30^2/400</f>
        <v/>
      </c>
      <c r="AB30" s="22">
        <f>IF(OR(X30="REVISAR",AA30=0),"REVISAR",IF(AA30&gt;R30,"EXCEDE As max",IF(AA30&gt;=MAX(X30,Q30),"CUMPLE","NO CUMPLE")))</f>
        <v/>
      </c>
      <c r="AC30" s="27">
        <f>Datos!$B$9*0.17*SQRT(Datos!$B$5)*D30*10*H30*10/1000</f>
        <v/>
      </c>
      <c r="AD30" s="24" t="n">
        <v>6</v>
      </c>
      <c r="AE30" s="26" t="n">
        <v>20</v>
      </c>
      <c r="AF30" s="27">
        <f>AC30+Datos!$B$9*(2*PI()*AD30^2/4)*Datos!$B$6*(H30*10)/(AE30*10)/1000</f>
        <v/>
      </c>
      <c r="AG30" s="22">
        <f>IF(P30&lt;=AF30,"CUMPLE","NO CUMPLE")</f>
        <v/>
      </c>
      <c r="AH30" s="27">
        <f>F30*100/VLOOKUP($C30,Datos!$A$18:$E$22,5,0)</f>
        <v/>
      </c>
      <c r="AI30" s="22">
        <f>IF(E30&gt;=AH30,"CUMPLE","VERIFICAR FLECHA")</f>
        <v/>
      </c>
      <c r="AJ30" s="29" t="n"/>
    </row>
    <row r="31" ht="17" customHeight="1">
      <c r="A31" s="22" t="inlineStr">
        <is>
          <t>TECHO</t>
        </is>
      </c>
      <c r="B31" s="23" t="inlineStr">
        <is>
          <t>VI 14</t>
        </is>
      </c>
      <c r="C31" s="24" t="inlineStr">
        <is>
          <t>Continua</t>
        </is>
      </c>
      <c r="D31" s="24" t="n">
        <v>15</v>
      </c>
      <c r="E31" s="24" t="n">
        <v>70</v>
      </c>
      <c r="F31" s="25" t="n">
        <v>6</v>
      </c>
      <c r="G31" s="26" t="n">
        <v>3</v>
      </c>
      <c r="H31" s="27">
        <f>E31-G31</f>
        <v/>
      </c>
      <c r="I31" s="24" t="n">
        <v>2</v>
      </c>
      <c r="J31" s="24" t="n">
        <v>1</v>
      </c>
      <c r="K31" s="27">
        <f>VLOOKUP($A31,Datos!$A$13:$E$14,2,0)*I31+Datos!$B$7*D31*E31/10000+Datos!$B$15*J31</f>
        <v/>
      </c>
      <c r="L31" s="27">
        <f>VLOOKUP($A31,Datos!$A$13:$E$14,3,0)*I31</f>
        <v/>
      </c>
      <c r="M31" s="27">
        <f>1.2*K31+1.6*L31</f>
        <v/>
      </c>
      <c r="N31" s="27">
        <f>VLOOKUP($C31,Datos!$A$18:$E$22,2,0)*M31*F31^2</f>
        <v/>
      </c>
      <c r="O31" s="27">
        <f>VLOOKUP($C31,Datos!$A$18:$E$22,3,0)*M31*F31^2</f>
        <v/>
      </c>
      <c r="P31" s="27">
        <f>VLOOKUP($C31,Datos!$A$18:$E$22,4,0)*M31*F31</f>
        <v/>
      </c>
      <c r="Q31" s="27">
        <f>0.0033*D31*H31</f>
        <v/>
      </c>
      <c r="R31" s="27">
        <f>0.0163*D31*H31</f>
        <v/>
      </c>
      <c r="S31" s="27">
        <f>IF(N31&lt;=0,0,IF(N31*10^6/(Datos!$B$8*D31*10*(H31*10)^2*Datos!$B$5)&gt;=0.5,"REVISAR",(1-SQRT(1-2*N31*10^6/(Datos!$B$8*D31*10*(H31*10)^2*Datos!$B$5)))*D31*10*H31*10*Datos!$B$5/Datos!$B$6/100))</f>
        <v/>
      </c>
      <c r="T31" s="24" t="n">
        <v>3</v>
      </c>
      <c r="U31" s="24" t="n">
        <v>12</v>
      </c>
      <c r="V31" s="27">
        <f>T31*PI()*U31^2/400</f>
        <v/>
      </c>
      <c r="W31" s="22">
        <f>IF(OR(S31="REVISAR",V31=0),"REVISAR",IF(V31&gt;R31,"EXCEDE As max",IF(V31&gt;=MAX(S31,Q31),"CUMPLE","NO CUMPLE")))</f>
        <v/>
      </c>
      <c r="X31" s="27">
        <f>IF(O31&lt;=0,0,IF(O31*10^6/(Datos!$B$8*D31*10*(H31*10)^2*Datos!$B$5)&gt;=0.5,"REVISAR",(1-SQRT(1-2*O31*10^6/(Datos!$B$8*D31*10*(H31*10)^2*Datos!$B$5)))*D31*10*H31*10*Datos!$B$5/Datos!$B$6/100))</f>
        <v/>
      </c>
      <c r="Y31" s="24" t="n">
        <v>3</v>
      </c>
      <c r="Z31" s="24" t="n">
        <v>12</v>
      </c>
      <c r="AA31" s="27">
        <f>Y31*PI()*Z31^2/400</f>
        <v/>
      </c>
      <c r="AB31" s="22">
        <f>IF(OR(X31="REVISAR",AA31=0),"REVISAR",IF(AA31&gt;R31,"EXCEDE As max",IF(AA31&gt;=MAX(X31,Q31),"CUMPLE","NO CUMPLE")))</f>
        <v/>
      </c>
      <c r="AC31" s="27">
        <f>Datos!$B$9*0.17*SQRT(Datos!$B$5)*D31*10*H31*10/1000</f>
        <v/>
      </c>
      <c r="AD31" s="24" t="n">
        <v>6</v>
      </c>
      <c r="AE31" s="26" t="n">
        <v>30</v>
      </c>
      <c r="AF31" s="27">
        <f>AC31+Datos!$B$9*(2*PI()*AD31^2/4)*Datos!$B$6*(H31*10)/(AE31*10)/1000</f>
        <v/>
      </c>
      <c r="AG31" s="22">
        <f>IF(P31&lt;=AF31,"CUMPLE","NO CUMPLE")</f>
        <v/>
      </c>
      <c r="AH31" s="27">
        <f>F31*100/VLOOKUP($C31,Datos!$A$18:$E$22,5,0)</f>
        <v/>
      </c>
      <c r="AI31" s="22">
        <f>IF(E31&gt;=AH31,"CUMPLE","VERIFICAR FLECHA")</f>
        <v/>
      </c>
      <c r="AJ31" s="29" t="n"/>
    </row>
    <row r="32" ht="17" customHeight="1">
      <c r="A32" s="22" t="inlineStr">
        <is>
          <t>TECHO</t>
        </is>
      </c>
      <c r="B32" s="23" t="inlineStr">
        <is>
          <t>VI 15a</t>
        </is>
      </c>
      <c r="C32" s="24" t="inlineStr">
        <is>
          <t>Continua</t>
        </is>
      </c>
      <c r="D32" s="24" t="n">
        <v>15</v>
      </c>
      <c r="E32" s="24" t="n">
        <v>70</v>
      </c>
      <c r="F32" s="25" t="n">
        <v>4.03</v>
      </c>
      <c r="G32" s="26" t="n">
        <v>3</v>
      </c>
      <c r="H32" s="27">
        <f>E32-G32</f>
        <v/>
      </c>
      <c r="I32" s="24" t="n">
        <v>2</v>
      </c>
      <c r="J32" s="24" t="n">
        <v>1</v>
      </c>
      <c r="K32" s="27">
        <f>VLOOKUP($A32,Datos!$A$13:$E$14,2,0)*I32+Datos!$B$7*D32*E32/10000+Datos!$B$15*J32</f>
        <v/>
      </c>
      <c r="L32" s="27">
        <f>VLOOKUP($A32,Datos!$A$13:$E$14,3,0)*I32</f>
        <v/>
      </c>
      <c r="M32" s="27">
        <f>1.2*K32+1.6*L32</f>
        <v/>
      </c>
      <c r="N32" s="27">
        <f>VLOOKUP($C32,Datos!$A$18:$E$22,2,0)*M32*F32^2</f>
        <v/>
      </c>
      <c r="O32" s="27">
        <f>VLOOKUP($C32,Datos!$A$18:$E$22,3,0)*M32*F32^2</f>
        <v/>
      </c>
      <c r="P32" s="27">
        <f>VLOOKUP($C32,Datos!$A$18:$E$22,4,0)*M32*F32</f>
        <v/>
      </c>
      <c r="Q32" s="27">
        <f>0.0033*D32*H32</f>
        <v/>
      </c>
      <c r="R32" s="27">
        <f>0.0163*D32*H32</f>
        <v/>
      </c>
      <c r="S32" s="27">
        <f>IF(N32&lt;=0,0,IF(N32*10^6/(Datos!$B$8*D32*10*(H32*10)^2*Datos!$B$5)&gt;=0.5,"REVISAR",(1-SQRT(1-2*N32*10^6/(Datos!$B$8*D32*10*(H32*10)^2*Datos!$B$5)))*D32*10*H32*10*Datos!$B$5/Datos!$B$6/100))</f>
        <v/>
      </c>
      <c r="T32" s="24" t="n">
        <v>3</v>
      </c>
      <c r="U32" s="24" t="n">
        <v>12</v>
      </c>
      <c r="V32" s="27">
        <f>T32*PI()*U32^2/400</f>
        <v/>
      </c>
      <c r="W32" s="22">
        <f>IF(OR(S32="REVISAR",V32=0),"REVISAR",IF(V32&gt;R32,"EXCEDE As max",IF(V32&gt;=MAX(S32,Q32),"CUMPLE","NO CUMPLE")))</f>
        <v/>
      </c>
      <c r="X32" s="27">
        <f>IF(O32&lt;=0,0,IF(O32*10^6/(Datos!$B$8*D32*10*(H32*10)^2*Datos!$B$5)&gt;=0.5,"REVISAR",(1-SQRT(1-2*O32*10^6/(Datos!$B$8*D32*10*(H32*10)^2*Datos!$B$5)))*D32*10*H32*10*Datos!$B$5/Datos!$B$6/100))</f>
        <v/>
      </c>
      <c r="Y32" s="24" t="n">
        <v>3</v>
      </c>
      <c r="Z32" s="24" t="n">
        <v>12</v>
      </c>
      <c r="AA32" s="27">
        <f>Y32*PI()*Z32^2/400</f>
        <v/>
      </c>
      <c r="AB32" s="22">
        <f>IF(OR(X32="REVISAR",AA32=0),"REVISAR",IF(AA32&gt;R32,"EXCEDE As max",IF(AA32&gt;=MAX(X32,Q32),"CUMPLE","NO CUMPLE")))</f>
        <v/>
      </c>
      <c r="AC32" s="27">
        <f>Datos!$B$9*0.17*SQRT(Datos!$B$5)*D32*10*H32*10/1000</f>
        <v/>
      </c>
      <c r="AD32" s="24" t="n">
        <v>6</v>
      </c>
      <c r="AE32" s="26" t="n">
        <v>30</v>
      </c>
      <c r="AF32" s="27">
        <f>AC32+Datos!$B$9*(2*PI()*AD32^2/4)*Datos!$B$6*(H32*10)/(AE32*10)/1000</f>
        <v/>
      </c>
      <c r="AG32" s="22">
        <f>IF(P32&lt;=AF32,"CUMPLE","NO CUMPLE")</f>
        <v/>
      </c>
      <c r="AH32" s="27">
        <f>F32*100/VLOOKUP($C32,Datos!$A$18:$E$22,5,0)</f>
        <v/>
      </c>
      <c r="AI32" s="22">
        <f>IF(E32&gt;=AH32,"CUMPLE","VERIFICAR FLECHA")</f>
        <v/>
      </c>
      <c r="AJ32" s="29" t="n"/>
    </row>
    <row r="33" ht="17" customHeight="1">
      <c r="A33" s="22" t="inlineStr">
        <is>
          <t>TECHO</t>
        </is>
      </c>
      <c r="B33" s="23" t="inlineStr">
        <is>
          <t>VI 15b</t>
        </is>
      </c>
      <c r="C33" s="24" t="inlineStr">
        <is>
          <t>Continua</t>
        </is>
      </c>
      <c r="D33" s="24" t="n">
        <v>15</v>
      </c>
      <c r="E33" s="24" t="n">
        <v>70</v>
      </c>
      <c r="F33" s="25" t="n">
        <v>4.85</v>
      </c>
      <c r="G33" s="26" t="n">
        <v>3</v>
      </c>
      <c r="H33" s="27">
        <f>E33-G33</f>
        <v/>
      </c>
      <c r="I33" s="24" t="n">
        <v>2</v>
      </c>
      <c r="J33" s="24" t="n">
        <v>1</v>
      </c>
      <c r="K33" s="27">
        <f>VLOOKUP($A33,Datos!$A$13:$E$14,2,0)*I33+Datos!$B$7*D33*E33/10000+Datos!$B$15*J33</f>
        <v/>
      </c>
      <c r="L33" s="27">
        <f>VLOOKUP($A33,Datos!$A$13:$E$14,3,0)*I33</f>
        <v/>
      </c>
      <c r="M33" s="27">
        <f>1.2*K33+1.6*L33</f>
        <v/>
      </c>
      <c r="N33" s="27">
        <f>VLOOKUP($C33,Datos!$A$18:$E$22,2,0)*M33*F33^2</f>
        <v/>
      </c>
      <c r="O33" s="27">
        <f>VLOOKUP($C33,Datos!$A$18:$E$22,3,0)*M33*F33^2</f>
        <v/>
      </c>
      <c r="P33" s="27">
        <f>VLOOKUP($C33,Datos!$A$18:$E$22,4,0)*M33*F33</f>
        <v/>
      </c>
      <c r="Q33" s="27">
        <f>0.0033*D33*H33</f>
        <v/>
      </c>
      <c r="R33" s="27">
        <f>0.0163*D33*H33</f>
        <v/>
      </c>
      <c r="S33" s="27">
        <f>IF(N33&lt;=0,0,IF(N33*10^6/(Datos!$B$8*D33*10*(H33*10)^2*Datos!$B$5)&gt;=0.5,"REVISAR",(1-SQRT(1-2*N33*10^6/(Datos!$B$8*D33*10*(H33*10)^2*Datos!$B$5)))*D33*10*H33*10*Datos!$B$5/Datos!$B$6/100))</f>
        <v/>
      </c>
      <c r="T33" s="24" t="n">
        <v>3</v>
      </c>
      <c r="U33" s="24" t="n">
        <v>12</v>
      </c>
      <c r="V33" s="27">
        <f>T33*PI()*U33^2/400</f>
        <v/>
      </c>
      <c r="W33" s="22">
        <f>IF(OR(S33="REVISAR",V33=0),"REVISAR",IF(V33&gt;R33,"EXCEDE As max",IF(V33&gt;=MAX(S33,Q33),"CUMPLE","NO CUMPLE")))</f>
        <v/>
      </c>
      <c r="X33" s="27">
        <f>IF(O33&lt;=0,0,IF(O33*10^6/(Datos!$B$8*D33*10*(H33*10)^2*Datos!$B$5)&gt;=0.5,"REVISAR",(1-SQRT(1-2*O33*10^6/(Datos!$B$8*D33*10*(H33*10)^2*Datos!$B$5)))*D33*10*H33*10*Datos!$B$5/Datos!$B$6/100))</f>
        <v/>
      </c>
      <c r="Y33" s="24" t="n">
        <v>3</v>
      </c>
      <c r="Z33" s="24" t="n">
        <v>12</v>
      </c>
      <c r="AA33" s="27">
        <f>Y33*PI()*Z33^2/400</f>
        <v/>
      </c>
      <c r="AB33" s="22">
        <f>IF(OR(X33="REVISAR",AA33=0),"REVISAR",IF(AA33&gt;R33,"EXCEDE As max",IF(AA33&gt;=MAX(X33,Q33),"CUMPLE","NO CUMPLE")))</f>
        <v/>
      </c>
      <c r="AC33" s="27">
        <f>Datos!$B$9*0.17*SQRT(Datos!$B$5)*D33*10*H33*10/1000</f>
        <v/>
      </c>
      <c r="AD33" s="24" t="n">
        <v>6</v>
      </c>
      <c r="AE33" s="26" t="n">
        <v>30</v>
      </c>
      <c r="AF33" s="27">
        <f>AC33+Datos!$B$9*(2*PI()*AD33^2/4)*Datos!$B$6*(H33*10)/(AE33*10)/1000</f>
        <v/>
      </c>
      <c r="AG33" s="22">
        <f>IF(P33&lt;=AF33,"CUMPLE","NO CUMPLE")</f>
        <v/>
      </c>
      <c r="AH33" s="27">
        <f>F33*100/VLOOKUP($C33,Datos!$A$18:$E$22,5,0)</f>
        <v/>
      </c>
      <c r="AI33" s="22">
        <f>IF(E33&gt;=AH33,"CUMPLE","VERIFICAR FLECHA")</f>
        <v/>
      </c>
      <c r="AJ33" s="29" t="n"/>
    </row>
    <row r="34" ht="17" customHeight="1">
      <c r="A34" s="22" t="inlineStr">
        <is>
          <t>TECHO</t>
        </is>
      </c>
      <c r="B34" s="23" t="inlineStr">
        <is>
          <t>VI 16a</t>
        </is>
      </c>
      <c r="C34" s="24" t="inlineStr">
        <is>
          <t>Continua</t>
        </is>
      </c>
      <c r="D34" s="24" t="n">
        <v>15</v>
      </c>
      <c r="E34" s="24" t="n">
        <v>70</v>
      </c>
      <c r="F34" s="25" t="n">
        <v>3.58</v>
      </c>
      <c r="G34" s="26" t="n">
        <v>3</v>
      </c>
      <c r="H34" s="27">
        <f>E34-G34</f>
        <v/>
      </c>
      <c r="I34" s="24" t="n">
        <v>2</v>
      </c>
      <c r="J34" s="24" t="n">
        <v>1</v>
      </c>
      <c r="K34" s="27">
        <f>VLOOKUP($A34,Datos!$A$13:$E$14,2,0)*I34+Datos!$B$7*D34*E34/10000+Datos!$B$15*J34</f>
        <v/>
      </c>
      <c r="L34" s="27">
        <f>VLOOKUP($A34,Datos!$A$13:$E$14,3,0)*I34</f>
        <v/>
      </c>
      <c r="M34" s="27">
        <f>1.2*K34+1.6*L34</f>
        <v/>
      </c>
      <c r="N34" s="27">
        <f>VLOOKUP($C34,Datos!$A$18:$E$22,2,0)*M34*F34^2</f>
        <v/>
      </c>
      <c r="O34" s="27">
        <f>VLOOKUP($C34,Datos!$A$18:$E$22,3,0)*M34*F34^2</f>
        <v/>
      </c>
      <c r="P34" s="27">
        <f>VLOOKUP($C34,Datos!$A$18:$E$22,4,0)*M34*F34</f>
        <v/>
      </c>
      <c r="Q34" s="27">
        <f>0.0033*D34*H34</f>
        <v/>
      </c>
      <c r="R34" s="27">
        <f>0.0163*D34*H34</f>
        <v/>
      </c>
      <c r="S34" s="27">
        <f>IF(N34&lt;=0,0,IF(N34*10^6/(Datos!$B$8*D34*10*(H34*10)^2*Datos!$B$5)&gt;=0.5,"REVISAR",(1-SQRT(1-2*N34*10^6/(Datos!$B$8*D34*10*(H34*10)^2*Datos!$B$5)))*D34*10*H34*10*Datos!$B$5/Datos!$B$6/100))</f>
        <v/>
      </c>
      <c r="T34" s="24" t="n">
        <v>3</v>
      </c>
      <c r="U34" s="24" t="n">
        <v>12</v>
      </c>
      <c r="V34" s="27">
        <f>T34*PI()*U34^2/400</f>
        <v/>
      </c>
      <c r="W34" s="22">
        <f>IF(OR(S34="REVISAR",V34=0),"REVISAR",IF(V34&gt;R34,"EXCEDE As max",IF(V34&gt;=MAX(S34,Q34),"CUMPLE","NO CUMPLE")))</f>
        <v/>
      </c>
      <c r="X34" s="27">
        <f>IF(O34&lt;=0,0,IF(O34*10^6/(Datos!$B$8*D34*10*(H34*10)^2*Datos!$B$5)&gt;=0.5,"REVISAR",(1-SQRT(1-2*O34*10^6/(Datos!$B$8*D34*10*(H34*10)^2*Datos!$B$5)))*D34*10*H34*10*Datos!$B$5/Datos!$B$6/100))</f>
        <v/>
      </c>
      <c r="Y34" s="24" t="n">
        <v>3</v>
      </c>
      <c r="Z34" s="24" t="n">
        <v>12</v>
      </c>
      <c r="AA34" s="27">
        <f>Y34*PI()*Z34^2/400</f>
        <v/>
      </c>
      <c r="AB34" s="22">
        <f>IF(OR(X34="REVISAR",AA34=0),"REVISAR",IF(AA34&gt;R34,"EXCEDE As max",IF(AA34&gt;=MAX(X34,Q34),"CUMPLE","NO CUMPLE")))</f>
        <v/>
      </c>
      <c r="AC34" s="27">
        <f>Datos!$B$9*0.17*SQRT(Datos!$B$5)*D34*10*H34*10/1000</f>
        <v/>
      </c>
      <c r="AD34" s="24" t="n">
        <v>6</v>
      </c>
      <c r="AE34" s="26" t="n">
        <v>30</v>
      </c>
      <c r="AF34" s="27">
        <f>AC34+Datos!$B$9*(2*PI()*AD34^2/4)*Datos!$B$6*(H34*10)/(AE34*10)/1000</f>
        <v/>
      </c>
      <c r="AG34" s="22">
        <f>IF(P34&lt;=AF34,"CUMPLE","NO CUMPLE")</f>
        <v/>
      </c>
      <c r="AH34" s="27">
        <f>F34*100/VLOOKUP($C34,Datos!$A$18:$E$22,5,0)</f>
        <v/>
      </c>
      <c r="AI34" s="22">
        <f>IF(E34&gt;=AH34,"CUMPLE","VERIFICAR FLECHA")</f>
        <v/>
      </c>
      <c r="AJ34" s="29" t="n"/>
    </row>
    <row r="35" ht="17" customHeight="1">
      <c r="A35" s="22" t="inlineStr">
        <is>
          <t>TECHO</t>
        </is>
      </c>
      <c r="B35" s="23" t="inlineStr">
        <is>
          <t>VI 16b</t>
        </is>
      </c>
      <c r="C35" s="24" t="inlineStr">
        <is>
          <t>Continua</t>
        </is>
      </c>
      <c r="D35" s="24" t="n">
        <v>15</v>
      </c>
      <c r="E35" s="24" t="n">
        <v>70</v>
      </c>
      <c r="F35" s="25" t="n">
        <v>1.12</v>
      </c>
      <c r="G35" s="26" t="n">
        <v>3</v>
      </c>
      <c r="H35" s="27">
        <f>E35-G35</f>
        <v/>
      </c>
      <c r="I35" s="24" t="n">
        <v>2</v>
      </c>
      <c r="J35" s="24" t="n">
        <v>1</v>
      </c>
      <c r="K35" s="27">
        <f>VLOOKUP($A35,Datos!$A$13:$E$14,2,0)*I35+Datos!$B$7*D35*E35/10000+Datos!$B$15*J35</f>
        <v/>
      </c>
      <c r="L35" s="27">
        <f>VLOOKUP($A35,Datos!$A$13:$E$14,3,0)*I35</f>
        <v/>
      </c>
      <c r="M35" s="27">
        <f>1.2*K35+1.6*L35</f>
        <v/>
      </c>
      <c r="N35" s="27">
        <f>VLOOKUP($C35,Datos!$A$18:$E$22,2,0)*M35*F35^2</f>
        <v/>
      </c>
      <c r="O35" s="27">
        <f>VLOOKUP($C35,Datos!$A$18:$E$22,3,0)*M35*F35^2</f>
        <v/>
      </c>
      <c r="P35" s="27">
        <f>VLOOKUP($C35,Datos!$A$18:$E$22,4,0)*M35*F35</f>
        <v/>
      </c>
      <c r="Q35" s="27">
        <f>0.0033*D35*H35</f>
        <v/>
      </c>
      <c r="R35" s="27">
        <f>0.0163*D35*H35</f>
        <v/>
      </c>
      <c r="S35" s="27">
        <f>IF(N35&lt;=0,0,IF(N35*10^6/(Datos!$B$8*D35*10*(H35*10)^2*Datos!$B$5)&gt;=0.5,"REVISAR",(1-SQRT(1-2*N35*10^6/(Datos!$B$8*D35*10*(H35*10)^2*Datos!$B$5)))*D35*10*H35*10*Datos!$B$5/Datos!$B$6/100))</f>
        <v/>
      </c>
      <c r="T35" s="24" t="n">
        <v>3</v>
      </c>
      <c r="U35" s="24" t="n">
        <v>12</v>
      </c>
      <c r="V35" s="27">
        <f>T35*PI()*U35^2/400</f>
        <v/>
      </c>
      <c r="W35" s="22">
        <f>IF(OR(S35="REVISAR",V35=0),"REVISAR",IF(V35&gt;R35,"EXCEDE As max",IF(V35&gt;=MAX(S35,Q35),"CUMPLE","NO CUMPLE")))</f>
        <v/>
      </c>
      <c r="X35" s="27">
        <f>IF(O35&lt;=0,0,IF(O35*10^6/(Datos!$B$8*D35*10*(H35*10)^2*Datos!$B$5)&gt;=0.5,"REVISAR",(1-SQRT(1-2*O35*10^6/(Datos!$B$8*D35*10*(H35*10)^2*Datos!$B$5)))*D35*10*H35*10*Datos!$B$5/Datos!$B$6/100))</f>
        <v/>
      </c>
      <c r="Y35" s="24" t="n">
        <v>3</v>
      </c>
      <c r="Z35" s="24" t="n">
        <v>12</v>
      </c>
      <c r="AA35" s="27">
        <f>Y35*PI()*Z35^2/400</f>
        <v/>
      </c>
      <c r="AB35" s="22">
        <f>IF(OR(X35="REVISAR",AA35=0),"REVISAR",IF(AA35&gt;R35,"EXCEDE As max",IF(AA35&gt;=MAX(X35,Q35),"CUMPLE","NO CUMPLE")))</f>
        <v/>
      </c>
      <c r="AC35" s="27">
        <f>Datos!$B$9*0.17*SQRT(Datos!$B$5)*D35*10*H35*10/1000</f>
        <v/>
      </c>
      <c r="AD35" s="24" t="n">
        <v>6</v>
      </c>
      <c r="AE35" s="26" t="n">
        <v>30</v>
      </c>
      <c r="AF35" s="27">
        <f>AC35+Datos!$B$9*(2*PI()*AD35^2/4)*Datos!$B$6*(H35*10)/(AE35*10)/1000</f>
        <v/>
      </c>
      <c r="AG35" s="22">
        <f>IF(P35&lt;=AF35,"CUMPLE","NO CUMPLE")</f>
        <v/>
      </c>
      <c r="AH35" s="27">
        <f>F35*100/VLOOKUP($C35,Datos!$A$18:$E$22,5,0)</f>
        <v/>
      </c>
      <c r="AI35" s="22">
        <f>IF(E35&gt;=AH35,"CUMPLE","VERIFICAR FLECHA")</f>
        <v/>
      </c>
      <c r="AJ35" s="29" t="n"/>
    </row>
    <row r="36" ht="17" customHeight="1">
      <c r="A36" s="22" t="inlineStr">
        <is>
          <t>TECHO</t>
        </is>
      </c>
      <c r="B36" s="23" t="inlineStr">
        <is>
          <t>VI 17</t>
        </is>
      </c>
      <c r="C36" s="24" t="inlineStr">
        <is>
          <t>Simplemente apoyada</t>
        </is>
      </c>
      <c r="D36" s="24" t="n">
        <v>15</v>
      </c>
      <c r="E36" s="24" t="n">
        <v>70</v>
      </c>
      <c r="F36" s="25" t="n">
        <v>4.35</v>
      </c>
      <c r="G36" s="26" t="n">
        <v>3</v>
      </c>
      <c r="H36" s="27">
        <f>E36-G36</f>
        <v/>
      </c>
      <c r="I36" s="24" t="n">
        <v>2</v>
      </c>
      <c r="J36" s="24" t="n">
        <v>1</v>
      </c>
      <c r="K36" s="27">
        <f>VLOOKUP($A36,Datos!$A$13:$E$14,2,0)*I36+Datos!$B$7*D36*E36/10000+Datos!$B$15*J36</f>
        <v/>
      </c>
      <c r="L36" s="27">
        <f>VLOOKUP($A36,Datos!$A$13:$E$14,3,0)*I36</f>
        <v/>
      </c>
      <c r="M36" s="27">
        <f>1.2*K36+1.6*L36</f>
        <v/>
      </c>
      <c r="N36" s="27">
        <f>VLOOKUP($C36,Datos!$A$18:$E$22,2,0)*M36*F36^2</f>
        <v/>
      </c>
      <c r="O36" s="27">
        <f>VLOOKUP($C36,Datos!$A$18:$E$22,3,0)*M36*F36^2</f>
        <v/>
      </c>
      <c r="P36" s="27">
        <f>VLOOKUP($C36,Datos!$A$18:$E$22,4,0)*M36*F36</f>
        <v/>
      </c>
      <c r="Q36" s="27">
        <f>0.0033*D36*H36</f>
        <v/>
      </c>
      <c r="R36" s="27">
        <f>0.0163*D36*H36</f>
        <v/>
      </c>
      <c r="S36" s="27">
        <f>IF(N36&lt;=0,0,IF(N36*10^6/(Datos!$B$8*D36*10*(H36*10)^2*Datos!$B$5)&gt;=0.5,"REVISAR",(1-SQRT(1-2*N36*10^6/(Datos!$B$8*D36*10*(H36*10)^2*Datos!$B$5)))*D36*10*H36*10*Datos!$B$5/Datos!$B$6/100))</f>
        <v/>
      </c>
      <c r="T36" s="24" t="n">
        <v>3</v>
      </c>
      <c r="U36" s="24" t="n">
        <v>12</v>
      </c>
      <c r="V36" s="27">
        <f>T36*PI()*U36^2/400</f>
        <v/>
      </c>
      <c r="W36" s="22">
        <f>IF(OR(S36="REVISAR",V36=0),"REVISAR",IF(V36&gt;R36,"EXCEDE As max",IF(V36&gt;=MAX(S36,Q36),"CUMPLE","NO CUMPLE")))</f>
        <v/>
      </c>
      <c r="X36" s="27">
        <f>IF(O36&lt;=0,0,IF(O36*10^6/(Datos!$B$8*D36*10*(H36*10)^2*Datos!$B$5)&gt;=0.5,"REVISAR",(1-SQRT(1-2*O36*10^6/(Datos!$B$8*D36*10*(H36*10)^2*Datos!$B$5)))*D36*10*H36*10*Datos!$B$5/Datos!$B$6/100))</f>
        <v/>
      </c>
      <c r="Y36" s="24" t="n">
        <v>3</v>
      </c>
      <c r="Z36" s="24" t="n">
        <v>12</v>
      </c>
      <c r="AA36" s="27">
        <f>Y36*PI()*Z36^2/400</f>
        <v/>
      </c>
      <c r="AB36" s="22">
        <f>IF(OR(X36="REVISAR",AA36=0),"REVISAR",IF(AA36&gt;R36,"EXCEDE As max",IF(AA36&gt;=MAX(X36,Q36),"CUMPLE","NO CUMPLE")))</f>
        <v/>
      </c>
      <c r="AC36" s="27">
        <f>Datos!$B$9*0.17*SQRT(Datos!$B$5)*D36*10*H36*10/1000</f>
        <v/>
      </c>
      <c r="AD36" s="24" t="n">
        <v>6</v>
      </c>
      <c r="AE36" s="26" t="n">
        <v>30</v>
      </c>
      <c r="AF36" s="27">
        <f>AC36+Datos!$B$9*(2*PI()*AD36^2/4)*Datos!$B$6*(H36*10)/(AE36*10)/1000</f>
        <v/>
      </c>
      <c r="AG36" s="22">
        <f>IF(P36&lt;=AF36,"CUMPLE","NO CUMPLE")</f>
        <v/>
      </c>
      <c r="AH36" s="27">
        <f>F36*100/VLOOKUP($C36,Datos!$A$18:$E$22,5,0)</f>
        <v/>
      </c>
      <c r="AI36" s="22">
        <f>IF(E36&gt;=AH36,"CUMPLE","VERIFICAR FLECHA")</f>
        <v/>
      </c>
      <c r="AJ36" s="29" t="n"/>
    </row>
  </sheetData>
  <autoFilter ref="A3:AJ38"/>
  <mergeCells count="16">
    <mergeCell ref="K2:M2"/>
    <mergeCell ref="Q2:R2"/>
    <mergeCell ref="N2:P2"/>
    <mergeCell ref="AH2:AI2"/>
    <mergeCell ref="S2:W2"/>
    <mergeCell ref="A27:AJ27"/>
    <mergeCell ref="D2:H2"/>
    <mergeCell ref="I2:J2"/>
    <mergeCell ref="X2:AB2"/>
    <mergeCell ref="A4:AJ4"/>
    <mergeCell ref="AC2:AG2"/>
    <mergeCell ref="B2:B3"/>
    <mergeCell ref="A2:A3"/>
    <mergeCell ref="C2:C3"/>
    <mergeCell ref="AJ2:AJ3"/>
    <mergeCell ref="A1:AJ1"/>
  </mergeCells>
  <conditionalFormatting sqref="W4:W38">
    <cfRule type="cellIs" priority="1" operator="equal" dxfId="0">
      <formula>"CUMPLE"</formula>
    </cfRule>
    <cfRule type="cellIs" priority="2" operator="equal" dxfId="1">
      <formula>"NO CUMPLE"</formula>
    </cfRule>
    <cfRule type="cellIs" priority="3" operator="equal" dxfId="1">
      <formula>"VERIFICAR FLECHA"</formula>
    </cfRule>
    <cfRule type="cellIs" priority="4" operator="equal" dxfId="1">
      <formula>"REVISAR"</formula>
    </cfRule>
    <cfRule type="cellIs" priority="5" operator="equal" dxfId="1">
      <formula>"EXCEDE As max"</formula>
    </cfRule>
  </conditionalFormatting>
  <conditionalFormatting sqref="AB4:AB38">
    <cfRule type="cellIs" priority="6" operator="equal" dxfId="0">
      <formula>"CUMPLE"</formula>
    </cfRule>
    <cfRule type="cellIs" priority="7" operator="equal" dxfId="1">
      <formula>"NO CUMPLE"</formula>
    </cfRule>
    <cfRule type="cellIs" priority="8" operator="equal" dxfId="1">
      <formula>"VERIFICAR FLECHA"</formula>
    </cfRule>
    <cfRule type="cellIs" priority="9" operator="equal" dxfId="1">
      <formula>"REVISAR"</formula>
    </cfRule>
    <cfRule type="cellIs" priority="10" operator="equal" dxfId="1">
      <formula>"EXCEDE As max"</formula>
    </cfRule>
  </conditionalFormatting>
  <conditionalFormatting sqref="AG4:AG38">
    <cfRule type="cellIs" priority="11" operator="equal" dxfId="0">
      <formula>"CUMPLE"</formula>
    </cfRule>
    <cfRule type="cellIs" priority="12" operator="equal" dxfId="1">
      <formula>"NO CUMPLE"</formula>
    </cfRule>
    <cfRule type="cellIs" priority="13" operator="equal" dxfId="1">
      <formula>"VERIFICAR FLECHA"</formula>
    </cfRule>
    <cfRule type="cellIs" priority="14" operator="equal" dxfId="1">
      <formula>"REVISAR"</formula>
    </cfRule>
    <cfRule type="cellIs" priority="15" operator="equal" dxfId="1">
      <formula>"EXCEDE As max"</formula>
    </cfRule>
  </conditionalFormatting>
  <conditionalFormatting sqref="AI4:AI38">
    <cfRule type="cellIs" priority="16" operator="equal" dxfId="0">
      <formula>"CUMPLE"</formula>
    </cfRule>
    <cfRule type="cellIs" priority="17" operator="equal" dxfId="1">
      <formula>"NO CUMPLE"</formula>
    </cfRule>
    <cfRule type="cellIs" priority="18" operator="equal" dxfId="1">
      <formula>"VERIFICAR FLECHA"</formula>
    </cfRule>
    <cfRule type="cellIs" priority="19" operator="equal" dxfId="1">
      <formula>"REVISAR"</formula>
    </cfRule>
    <cfRule type="cellIs" priority="20" operator="equal" dxfId="1">
      <formula>"EXCEDE As max"</formula>
    </cfRule>
  </conditionalFormatting>
  <dataValidations count="2">
    <dataValidation sqref="C4:C38" showDropDown="0" showInputMessage="0" showErrorMessage="0" allowBlank="1" type="list">
      <formula1>=Datos!$A$18:$A$22</formula1>
    </dataValidation>
    <dataValidation sqref="U4:U38 Z4:Z38 AD4:AD38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30" t="inlineStr">
        <is>
          <t>MEMORIA DE CALCULO - VIGAS</t>
        </is>
      </c>
      <c r="B1" s="31" t="inlineStr"/>
    </row>
    <row r="2">
      <c r="A2" s="31" t="inlineStr"/>
      <c r="B2" s="32" t="inlineStr"/>
    </row>
    <row r="3">
      <c r="A3" s="31" t="inlineStr">
        <is>
          <t>NORMATIVA</t>
        </is>
      </c>
      <c r="B3" s="31" t="inlineStr">
        <is>
          <t>CIRSOC 201-2005 (hormigon armado) y CIRSOC 101 (cargas). Metodo de resistencia ultima.</t>
        </is>
      </c>
    </row>
    <row r="4">
      <c r="A4" s="31" t="inlineStr">
        <is>
          <t>MATERIALES</t>
        </is>
      </c>
      <c r="B4" s="31" t="inlineStr">
        <is>
          <t>Hormigon H-21 (f'c = 21 MPa). Acero ADN-420 (fy = 420 MPa). phi flexion 0,90 / phi corte 0,75.</t>
        </is>
      </c>
    </row>
    <row r="5">
      <c r="A5" s="31" t="inlineStr"/>
      <c r="B5" s="32" t="inlineStr"/>
    </row>
    <row r="6">
      <c r="A6" s="31" t="inlineStr">
        <is>
          <t>1. CARGAS</t>
        </is>
      </c>
      <c r="B6" s="31" t="inlineStr"/>
    </row>
    <row r="7">
      <c r="A7" s="31" t="inlineStr">
        <is>
          <t>Entrepiso PA</t>
        </is>
      </c>
      <c r="B7" s="32" t="inlineStr">
        <is>
          <t>Losa maciza 12 cm .......... 3,00 kN/m2</t>
        </is>
      </c>
    </row>
    <row r="8">
      <c r="A8" s="31" t="inlineStr"/>
      <c r="B8" s="32" t="inlineStr">
        <is>
          <t>Contrapiso 8 cm ............ 1,28</t>
        </is>
      </c>
    </row>
    <row r="9">
      <c r="A9" s="31" t="inlineStr"/>
      <c r="B9" s="32" t="inlineStr">
        <is>
          <t>Carpeta 2 cm ............... 0,42</t>
        </is>
      </c>
    </row>
    <row r="10">
      <c r="A10" s="31" t="inlineStr"/>
      <c r="B10" s="32" t="inlineStr">
        <is>
          <t>Piso y pegamento ........... 0,50</t>
        </is>
      </c>
    </row>
    <row r="11">
      <c r="A11" s="31" t="inlineStr"/>
      <c r="B11" s="32" t="inlineStr">
        <is>
          <t>Cielorraso ................. 0,20</t>
        </is>
      </c>
    </row>
    <row r="12">
      <c r="A12" s="31" t="inlineStr"/>
      <c r="B12" s="32" t="inlineStr">
        <is>
          <t>g = 5,40 kN/m2        q = 2,00 kN/m2 (vivienda, CIRSOC 101)</t>
        </is>
      </c>
    </row>
    <row r="13">
      <c r="A13" s="31" t="inlineStr">
        <is>
          <t>Azotea no accesible</t>
        </is>
      </c>
      <c r="B13" s="32" t="inlineStr">
        <is>
          <t>Losa 12 cm 3,00 + contrapiso pendiente 1,38 + carpeta 0,42 + aislacion y membrana 0,50 + cielorraso 0,20</t>
        </is>
      </c>
    </row>
    <row r="14">
      <c r="A14" s="31" t="inlineStr"/>
      <c r="B14" s="32" t="inlineStr">
        <is>
          <t>g = 5,50 kN/m2        q = 1,00 kN/m2 (cubierta inaccesible)</t>
        </is>
      </c>
    </row>
    <row r="15">
      <c r="A15" s="31" t="inlineStr">
        <is>
          <t>Mamposteria</t>
        </is>
      </c>
      <c r="B15" s="32" t="inlineStr">
        <is>
          <t>Ladrillo hueco 18 cm con revoque en ambas caras: 2,50 kN/m2. Altura 2,60 m en PA, 1,00 m de parapeto en azotea.</t>
        </is>
      </c>
    </row>
    <row r="16">
      <c r="A16" s="31" t="inlineStr">
        <is>
          <t>Peso propio</t>
        </is>
      </c>
      <c r="B16" s="32" t="inlineStr">
        <is>
          <t>Se calcula viga por viga: 25 kN/m3 x b x h.</t>
        </is>
      </c>
    </row>
    <row r="17">
      <c r="A17" s="31" t="inlineStr">
        <is>
          <t>Carga lineal</t>
        </is>
      </c>
      <c r="B17" s="32" t="inlineStr">
        <is>
          <t>g_viga = g_losa x B + 25 x b x h + g_muro x h_muro        q_viga = q_losa x B</t>
        </is>
      </c>
    </row>
    <row r="18">
      <c r="A18" s="31" t="inlineStr">
        <is>
          <t>Combinacion</t>
        </is>
      </c>
      <c r="B18" s="32" t="inlineStr">
        <is>
          <t>Pu = 1,2 g + 1,6 q</t>
        </is>
      </c>
    </row>
    <row r="19">
      <c r="A19" s="31" t="inlineStr"/>
      <c r="B19" s="32" t="inlineStr"/>
    </row>
    <row r="20">
      <c r="A20" s="31" t="inlineStr">
        <is>
          <t>2. SOLICITACIONES</t>
        </is>
      </c>
      <c r="B20" s="31" t="inlineStr"/>
    </row>
    <row r="21">
      <c r="A21" s="31" t="inlineStr"/>
      <c r="B21" s="32" t="inlineStr">
        <is>
          <t>Se adoptan coeficientes segun el esquema estructural de cada viga (tabla en hoja Datos):</t>
        </is>
      </c>
    </row>
    <row r="22">
      <c r="A22" s="31" t="inlineStr"/>
      <c r="B22" s="32" t="inlineStr">
        <is>
          <t xml:space="preserve">  Simplemente apoyada:  Mt = PuL2/8                 V = 0,50 PuL</t>
        </is>
      </c>
    </row>
    <row r="23">
      <c r="A23" s="31" t="inlineStr"/>
      <c r="B23" s="32" t="inlineStr">
        <is>
          <t xml:space="preserve">  Continua:             Mt = PuL2/14   Ma = PuL2/10  V = 0,575 PuL</t>
        </is>
      </c>
    </row>
    <row r="24">
      <c r="A24" s="31" t="inlineStr"/>
      <c r="B24" s="32" t="inlineStr">
        <is>
          <t xml:space="preserve">  Empotrada-apoyada:    Mt = 9PuL2/128 Ma = PuL2/8   V = 0,625 PuL</t>
        </is>
      </c>
    </row>
    <row r="25">
      <c r="A25" s="31" t="inlineStr"/>
      <c r="B25" s="32" t="inlineStr">
        <is>
          <t xml:space="preserve">  Biempotrada:          Mt = PuL2/24   Ma = PuL2/12  V = 0,50 PuL</t>
        </is>
      </c>
    </row>
    <row r="26">
      <c r="A26" s="31" t="inlineStr"/>
      <c r="B26" s="32" t="inlineStr">
        <is>
          <t xml:space="preserve">  Voladizo:                            Ma = PuL2/2   V = 1,00 PuL</t>
        </is>
      </c>
    </row>
    <row r="27">
      <c r="A27" s="31" t="inlineStr"/>
      <c r="B27" s="32" t="inlineStr"/>
    </row>
    <row r="28">
      <c r="A28" s="31" t="inlineStr">
        <is>
          <t>3. FLEXION</t>
        </is>
      </c>
      <c r="B28" s="31" t="inlineStr"/>
    </row>
    <row r="29">
      <c r="A29" s="31" t="inlineStr"/>
      <c r="B29" s="32" t="inlineStr">
        <is>
          <t>k = Mu / (phi b d2 f'c)        w = 1 - RAIZ(1 - 2k)        As = w b d f'c / fy</t>
        </is>
      </c>
    </row>
    <row r="30">
      <c r="A30" s="31" t="inlineStr"/>
      <c r="B30" s="32" t="inlineStr">
        <is>
          <t>As min = 0,0033 b d     (gobierna 1,4/fy sobre 0,25 RAIZ(f'c)/fy para H-21)</t>
        </is>
      </c>
    </row>
    <row r="31">
      <c r="A31" s="31" t="inlineStr"/>
      <c r="B31" s="32" t="inlineStr">
        <is>
          <t>As max = 0,0163 b d     (0,75 de la cuantia balanceada, garantiza falla ductil)</t>
        </is>
      </c>
    </row>
    <row r="32">
      <c r="A32" s="31" t="inlineStr"/>
      <c r="B32" s="32" t="inlineStr">
        <is>
          <t>Cuando la armadura no entra en una capa se disponen 2 capas y se adopta r = 6 cm.</t>
        </is>
      </c>
    </row>
    <row r="33">
      <c r="A33" s="31" t="inlineStr"/>
      <c r="B33" s="32" t="inlineStr"/>
    </row>
    <row r="34">
      <c r="A34" s="31" t="inlineStr">
        <is>
          <t>4. CORTE</t>
        </is>
      </c>
      <c r="B34" s="31" t="inlineStr"/>
    </row>
    <row r="35">
      <c r="A35" s="31" t="inlineStr"/>
      <c r="B35" s="32" t="inlineStr">
        <is>
          <t>Vc = 0,17 RAIZ(f'c) b d          phi Vc = 0,75 Vc</t>
        </is>
      </c>
    </row>
    <row r="36">
      <c r="A36" s="31" t="inlineStr"/>
      <c r="B36" s="32" t="inlineStr">
        <is>
          <t>Vs = Av fy d / s    con Av = 2 ramas        phi Vn = phi (Vc + Vs) &gt;= Vu</t>
        </is>
      </c>
    </row>
    <row r="37">
      <c r="A37" s="31" t="inlineStr"/>
      <c r="B37" s="32" t="inlineStr">
        <is>
          <t>s max = d/2 (&lt;=60 cm) si Vs &lt;= 0,33 RAIZ(f'c) b d ; si no d/4 (&lt;=30 cm)</t>
        </is>
      </c>
    </row>
    <row r="38">
      <c r="A38" s="31" t="inlineStr"/>
      <c r="B38" s="32" t="inlineStr"/>
    </row>
    <row r="39">
      <c r="A39" s="31" t="inlineStr">
        <is>
          <t>5. FLECHA</t>
        </is>
      </c>
      <c r="B39" s="31" t="inlineStr"/>
    </row>
    <row r="40">
      <c r="A40" s="31" t="inlineStr"/>
      <c r="B40" s="32" t="inlineStr">
        <is>
          <t>Verificacion indirecta por altura minima (CIRSOC 201 tabla 9.5(a)):</t>
        </is>
      </c>
    </row>
    <row r="41">
      <c r="A41" s="31" t="inlineStr"/>
      <c r="B41" s="32" t="inlineStr">
        <is>
          <t xml:space="preserve">  simplemente apoyada L/16   un extremo continuo L/18,5   ambos continuos L/21   voladizo L/8</t>
        </is>
      </c>
    </row>
    <row r="42">
      <c r="A42" s="31" t="inlineStr"/>
      <c r="B42" s="32" t="inlineStr"/>
    </row>
    <row r="43">
      <c r="A43" s="31" t="inlineStr">
        <is>
          <t>6. RESULTADO</t>
        </is>
      </c>
      <c r="B43" s="31" t="inlineStr">
        <is>
          <t>30 vigas calculadas: 21 del entrepiso PA y 9 de la losa de techo.</t>
        </is>
      </c>
    </row>
    <row r="44">
      <c r="A44" s="31" t="inlineStr"/>
      <c r="B44" s="32" t="inlineStr">
        <is>
          <t>28 verifican flexion, corte y flecha con la seccion construida.</t>
        </is>
      </c>
    </row>
    <row r="45">
      <c r="A45" s="31" t="inlineStr"/>
      <c r="B45" s="32" t="inlineStr">
        <is>
          <t>Dos requieren revision, marcadas en naranja en la hoja Vigas:</t>
        </is>
      </c>
    </row>
    <row r="46">
      <c r="A46" s="31" t="inlineStr"/>
      <c r="B46" s="32" t="inlineStr">
        <is>
          <t xml:space="preserve">  VI 02 (15x60, 9,88 m): la armadura de apoyo necesaria (18,5 cm2) supera la cuantia</t>
        </is>
      </c>
    </row>
    <row r="47">
      <c r="A47" s="31" t="inlineStr"/>
      <c r="B47" s="32" t="inlineStr">
        <is>
          <t xml:space="preserve">     maxima de la seccion (13,2 cm2): la seccion no da como tramo unico. Necesita h = 65 cm</t>
        </is>
      </c>
    </row>
    <row r="48">
      <c r="A48" s="31" t="inlineStr"/>
      <c r="B48" s="32" t="inlineStr">
        <is>
          <t xml:space="preserve">     o un apoyo intermedio. Como la casa esta construida y la viga es de 60 cm, lo mas</t>
        </is>
      </c>
    </row>
    <row r="49">
      <c r="A49" s="31" t="inlineStr"/>
      <c r="B49" s="32" t="inlineStr">
        <is>
          <t xml:space="preserve">     probable es que exista una columna intermedia no identificada en la lectura del plano.</t>
        </is>
      </c>
    </row>
    <row r="50">
      <c r="A50" s="31" t="inlineStr"/>
      <c r="B50" s="32" t="inlineStr">
        <is>
          <t xml:space="preserve">  VCH 03a (40x13, 3,71 m): viga chata que excede la cuantia maxima y no cumple la</t>
        </is>
      </c>
    </row>
    <row r="51">
      <c r="A51" s="31" t="inlineStr"/>
      <c r="B51" s="32" t="inlineStr">
        <is>
          <t xml:space="preserve">     altura minima por flecha. Revisar el ancho tributario real: si solo recibe el muro</t>
        </is>
      </c>
    </row>
    <row r="52">
      <c r="A52" s="31" t="inlineStr"/>
      <c r="B52" s="32" t="inlineStr">
        <is>
          <t xml:space="preserve">     y no losa, la solicitacion baja sensiblemente.</t>
        </is>
      </c>
    </row>
    <row r="53">
      <c r="A53" s="31" t="inlineStr"/>
      <c r="B53" s="32" t="inlineStr"/>
    </row>
    <row r="54">
      <c r="A54" s="31" t="inlineStr">
        <is>
          <t>7. ALCANCE</t>
        </is>
      </c>
      <c r="B54" s="31" t="inlineStr"/>
    </row>
    <row r="55">
      <c r="A55" s="31" t="inlineStr"/>
      <c r="B55" s="32" t="inlineStr">
        <is>
          <t>No se incluye la fundacion (VF01 a VF18c, 31 elementos): su calculo depende de las</t>
        </is>
      </c>
    </row>
    <row r="56">
      <c r="A56" s="31" t="inlineStr"/>
      <c r="B56" s="32" t="inlineStr">
        <is>
          <t>cargas que bajan por las columnas, por lo que corresponde hacerlo despues de columnas.</t>
        </is>
      </c>
    </row>
    <row r="57">
      <c r="A57" s="31" t="inlineStr"/>
      <c r="B57" s="32" t="inlineStr">
        <is>
          <t>Tampoco se incluyen losas L01 a L10 ni columnas COL 01 a COL 07.</t>
        </is>
      </c>
    </row>
    <row r="58">
      <c r="A58" s="31" t="inlineStr"/>
      <c r="B58" s="32" t="inlineStr"/>
    </row>
    <row r="59">
      <c r="A59" s="31" t="inlineStr">
        <is>
          <t>LIMITACIONES</t>
        </is>
      </c>
      <c r="B59" s="31" t="inlineStr">
        <is>
          <t>Los anchos tributarios B se adoptaron uniformes en 2,00 m por no disponer de la</t>
        </is>
      </c>
    </row>
    <row r="60">
      <c r="A60" s="31" t="inlineStr"/>
      <c r="B60" s="32" t="inlineStr">
        <is>
          <t>planta acotada con el reparto de losas. Es la hipotesis mas influyente del calculo:</t>
        </is>
      </c>
    </row>
    <row r="61">
      <c r="A61" s="31" t="inlineStr"/>
      <c r="B61" s="32" t="inlineStr">
        <is>
          <t>ajustar viga por viga en la columna B trib. de la hoja Vigas y todo se recalcula.</t>
        </is>
      </c>
    </row>
    <row r="62">
      <c r="A62" s="31" t="inlineStr"/>
      <c r="B62" s="32" t="inlineStr">
        <is>
          <t>El esquema estructural de cada viga se asigno por criterio (continua si forma parte de</t>
        </is>
      </c>
    </row>
    <row r="63">
      <c r="A63" s="31" t="inlineStr"/>
      <c r="B63" s="32" t="inlineStr">
        <is>
          <t>una serie a-b-c o si supera 5,5 m). Contrastar con el plano.</t>
        </is>
      </c>
    </row>
    <row r="64">
      <c r="A64" s="31" t="inlineStr"/>
      <c r="B64" s="32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46" customWidth="1" min="5" max="5"/>
  </cols>
  <sheetData>
    <row r="1">
      <c r="A1" s="33" t="inlineStr">
        <is>
          <t>VIGAS DE FUNDACION - inventario (calculo pendiente: va despues de columnas)</t>
        </is>
      </c>
    </row>
    <row r="3">
      <c r="A3" s="34" t="inlineStr">
        <is>
          <t>Viga</t>
        </is>
      </c>
      <c r="B3" s="34" t="inlineStr">
        <is>
          <t>b (cm)</t>
        </is>
      </c>
      <c r="C3" s="34" t="inlineStr">
        <is>
          <t>h (cm)</t>
        </is>
      </c>
      <c r="D3" s="34" t="inlineStr">
        <is>
          <t>L (cm)</t>
        </is>
      </c>
      <c r="E3" s="34" t="inlineStr">
        <is>
          <t>Observaciones</t>
        </is>
      </c>
    </row>
    <row r="4">
      <c r="A4" s="35" t="inlineStr">
        <is>
          <t>VF01 (1)</t>
        </is>
      </c>
      <c r="B4" s="29" t="n">
        <v>20</v>
      </c>
      <c r="C4" s="29" t="n">
        <v>35</v>
      </c>
      <c r="D4" s="29" t="n">
        <v>77</v>
      </c>
      <c r="E4" s="36" t="n"/>
    </row>
    <row r="5">
      <c r="A5" s="35" t="inlineStr">
        <is>
          <t>VF01 (2)</t>
        </is>
      </c>
      <c r="B5" s="29" t="n">
        <v>20</v>
      </c>
      <c r="C5" s="29" t="n">
        <v>35</v>
      </c>
      <c r="D5" s="29" t="n">
        <v>77</v>
      </c>
      <c r="E5" s="36" t="n"/>
    </row>
    <row r="6">
      <c r="A6" s="35" t="inlineStr">
        <is>
          <t>VF01 (3)</t>
        </is>
      </c>
      <c r="B6" s="29" t="n">
        <v>20</v>
      </c>
      <c r="C6" s="29" t="n">
        <v>35</v>
      </c>
      <c r="D6" s="29" t="n">
        <v>77</v>
      </c>
      <c r="E6" s="36" t="n"/>
    </row>
    <row r="7">
      <c r="A7" s="35" t="inlineStr">
        <is>
          <t>VF02</t>
        </is>
      </c>
      <c r="B7" s="29" t="n">
        <v>25</v>
      </c>
      <c r="C7" s="29" t="n">
        <v>35</v>
      </c>
      <c r="D7" s="29" t="n">
        <v>328</v>
      </c>
      <c r="E7" s="36" t="n"/>
    </row>
    <row r="8">
      <c r="A8" s="35" t="inlineStr">
        <is>
          <t>VF03</t>
        </is>
      </c>
      <c r="B8" s="29" t="n">
        <v>22</v>
      </c>
      <c r="C8" s="29" t="n">
        <v>25</v>
      </c>
      <c r="D8" s="29" t="n">
        <v>928</v>
      </c>
      <c r="E8" s="36" t="n"/>
    </row>
    <row r="9">
      <c r="A9" s="35" t="inlineStr">
        <is>
          <t>VF04a</t>
        </is>
      </c>
      <c r="B9" s="29" t="n"/>
      <c r="C9" s="29" t="n">
        <v>35</v>
      </c>
      <c r="D9" s="29" t="n">
        <v>533</v>
      </c>
      <c r="E9" s="37" t="inlineStr">
        <is>
          <t>Ancho cortado en el PDF: confirmar 20 o 22 cm</t>
        </is>
      </c>
    </row>
    <row r="10">
      <c r="A10" s="35" t="inlineStr">
        <is>
          <t>VF04b</t>
        </is>
      </c>
      <c r="B10" s="29" t="n">
        <v>20</v>
      </c>
      <c r="C10" s="29" t="n">
        <v>25</v>
      </c>
      <c r="D10" s="29" t="n">
        <v>330</v>
      </c>
      <c r="E10" s="36" t="n"/>
    </row>
    <row r="11">
      <c r="A11" s="35" t="inlineStr">
        <is>
          <t>VF04c</t>
        </is>
      </c>
      <c r="B11" s="29" t="n">
        <v>20</v>
      </c>
      <c r="C11" s="29" t="n">
        <v>25</v>
      </c>
      <c r="D11" s="29" t="n">
        <v>308</v>
      </c>
      <c r="E11" s="36" t="n"/>
    </row>
    <row r="12">
      <c r="A12" s="35" t="inlineStr">
        <is>
          <t>VF05</t>
        </is>
      </c>
      <c r="B12" s="29" t="n">
        <v>15</v>
      </c>
      <c r="C12" s="29" t="n">
        <v>25</v>
      </c>
      <c r="D12" s="29" t="n">
        <v>226</v>
      </c>
      <c r="E12" s="36" t="n"/>
    </row>
    <row r="13">
      <c r="A13" s="35" t="inlineStr">
        <is>
          <t>VF06a</t>
        </is>
      </c>
      <c r="B13" s="29" t="n"/>
      <c r="C13" s="29" t="n"/>
      <c r="D13" s="29" t="n"/>
      <c r="E13" s="37" t="inlineStr">
        <is>
          <t>Cota no legible: completar</t>
        </is>
      </c>
    </row>
    <row r="14">
      <c r="A14" s="35" t="inlineStr">
        <is>
          <t>VF06b</t>
        </is>
      </c>
      <c r="B14" s="29" t="n"/>
      <c r="C14" s="29" t="n"/>
      <c r="D14" s="29" t="n"/>
      <c r="E14" s="37" t="inlineStr">
        <is>
          <t>Cota no legible: completar</t>
        </is>
      </c>
    </row>
    <row r="15">
      <c r="A15" s="35" t="inlineStr">
        <is>
          <t>VF06c</t>
        </is>
      </c>
      <c r="B15" s="29" t="n">
        <v>20</v>
      </c>
      <c r="C15" s="29" t="n">
        <v>25</v>
      </c>
      <c r="D15" s="29" t="n">
        <v>330</v>
      </c>
      <c r="E15" s="36" t="n"/>
    </row>
    <row r="16">
      <c r="A16" s="35" t="inlineStr">
        <is>
          <t>VF06d</t>
        </is>
      </c>
      <c r="B16" s="29" t="n">
        <v>22</v>
      </c>
      <c r="C16" s="29" t="n">
        <v>25</v>
      </c>
      <c r="D16" s="29" t="n">
        <v>303</v>
      </c>
      <c r="E16" s="36" t="n"/>
    </row>
    <row r="17">
      <c r="A17" s="35" t="inlineStr">
        <is>
          <t>VF07</t>
        </is>
      </c>
      <c r="B17" s="29" t="n">
        <v>20</v>
      </c>
      <c r="C17" s="29" t="n">
        <v>25</v>
      </c>
      <c r="D17" s="29" t="n">
        <v>350</v>
      </c>
      <c r="E17" s="36" t="n"/>
    </row>
    <row r="18">
      <c r="A18" s="35" t="inlineStr">
        <is>
          <t>VF08</t>
        </is>
      </c>
      <c r="B18" s="29" t="n">
        <v>25</v>
      </c>
      <c r="C18" s="29" t="n">
        <v>35</v>
      </c>
      <c r="D18" s="29" t="n">
        <v>350</v>
      </c>
      <c r="E18" s="36" t="n"/>
    </row>
    <row r="19">
      <c r="A19" s="35" t="inlineStr">
        <is>
          <t>VF09 (1)</t>
        </is>
      </c>
      <c r="B19" s="29" t="n">
        <v>20</v>
      </c>
      <c r="C19" s="29" t="n">
        <v>35</v>
      </c>
      <c r="D19" s="29" t="n">
        <v>70</v>
      </c>
      <c r="E19" s="36" t="n"/>
    </row>
    <row r="20">
      <c r="A20" s="35" t="inlineStr">
        <is>
          <t>VF09 (2)</t>
        </is>
      </c>
      <c r="B20" s="29" t="n">
        <v>20</v>
      </c>
      <c r="C20" s="29" t="n">
        <v>35</v>
      </c>
      <c r="D20" s="29" t="n">
        <v>70</v>
      </c>
      <c r="E20" s="36" t="n"/>
    </row>
    <row r="21">
      <c r="A21" s="35" t="inlineStr">
        <is>
          <t>VF10a</t>
        </is>
      </c>
      <c r="B21" s="29" t="n">
        <v>20</v>
      </c>
      <c r="C21" s="29" t="n">
        <v>35</v>
      </c>
      <c r="D21" s="29" t="n">
        <v>336</v>
      </c>
      <c r="E21" s="36" t="n"/>
    </row>
    <row r="22">
      <c r="A22" s="35" t="inlineStr">
        <is>
          <t>VF10b</t>
        </is>
      </c>
      <c r="B22" s="29" t="n">
        <v>22</v>
      </c>
      <c r="C22" s="29" t="n">
        <v>35</v>
      </c>
      <c r="D22" s="29" t="n">
        <v>236</v>
      </c>
      <c r="E22" s="36" t="n"/>
    </row>
    <row r="23">
      <c r="A23" s="35" t="inlineStr">
        <is>
          <t>VF10c</t>
        </is>
      </c>
      <c r="B23" s="29" t="n">
        <v>25</v>
      </c>
      <c r="C23" s="29" t="n">
        <v>35</v>
      </c>
      <c r="D23" s="29" t="n">
        <v>803</v>
      </c>
      <c r="E23" s="36" t="n"/>
    </row>
    <row r="24">
      <c r="A24" s="35" t="inlineStr">
        <is>
          <t>VF11</t>
        </is>
      </c>
      <c r="B24" s="29" t="n">
        <v>20</v>
      </c>
      <c r="C24" s="29" t="n">
        <v>25</v>
      </c>
      <c r="D24" s="29" t="n">
        <v>403</v>
      </c>
      <c r="E24" s="36" t="n"/>
    </row>
    <row r="25">
      <c r="A25" s="35" t="inlineStr">
        <is>
          <t>VF12</t>
        </is>
      </c>
      <c r="B25" s="29" t="n">
        <v>15</v>
      </c>
      <c r="C25" s="29" t="n">
        <v>25</v>
      </c>
      <c r="D25" s="29" t="n">
        <v>149</v>
      </c>
      <c r="E25" s="36" t="n"/>
    </row>
    <row r="26">
      <c r="A26" s="35" t="inlineStr">
        <is>
          <t>VF13</t>
        </is>
      </c>
      <c r="B26" s="29" t="n"/>
      <c r="C26" s="29" t="n"/>
      <c r="D26" s="29" t="n"/>
      <c r="E26" s="37" t="inlineStr">
        <is>
          <t>Cota no legible: completar</t>
        </is>
      </c>
    </row>
    <row r="27">
      <c r="A27" s="35" t="inlineStr">
        <is>
          <t>VF14</t>
        </is>
      </c>
      <c r="B27" s="29" t="n">
        <v>25</v>
      </c>
      <c r="C27" s="29" t="n">
        <v>40</v>
      </c>
      <c r="D27" s="29" t="n">
        <v>875</v>
      </c>
      <c r="E27" s="36" t="n"/>
    </row>
    <row r="28">
      <c r="A28" s="35" t="inlineStr">
        <is>
          <t>VF15</t>
        </is>
      </c>
      <c r="B28" s="29" t="n">
        <v>20</v>
      </c>
      <c r="C28" s="29" t="n">
        <v>25</v>
      </c>
      <c r="D28" s="29" t="n">
        <v>239</v>
      </c>
      <c r="E28" s="36" t="n"/>
    </row>
    <row r="29">
      <c r="A29" s="35" t="inlineStr">
        <is>
          <t>VF16a</t>
        </is>
      </c>
      <c r="B29" s="29" t="n">
        <v>20</v>
      </c>
      <c r="C29" s="29" t="n">
        <v>35</v>
      </c>
      <c r="D29" s="29" t="n">
        <v>696</v>
      </c>
      <c r="E29" s="36" t="n"/>
    </row>
    <row r="30">
      <c r="A30" s="35" t="inlineStr">
        <is>
          <t>VF16b</t>
        </is>
      </c>
      <c r="B30" s="29" t="n">
        <v>20</v>
      </c>
      <c r="C30" s="29" t="n">
        <v>25</v>
      </c>
      <c r="D30" s="29" t="n">
        <v>313</v>
      </c>
      <c r="E30" s="36" t="n"/>
    </row>
    <row r="31">
      <c r="A31" s="35" t="inlineStr">
        <is>
          <t>VF17</t>
        </is>
      </c>
      <c r="B31" s="29" t="n">
        <v>20</v>
      </c>
      <c r="C31" s="29" t="n">
        <v>25</v>
      </c>
      <c r="D31" s="29" t="n">
        <v>353</v>
      </c>
      <c r="E31" s="36" t="n"/>
    </row>
    <row r="32">
      <c r="A32" s="35" t="inlineStr">
        <is>
          <t>VF18a</t>
        </is>
      </c>
      <c r="B32" s="29" t="n">
        <v>25</v>
      </c>
      <c r="C32" s="29" t="n">
        <v>35</v>
      </c>
      <c r="D32" s="29" t="n">
        <v>748</v>
      </c>
      <c r="E32" s="36" t="n"/>
    </row>
    <row r="33">
      <c r="A33" s="35" t="inlineStr">
        <is>
          <t>VF18b</t>
        </is>
      </c>
      <c r="B33" s="29" t="n">
        <v>20</v>
      </c>
      <c r="C33" s="29" t="n">
        <v>25</v>
      </c>
      <c r="D33" s="29" t="n">
        <v>305</v>
      </c>
      <c r="E33" s="36" t="n"/>
    </row>
    <row r="34">
      <c r="A34" s="35" t="inlineStr">
        <is>
          <t>VF18c</t>
        </is>
      </c>
      <c r="B34" s="29" t="n">
        <v>20</v>
      </c>
      <c r="C34" s="29" t="n">
        <v>35</v>
      </c>
      <c r="D34" s="29" t="n">
        <v>482</v>
      </c>
      <c r="E34" s="36" t="n"/>
    </row>
    <row r="36">
      <c r="A36" s="15" t="inlineStr">
        <is>
          <t>Cabezales: CBZ 01 70x70x65  |  CBZ 02 129x70x70  |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2026-10-19T22:03:30Z</dcterms:created>
  <dcterms:modified xmlns:dcterms="http://purl.org/dc/terms/" xmlns:xsi="http://www.w3.org/2001/XMLSchema-instance" xsi:type="dcterms:W3CDTF">2026-10-19T22:03:30Z</dcterms:modified>
</cp:coreProperties>
</file>