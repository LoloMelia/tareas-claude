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gas" sheetId="1" state="visible" r:id="rId1"/>
    <sheet xmlns:r="http://schemas.openxmlformats.org/officeDocument/2006/relationships" name="Notas y formulas" sheetId="2" state="visible" r:id="rId2"/>
  </sheets>
  <definedNames>
    <definedName name="_xlnm.Print_Titles" localSheetId="0">'Vigas'!$1:$3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sz val="9"/>
    </font>
    <font>
      <b val="1"/>
      <sz val="8"/>
    </font>
    <font>
      <b val="1"/>
      <sz val="10"/>
    </font>
    <font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BFBF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006100"/>
        <sz val="9"/>
      </font>
      <fill>
        <patternFill patternType="solid">
          <fgColor rgb="00C6EFCE"/>
        </patternFill>
      </fill>
    </dxf>
    <dxf>
      <font>
        <b val="1"/>
        <color rgb="009C0006"/>
        <sz val="9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4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6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10" customWidth="1" min="16" max="16"/>
    <col width="6" customWidth="1" min="17" max="17"/>
    <col width="7" customWidth="1" min="18" max="18"/>
    <col width="9" customWidth="1" min="19" max="19"/>
    <col width="6" customWidth="1" min="20" max="20"/>
    <col width="7" customWidth="1" min="21" max="21"/>
    <col width="9" customWidth="1" min="22" max="22"/>
    <col width="7" customWidth="1" min="23" max="23"/>
    <col width="8" customWidth="1" min="24" max="24"/>
    <col width="10" customWidth="1" min="25" max="25"/>
    <col width="10" customWidth="1" min="26" max="26"/>
    <col width="10" customWidth="1" min="27" max="27"/>
    <col width="24" customWidth="1" min="28" max="28"/>
  </cols>
  <sheetData>
    <row r="1" ht="24" customHeight="1">
      <c r="A1" s="1" t="inlineStr">
        <is>
          <t>PLANILLA DE VIGAS - HORMIGON ARMADO</t>
        </is>
      </c>
    </row>
    <row r="2" ht="20" customHeight="1">
      <c r="A2" s="2" t="inlineStr">
        <is>
          <t>Nivel</t>
        </is>
      </c>
      <c r="B2" s="2" t="inlineStr">
        <is>
          <t>Viga</t>
        </is>
      </c>
      <c r="C2" s="2" t="inlineStr">
        <is>
          <t>Tramo</t>
        </is>
      </c>
      <c r="D2" s="3" t="inlineStr">
        <is>
          <t>GEOMETRIA</t>
        </is>
      </c>
      <c r="I2" s="3" t="inlineStr">
        <is>
          <t>ESQUEMA</t>
        </is>
      </c>
      <c r="K2" s="3" t="inlineStr">
        <is>
          <t>CARGAS</t>
        </is>
      </c>
      <c r="N2" s="3" t="inlineStr">
        <is>
          <t>SOLICITACIONES</t>
        </is>
      </c>
      <c r="Q2" s="3" t="inlineStr">
        <is>
          <t>ARM. INFERIOR</t>
        </is>
      </c>
      <c r="T2" s="3" t="inlineStr">
        <is>
          <t>ARM. SUPERIOR</t>
        </is>
      </c>
      <c r="W2" s="3" t="inlineStr">
        <is>
          <t>ESTRIBOS</t>
        </is>
      </c>
      <c r="Z2" s="3" t="inlineStr">
        <is>
          <t>VERIFICACION</t>
        </is>
      </c>
      <c r="AB2" s="2" t="inlineStr">
        <is>
          <t>Observaciones</t>
        </is>
      </c>
    </row>
    <row r="3" ht="34" customHeight="1">
      <c r="D3" s="4" t="inlineStr">
        <is>
          <t>Luz
L (m)</t>
        </is>
      </c>
      <c r="E3" s="4" t="inlineStr">
        <is>
          <t>Base
b (cm)</t>
        </is>
      </c>
      <c r="F3" s="4" t="inlineStr">
        <is>
          <t>Altura
h (cm)</t>
        </is>
      </c>
      <c r="G3" s="4" t="inlineStr">
        <is>
          <t>Recubr.
r (cm)</t>
        </is>
      </c>
      <c r="H3" s="4" t="inlineStr">
        <is>
          <t>d
(cm)</t>
        </is>
      </c>
      <c r="I3" s="4" t="inlineStr">
        <is>
          <t>Tipo de apoyo</t>
        </is>
      </c>
      <c r="J3" s="4" t="inlineStr">
        <is>
          <t>Croquis / Ref.</t>
        </is>
      </c>
      <c r="K3" s="4" t="inlineStr">
        <is>
          <t>g
(kN/m)</t>
        </is>
      </c>
      <c r="L3" s="4" t="inlineStr">
        <is>
          <t>q
(kN/m)</t>
        </is>
      </c>
      <c r="M3" s="4" t="inlineStr">
        <is>
          <t>Pu
(kN/m)</t>
        </is>
      </c>
      <c r="N3" s="4" t="inlineStr">
        <is>
          <t>Md tramo
(kNm)</t>
        </is>
      </c>
      <c r="O3" s="4" t="inlineStr">
        <is>
          <t>Md apoyo
(kNm)</t>
        </is>
      </c>
      <c r="P3" s="4" t="inlineStr">
        <is>
          <t>Vd
(kN)</t>
        </is>
      </c>
      <c r="Q3" s="4" t="inlineStr">
        <is>
          <t>n</t>
        </is>
      </c>
      <c r="R3" s="4" t="inlineStr">
        <is>
          <t>Ø
(mm)</t>
        </is>
      </c>
      <c r="S3" s="4" t="inlineStr">
        <is>
          <t>As
(cm2)</t>
        </is>
      </c>
      <c r="T3" s="4" t="inlineStr">
        <is>
          <t>n</t>
        </is>
      </c>
      <c r="U3" s="4" t="inlineStr">
        <is>
          <t>Ø
(mm)</t>
        </is>
      </c>
      <c r="V3" s="4" t="inlineStr">
        <is>
          <t>As
(cm2)</t>
        </is>
      </c>
      <c r="W3" s="4" t="inlineStr">
        <is>
          <t>Ø
(mm)</t>
        </is>
      </c>
      <c r="X3" s="4" t="inlineStr">
        <is>
          <t>sep.
(cm)</t>
        </is>
      </c>
      <c r="Y3" s="4" t="inlineStr">
        <is>
          <t>Zona</t>
        </is>
      </c>
      <c r="Z3" s="4" t="inlineStr">
        <is>
          <t>As min
(cm2)</t>
        </is>
      </c>
      <c r="AA3" s="4" t="inlineStr">
        <is>
          <t>Verif.</t>
        </is>
      </c>
    </row>
    <row r="4">
      <c r="A4" s="5" t="inlineStr">
        <is>
          <t>PB - Losa sobre PB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20" customHeight="1">
      <c r="A5" s="7" t="n"/>
      <c r="B5" s="7" t="n"/>
      <c r="C5" s="7" t="n"/>
      <c r="D5" s="8" t="n"/>
      <c r="E5" s="8" t="n"/>
      <c r="F5" s="8" t="n"/>
      <c r="G5" s="8" t="n"/>
      <c r="H5" s="9">
        <f>IF(COUNT(F5,G5)=2,F5-G5,"")</f>
        <v/>
      </c>
      <c r="I5" s="7" t="n"/>
      <c r="J5" s="7" t="n"/>
      <c r="K5" s="8" t="n"/>
      <c r="L5" s="8" t="n"/>
      <c r="M5" s="9">
        <f>IF(COUNT(K5,L5)=0,"",1.2*K5+1.6*L5)</f>
        <v/>
      </c>
      <c r="N5" s="9">
        <f>IF(COUNT(D5,M5)&lt;2,"",M5*D5^2/10)</f>
        <v/>
      </c>
      <c r="O5" s="9">
        <f>IF(COUNT(D5,M5)&lt;2,"",M5*D5^2/11)</f>
        <v/>
      </c>
      <c r="P5" s="9">
        <f>IF(COUNT(D5,M5)&lt;2,"",1.15*M5*D5/2)</f>
        <v/>
      </c>
      <c r="Q5" s="7" t="n"/>
      <c r="R5" s="7" t="n"/>
      <c r="S5" s="9">
        <f>IF(COUNT(Q5,R5)&lt;2,"",Q5*PI()*R5^2/400)</f>
        <v/>
      </c>
      <c r="T5" s="7" t="n"/>
      <c r="U5" s="7" t="n"/>
      <c r="V5" s="9">
        <f>IF(COUNT(T5,U5)&lt;2,"",T5*PI()*U5^2/400)</f>
        <v/>
      </c>
      <c r="W5" s="7" t="n"/>
      <c r="X5" s="7" t="n"/>
      <c r="Y5" s="7" t="n"/>
      <c r="Z5" s="9">
        <f>IF(COUNT(E5,H5)&lt;2,"",0.0033*E5*H5)</f>
        <v/>
      </c>
      <c r="AA5" s="10">
        <f>IF(OR(S5="",Z5=""),"",IF(S5&gt;=Z5,"CUMPLE","NO CUMPLE"))</f>
        <v/>
      </c>
      <c r="AB5" s="7" t="n"/>
    </row>
    <row r="6" ht="20" customHeight="1">
      <c r="A6" s="7" t="n"/>
      <c r="B6" s="7" t="n"/>
      <c r="C6" s="7" t="n"/>
      <c r="D6" s="8" t="n"/>
      <c r="E6" s="8" t="n"/>
      <c r="F6" s="8" t="n"/>
      <c r="G6" s="8" t="n"/>
      <c r="H6" s="9">
        <f>IF(COUNT(F6,G6)=2,F6-G6,"")</f>
        <v/>
      </c>
      <c r="I6" s="7" t="n"/>
      <c r="J6" s="7" t="n"/>
      <c r="K6" s="8" t="n"/>
      <c r="L6" s="8" t="n"/>
      <c r="M6" s="9">
        <f>IF(COUNT(K6,L6)=0,"",1.2*K6+1.6*L6)</f>
        <v/>
      </c>
      <c r="N6" s="9">
        <f>IF(COUNT(D6,M6)&lt;2,"",M6*D6^2/10)</f>
        <v/>
      </c>
      <c r="O6" s="9">
        <f>IF(COUNT(D6,M6)&lt;2,"",M6*D6^2/11)</f>
        <v/>
      </c>
      <c r="P6" s="9">
        <f>IF(COUNT(D6,M6)&lt;2,"",1.15*M6*D6/2)</f>
        <v/>
      </c>
      <c r="Q6" s="7" t="n"/>
      <c r="R6" s="7" t="n"/>
      <c r="S6" s="9">
        <f>IF(COUNT(Q6,R6)&lt;2,"",Q6*PI()*R6^2/400)</f>
        <v/>
      </c>
      <c r="T6" s="7" t="n"/>
      <c r="U6" s="7" t="n"/>
      <c r="V6" s="9">
        <f>IF(COUNT(T6,U6)&lt;2,"",T6*PI()*U6^2/400)</f>
        <v/>
      </c>
      <c r="W6" s="7" t="n"/>
      <c r="X6" s="7" t="n"/>
      <c r="Y6" s="7" t="n"/>
      <c r="Z6" s="9">
        <f>IF(COUNT(E6,H6)&lt;2,"",0.0033*E6*H6)</f>
        <v/>
      </c>
      <c r="AA6" s="10">
        <f>IF(OR(S6="",Z6=""),"",IF(S6&gt;=Z6,"CUMPLE","NO CUMPLE"))</f>
        <v/>
      </c>
      <c r="AB6" s="7" t="n"/>
    </row>
    <row r="7" ht="20" customHeight="1">
      <c r="A7" s="7" t="n"/>
      <c r="B7" s="7" t="n"/>
      <c r="C7" s="7" t="n"/>
      <c r="D7" s="8" t="n"/>
      <c r="E7" s="8" t="n"/>
      <c r="F7" s="8" t="n"/>
      <c r="G7" s="8" t="n"/>
      <c r="H7" s="9">
        <f>IF(COUNT(F7,G7)=2,F7-G7,"")</f>
        <v/>
      </c>
      <c r="I7" s="7" t="n"/>
      <c r="J7" s="7" t="n"/>
      <c r="K7" s="8" t="n"/>
      <c r="L7" s="8" t="n"/>
      <c r="M7" s="9">
        <f>IF(COUNT(K7,L7)=0,"",1.2*K7+1.6*L7)</f>
        <v/>
      </c>
      <c r="N7" s="9">
        <f>IF(COUNT(D7,M7)&lt;2,"",M7*D7^2/10)</f>
        <v/>
      </c>
      <c r="O7" s="9">
        <f>IF(COUNT(D7,M7)&lt;2,"",M7*D7^2/11)</f>
        <v/>
      </c>
      <c r="P7" s="9">
        <f>IF(COUNT(D7,M7)&lt;2,"",1.15*M7*D7/2)</f>
        <v/>
      </c>
      <c r="Q7" s="7" t="n"/>
      <c r="R7" s="7" t="n"/>
      <c r="S7" s="9">
        <f>IF(COUNT(Q7,R7)&lt;2,"",Q7*PI()*R7^2/400)</f>
        <v/>
      </c>
      <c r="T7" s="7" t="n"/>
      <c r="U7" s="7" t="n"/>
      <c r="V7" s="9">
        <f>IF(COUNT(T7,U7)&lt;2,"",T7*PI()*U7^2/400)</f>
        <v/>
      </c>
      <c r="W7" s="7" t="n"/>
      <c r="X7" s="7" t="n"/>
      <c r="Y7" s="7" t="n"/>
      <c r="Z7" s="9">
        <f>IF(COUNT(E7,H7)&lt;2,"",0.0033*E7*H7)</f>
        <v/>
      </c>
      <c r="AA7" s="10">
        <f>IF(OR(S7="",Z7=""),"",IF(S7&gt;=Z7,"CUMPLE","NO CUMPLE"))</f>
        <v/>
      </c>
      <c r="AB7" s="7" t="n"/>
    </row>
    <row r="8" ht="20" customHeight="1">
      <c r="A8" s="7" t="n"/>
      <c r="B8" s="7" t="n"/>
      <c r="C8" s="7" t="n"/>
      <c r="D8" s="8" t="n"/>
      <c r="E8" s="8" t="n"/>
      <c r="F8" s="8" t="n"/>
      <c r="G8" s="8" t="n"/>
      <c r="H8" s="9">
        <f>IF(COUNT(F8,G8)=2,F8-G8,"")</f>
        <v/>
      </c>
      <c r="I8" s="7" t="n"/>
      <c r="J8" s="7" t="n"/>
      <c r="K8" s="8" t="n"/>
      <c r="L8" s="8" t="n"/>
      <c r="M8" s="9">
        <f>IF(COUNT(K8,L8)=0,"",1.2*K8+1.6*L8)</f>
        <v/>
      </c>
      <c r="N8" s="9">
        <f>IF(COUNT(D8,M8)&lt;2,"",M8*D8^2/10)</f>
        <v/>
      </c>
      <c r="O8" s="9">
        <f>IF(COUNT(D8,M8)&lt;2,"",M8*D8^2/11)</f>
        <v/>
      </c>
      <c r="P8" s="9">
        <f>IF(COUNT(D8,M8)&lt;2,"",1.15*M8*D8/2)</f>
        <v/>
      </c>
      <c r="Q8" s="7" t="n"/>
      <c r="R8" s="7" t="n"/>
      <c r="S8" s="9">
        <f>IF(COUNT(Q8,R8)&lt;2,"",Q8*PI()*R8^2/400)</f>
        <v/>
      </c>
      <c r="T8" s="7" t="n"/>
      <c r="U8" s="7" t="n"/>
      <c r="V8" s="9">
        <f>IF(COUNT(T8,U8)&lt;2,"",T8*PI()*U8^2/400)</f>
        <v/>
      </c>
      <c r="W8" s="7" t="n"/>
      <c r="X8" s="7" t="n"/>
      <c r="Y8" s="7" t="n"/>
      <c r="Z8" s="9">
        <f>IF(COUNT(E8,H8)&lt;2,"",0.0033*E8*H8)</f>
        <v/>
      </c>
      <c r="AA8" s="10">
        <f>IF(OR(S8="",Z8=""),"",IF(S8&gt;=Z8,"CUMPLE","NO CUMPLE"))</f>
        <v/>
      </c>
      <c r="AB8" s="7" t="n"/>
    </row>
    <row r="9" ht="20" customHeight="1">
      <c r="A9" s="7" t="n"/>
      <c r="B9" s="7" t="n"/>
      <c r="C9" s="7" t="n"/>
      <c r="D9" s="8" t="n"/>
      <c r="E9" s="8" t="n"/>
      <c r="F9" s="8" t="n"/>
      <c r="G9" s="8" t="n"/>
      <c r="H9" s="9">
        <f>IF(COUNT(F9,G9)=2,F9-G9,"")</f>
        <v/>
      </c>
      <c r="I9" s="7" t="n"/>
      <c r="J9" s="7" t="n"/>
      <c r="K9" s="8" t="n"/>
      <c r="L9" s="8" t="n"/>
      <c r="M9" s="9">
        <f>IF(COUNT(K9,L9)=0,"",1.2*K9+1.6*L9)</f>
        <v/>
      </c>
      <c r="N9" s="9">
        <f>IF(COUNT(D9,M9)&lt;2,"",M9*D9^2/10)</f>
        <v/>
      </c>
      <c r="O9" s="9">
        <f>IF(COUNT(D9,M9)&lt;2,"",M9*D9^2/11)</f>
        <v/>
      </c>
      <c r="P9" s="9">
        <f>IF(COUNT(D9,M9)&lt;2,"",1.15*M9*D9/2)</f>
        <v/>
      </c>
      <c r="Q9" s="7" t="n"/>
      <c r="R9" s="7" t="n"/>
      <c r="S9" s="9">
        <f>IF(COUNT(Q9,R9)&lt;2,"",Q9*PI()*R9^2/400)</f>
        <v/>
      </c>
      <c r="T9" s="7" t="n"/>
      <c r="U9" s="7" t="n"/>
      <c r="V9" s="9">
        <f>IF(COUNT(T9,U9)&lt;2,"",T9*PI()*U9^2/400)</f>
        <v/>
      </c>
      <c r="W9" s="7" t="n"/>
      <c r="X9" s="7" t="n"/>
      <c r="Y9" s="7" t="n"/>
      <c r="Z9" s="9">
        <f>IF(COUNT(E9,H9)&lt;2,"",0.0033*E9*H9)</f>
        <v/>
      </c>
      <c r="AA9" s="10">
        <f>IF(OR(S9="",Z9=""),"",IF(S9&gt;=Z9,"CUMPLE","NO CUMPLE"))</f>
        <v/>
      </c>
      <c r="AB9" s="7" t="n"/>
    </row>
    <row r="10" ht="20" customHeight="1">
      <c r="A10" s="7" t="n"/>
      <c r="B10" s="7" t="n"/>
      <c r="C10" s="7" t="n"/>
      <c r="D10" s="8" t="n"/>
      <c r="E10" s="8" t="n"/>
      <c r="F10" s="8" t="n"/>
      <c r="G10" s="8" t="n"/>
      <c r="H10" s="9">
        <f>IF(COUNT(F10,G10)=2,F10-G10,"")</f>
        <v/>
      </c>
      <c r="I10" s="7" t="n"/>
      <c r="J10" s="7" t="n"/>
      <c r="K10" s="8" t="n"/>
      <c r="L10" s="8" t="n"/>
      <c r="M10" s="9">
        <f>IF(COUNT(K10,L10)=0,"",1.2*K10+1.6*L10)</f>
        <v/>
      </c>
      <c r="N10" s="9">
        <f>IF(COUNT(D10,M10)&lt;2,"",M10*D10^2/10)</f>
        <v/>
      </c>
      <c r="O10" s="9">
        <f>IF(COUNT(D10,M10)&lt;2,"",M10*D10^2/11)</f>
        <v/>
      </c>
      <c r="P10" s="9">
        <f>IF(COUNT(D10,M10)&lt;2,"",1.15*M10*D10/2)</f>
        <v/>
      </c>
      <c r="Q10" s="7" t="n"/>
      <c r="R10" s="7" t="n"/>
      <c r="S10" s="9">
        <f>IF(COUNT(Q10,R10)&lt;2,"",Q10*PI()*R10^2/400)</f>
        <v/>
      </c>
      <c r="T10" s="7" t="n"/>
      <c r="U10" s="7" t="n"/>
      <c r="V10" s="9">
        <f>IF(COUNT(T10,U10)&lt;2,"",T10*PI()*U10^2/400)</f>
        <v/>
      </c>
      <c r="W10" s="7" t="n"/>
      <c r="X10" s="7" t="n"/>
      <c r="Y10" s="7" t="n"/>
      <c r="Z10" s="9">
        <f>IF(COUNT(E10,H10)&lt;2,"",0.0033*E10*H10)</f>
        <v/>
      </c>
      <c r="AA10" s="10">
        <f>IF(OR(S10="",Z10=""),"",IF(S10&gt;=Z10,"CUMPLE","NO CUMPLE"))</f>
        <v/>
      </c>
      <c r="AB10" s="7" t="n"/>
    </row>
    <row r="11" ht="20" customHeight="1">
      <c r="A11" s="7" t="n"/>
      <c r="B11" s="7" t="n"/>
      <c r="C11" s="7" t="n"/>
      <c r="D11" s="8" t="n"/>
      <c r="E11" s="8" t="n"/>
      <c r="F11" s="8" t="n"/>
      <c r="G11" s="8" t="n"/>
      <c r="H11" s="9">
        <f>IF(COUNT(F11,G11)=2,F11-G11,"")</f>
        <v/>
      </c>
      <c r="I11" s="7" t="n"/>
      <c r="J11" s="7" t="n"/>
      <c r="K11" s="8" t="n"/>
      <c r="L11" s="8" t="n"/>
      <c r="M11" s="9">
        <f>IF(COUNT(K11,L11)=0,"",1.2*K11+1.6*L11)</f>
        <v/>
      </c>
      <c r="N11" s="9">
        <f>IF(COUNT(D11,M11)&lt;2,"",M11*D11^2/10)</f>
        <v/>
      </c>
      <c r="O11" s="9">
        <f>IF(COUNT(D11,M11)&lt;2,"",M11*D11^2/11)</f>
        <v/>
      </c>
      <c r="P11" s="9">
        <f>IF(COUNT(D11,M11)&lt;2,"",1.15*M11*D11/2)</f>
        <v/>
      </c>
      <c r="Q11" s="7" t="n"/>
      <c r="R11" s="7" t="n"/>
      <c r="S11" s="9">
        <f>IF(COUNT(Q11,R11)&lt;2,"",Q11*PI()*R11^2/400)</f>
        <v/>
      </c>
      <c r="T11" s="7" t="n"/>
      <c r="U11" s="7" t="n"/>
      <c r="V11" s="9">
        <f>IF(COUNT(T11,U11)&lt;2,"",T11*PI()*U11^2/400)</f>
        <v/>
      </c>
      <c r="W11" s="7" t="n"/>
      <c r="X11" s="7" t="n"/>
      <c r="Y11" s="7" t="n"/>
      <c r="Z11" s="9">
        <f>IF(COUNT(E11,H11)&lt;2,"",0.0033*E11*H11)</f>
        <v/>
      </c>
      <c r="AA11" s="10">
        <f>IF(OR(S11="",Z11=""),"",IF(S11&gt;=Z11,"CUMPLE","NO CUMPLE"))</f>
        <v/>
      </c>
      <c r="AB11" s="7" t="n"/>
    </row>
    <row r="12" ht="20" customHeight="1">
      <c r="A12" s="7" t="n"/>
      <c r="B12" s="7" t="n"/>
      <c r="C12" s="7" t="n"/>
      <c r="D12" s="8" t="n"/>
      <c r="E12" s="8" t="n"/>
      <c r="F12" s="8" t="n"/>
      <c r="G12" s="8" t="n"/>
      <c r="H12" s="9">
        <f>IF(COUNT(F12,G12)=2,F12-G12,"")</f>
        <v/>
      </c>
      <c r="I12" s="7" t="n"/>
      <c r="J12" s="7" t="n"/>
      <c r="K12" s="8" t="n"/>
      <c r="L12" s="8" t="n"/>
      <c r="M12" s="9">
        <f>IF(COUNT(K12,L12)=0,"",1.2*K12+1.6*L12)</f>
        <v/>
      </c>
      <c r="N12" s="9">
        <f>IF(COUNT(D12,M12)&lt;2,"",M12*D12^2/10)</f>
        <v/>
      </c>
      <c r="O12" s="9">
        <f>IF(COUNT(D12,M12)&lt;2,"",M12*D12^2/11)</f>
        <v/>
      </c>
      <c r="P12" s="9">
        <f>IF(COUNT(D12,M12)&lt;2,"",1.15*M12*D12/2)</f>
        <v/>
      </c>
      <c r="Q12" s="7" t="n"/>
      <c r="R12" s="7" t="n"/>
      <c r="S12" s="9">
        <f>IF(COUNT(Q12,R12)&lt;2,"",Q12*PI()*R12^2/400)</f>
        <v/>
      </c>
      <c r="T12" s="7" t="n"/>
      <c r="U12" s="7" t="n"/>
      <c r="V12" s="9">
        <f>IF(COUNT(T12,U12)&lt;2,"",T12*PI()*U12^2/400)</f>
        <v/>
      </c>
      <c r="W12" s="7" t="n"/>
      <c r="X12" s="7" t="n"/>
      <c r="Y12" s="7" t="n"/>
      <c r="Z12" s="9">
        <f>IF(COUNT(E12,H12)&lt;2,"",0.0033*E12*H12)</f>
        <v/>
      </c>
      <c r="AA12" s="10">
        <f>IF(OR(S12="",Z12=""),"",IF(S12&gt;=Z12,"CUMPLE","NO CUMPLE"))</f>
        <v/>
      </c>
      <c r="AB12" s="7" t="n"/>
    </row>
    <row r="13" ht="20" customHeight="1">
      <c r="A13" s="7" t="n"/>
      <c r="B13" s="7" t="n"/>
      <c r="C13" s="7" t="n"/>
      <c r="D13" s="8" t="n"/>
      <c r="E13" s="8" t="n"/>
      <c r="F13" s="8" t="n"/>
      <c r="G13" s="8" t="n"/>
      <c r="H13" s="9">
        <f>IF(COUNT(F13,G13)=2,F13-G13,"")</f>
        <v/>
      </c>
      <c r="I13" s="7" t="n"/>
      <c r="J13" s="7" t="n"/>
      <c r="K13" s="8" t="n"/>
      <c r="L13" s="8" t="n"/>
      <c r="M13" s="9">
        <f>IF(COUNT(K13,L13)=0,"",1.2*K13+1.6*L13)</f>
        <v/>
      </c>
      <c r="N13" s="9">
        <f>IF(COUNT(D13,M13)&lt;2,"",M13*D13^2/10)</f>
        <v/>
      </c>
      <c r="O13" s="9">
        <f>IF(COUNT(D13,M13)&lt;2,"",M13*D13^2/11)</f>
        <v/>
      </c>
      <c r="P13" s="9">
        <f>IF(COUNT(D13,M13)&lt;2,"",1.15*M13*D13/2)</f>
        <v/>
      </c>
      <c r="Q13" s="7" t="n"/>
      <c r="R13" s="7" t="n"/>
      <c r="S13" s="9">
        <f>IF(COUNT(Q13,R13)&lt;2,"",Q13*PI()*R13^2/400)</f>
        <v/>
      </c>
      <c r="T13" s="7" t="n"/>
      <c r="U13" s="7" t="n"/>
      <c r="V13" s="9">
        <f>IF(COUNT(T13,U13)&lt;2,"",T13*PI()*U13^2/400)</f>
        <v/>
      </c>
      <c r="W13" s="7" t="n"/>
      <c r="X13" s="7" t="n"/>
      <c r="Y13" s="7" t="n"/>
      <c r="Z13" s="9">
        <f>IF(COUNT(E13,H13)&lt;2,"",0.0033*E13*H13)</f>
        <v/>
      </c>
      <c r="AA13" s="10">
        <f>IF(OR(S13="",Z13=""),"",IF(S13&gt;=Z13,"CUMPLE","NO CUMPLE"))</f>
        <v/>
      </c>
      <c r="AB13" s="7" t="n"/>
    </row>
    <row r="14" ht="20" customHeight="1">
      <c r="A14" s="7" t="n"/>
      <c r="B14" s="7" t="n"/>
      <c r="C14" s="7" t="n"/>
      <c r="D14" s="8" t="n"/>
      <c r="E14" s="8" t="n"/>
      <c r="F14" s="8" t="n"/>
      <c r="G14" s="8" t="n"/>
      <c r="H14" s="9">
        <f>IF(COUNT(F14,G14)=2,F14-G14,"")</f>
        <v/>
      </c>
      <c r="I14" s="7" t="n"/>
      <c r="J14" s="7" t="n"/>
      <c r="K14" s="8" t="n"/>
      <c r="L14" s="8" t="n"/>
      <c r="M14" s="9">
        <f>IF(COUNT(K14,L14)=0,"",1.2*K14+1.6*L14)</f>
        <v/>
      </c>
      <c r="N14" s="9">
        <f>IF(COUNT(D14,M14)&lt;2,"",M14*D14^2/10)</f>
        <v/>
      </c>
      <c r="O14" s="9">
        <f>IF(COUNT(D14,M14)&lt;2,"",M14*D14^2/11)</f>
        <v/>
      </c>
      <c r="P14" s="9">
        <f>IF(COUNT(D14,M14)&lt;2,"",1.15*M14*D14/2)</f>
        <v/>
      </c>
      <c r="Q14" s="7" t="n"/>
      <c r="R14" s="7" t="n"/>
      <c r="S14" s="9">
        <f>IF(COUNT(Q14,R14)&lt;2,"",Q14*PI()*R14^2/400)</f>
        <v/>
      </c>
      <c r="T14" s="7" t="n"/>
      <c r="U14" s="7" t="n"/>
      <c r="V14" s="9">
        <f>IF(COUNT(T14,U14)&lt;2,"",T14*PI()*U14^2/400)</f>
        <v/>
      </c>
      <c r="W14" s="7" t="n"/>
      <c r="X14" s="7" t="n"/>
      <c r="Y14" s="7" t="n"/>
      <c r="Z14" s="9">
        <f>IF(COUNT(E14,H14)&lt;2,"",0.0033*E14*H14)</f>
        <v/>
      </c>
      <c r="AA14" s="10">
        <f>IF(OR(S14="",Z14=""),"",IF(S14&gt;=Z14,"CUMPLE","NO CUMPLE"))</f>
        <v/>
      </c>
      <c r="AB14" s="7" t="n"/>
    </row>
    <row r="15" ht="20" customHeight="1">
      <c r="A15" s="7" t="n"/>
      <c r="B15" s="7" t="n"/>
      <c r="C15" s="7" t="n"/>
      <c r="D15" s="8" t="n"/>
      <c r="E15" s="8" t="n"/>
      <c r="F15" s="8" t="n"/>
      <c r="G15" s="8" t="n"/>
      <c r="H15" s="9">
        <f>IF(COUNT(F15,G15)=2,F15-G15,"")</f>
        <v/>
      </c>
      <c r="I15" s="7" t="n"/>
      <c r="J15" s="7" t="n"/>
      <c r="K15" s="8" t="n"/>
      <c r="L15" s="8" t="n"/>
      <c r="M15" s="9">
        <f>IF(COUNT(K15,L15)=0,"",1.2*K15+1.6*L15)</f>
        <v/>
      </c>
      <c r="N15" s="9">
        <f>IF(COUNT(D15,M15)&lt;2,"",M15*D15^2/10)</f>
        <v/>
      </c>
      <c r="O15" s="9">
        <f>IF(COUNT(D15,M15)&lt;2,"",M15*D15^2/11)</f>
        <v/>
      </c>
      <c r="P15" s="9">
        <f>IF(COUNT(D15,M15)&lt;2,"",1.15*M15*D15/2)</f>
        <v/>
      </c>
      <c r="Q15" s="7" t="n"/>
      <c r="R15" s="7" t="n"/>
      <c r="S15" s="9">
        <f>IF(COUNT(Q15,R15)&lt;2,"",Q15*PI()*R15^2/400)</f>
        <v/>
      </c>
      <c r="T15" s="7" t="n"/>
      <c r="U15" s="7" t="n"/>
      <c r="V15" s="9">
        <f>IF(COUNT(T15,U15)&lt;2,"",T15*PI()*U15^2/400)</f>
        <v/>
      </c>
      <c r="W15" s="7" t="n"/>
      <c r="X15" s="7" t="n"/>
      <c r="Y15" s="7" t="n"/>
      <c r="Z15" s="9">
        <f>IF(COUNT(E15,H15)&lt;2,"",0.0033*E15*H15)</f>
        <v/>
      </c>
      <c r="AA15" s="10">
        <f>IF(OR(S15="",Z15=""),"",IF(S15&gt;=Z15,"CUMPLE","NO CUMPLE"))</f>
        <v/>
      </c>
      <c r="AB15" s="7" t="n"/>
    </row>
    <row r="16" ht="20" customHeight="1">
      <c r="A16" s="7" t="n"/>
      <c r="B16" s="7" t="n"/>
      <c r="C16" s="7" t="n"/>
      <c r="D16" s="8" t="n"/>
      <c r="E16" s="8" t="n"/>
      <c r="F16" s="8" t="n"/>
      <c r="G16" s="8" t="n"/>
      <c r="H16" s="9">
        <f>IF(COUNT(F16,G16)=2,F16-G16,"")</f>
        <v/>
      </c>
      <c r="I16" s="7" t="n"/>
      <c r="J16" s="7" t="n"/>
      <c r="K16" s="8" t="n"/>
      <c r="L16" s="8" t="n"/>
      <c r="M16" s="9">
        <f>IF(COUNT(K16,L16)=0,"",1.2*K16+1.6*L16)</f>
        <v/>
      </c>
      <c r="N16" s="9">
        <f>IF(COUNT(D16,M16)&lt;2,"",M16*D16^2/10)</f>
        <v/>
      </c>
      <c r="O16" s="9">
        <f>IF(COUNT(D16,M16)&lt;2,"",M16*D16^2/11)</f>
        <v/>
      </c>
      <c r="P16" s="9">
        <f>IF(COUNT(D16,M16)&lt;2,"",1.15*M16*D16/2)</f>
        <v/>
      </c>
      <c r="Q16" s="7" t="n"/>
      <c r="R16" s="7" t="n"/>
      <c r="S16" s="9">
        <f>IF(COUNT(Q16,R16)&lt;2,"",Q16*PI()*R16^2/400)</f>
        <v/>
      </c>
      <c r="T16" s="7" t="n"/>
      <c r="U16" s="7" t="n"/>
      <c r="V16" s="9">
        <f>IF(COUNT(T16,U16)&lt;2,"",T16*PI()*U16^2/400)</f>
        <v/>
      </c>
      <c r="W16" s="7" t="n"/>
      <c r="X16" s="7" t="n"/>
      <c r="Y16" s="7" t="n"/>
      <c r="Z16" s="9">
        <f>IF(COUNT(E16,H16)&lt;2,"",0.0033*E16*H16)</f>
        <v/>
      </c>
      <c r="AA16" s="10">
        <f>IF(OR(S16="",Z16=""),"",IF(S16&gt;=Z16,"CUMPLE","NO CUMPLE"))</f>
        <v/>
      </c>
      <c r="AB16" s="7" t="n"/>
    </row>
    <row r="17" ht="20" customHeight="1">
      <c r="A17" s="7" t="n"/>
      <c r="B17" s="7" t="n"/>
      <c r="C17" s="7" t="n"/>
      <c r="D17" s="8" t="n"/>
      <c r="E17" s="8" t="n"/>
      <c r="F17" s="8" t="n"/>
      <c r="G17" s="8" t="n"/>
      <c r="H17" s="9">
        <f>IF(COUNT(F17,G17)=2,F17-G17,"")</f>
        <v/>
      </c>
      <c r="I17" s="7" t="n"/>
      <c r="J17" s="7" t="n"/>
      <c r="K17" s="8" t="n"/>
      <c r="L17" s="8" t="n"/>
      <c r="M17" s="9">
        <f>IF(COUNT(K17,L17)=0,"",1.2*K17+1.6*L17)</f>
        <v/>
      </c>
      <c r="N17" s="9">
        <f>IF(COUNT(D17,M17)&lt;2,"",M17*D17^2/10)</f>
        <v/>
      </c>
      <c r="O17" s="9">
        <f>IF(COUNT(D17,M17)&lt;2,"",M17*D17^2/11)</f>
        <v/>
      </c>
      <c r="P17" s="9">
        <f>IF(COUNT(D17,M17)&lt;2,"",1.15*M17*D17/2)</f>
        <v/>
      </c>
      <c r="Q17" s="7" t="n"/>
      <c r="R17" s="7" t="n"/>
      <c r="S17" s="9">
        <f>IF(COUNT(Q17,R17)&lt;2,"",Q17*PI()*R17^2/400)</f>
        <v/>
      </c>
      <c r="T17" s="7" t="n"/>
      <c r="U17" s="7" t="n"/>
      <c r="V17" s="9">
        <f>IF(COUNT(T17,U17)&lt;2,"",T17*PI()*U17^2/400)</f>
        <v/>
      </c>
      <c r="W17" s="7" t="n"/>
      <c r="X17" s="7" t="n"/>
      <c r="Y17" s="7" t="n"/>
      <c r="Z17" s="9">
        <f>IF(COUNT(E17,H17)&lt;2,"",0.0033*E17*H17)</f>
        <v/>
      </c>
      <c r="AA17" s="10">
        <f>IF(OR(S17="",Z17=""),"",IF(S17&gt;=Z17,"CUMPLE","NO CUMPLE"))</f>
        <v/>
      </c>
      <c r="AB17" s="7" t="n"/>
    </row>
    <row r="18" ht="20" customHeight="1">
      <c r="A18" s="7" t="n"/>
      <c r="B18" s="7" t="n"/>
      <c r="C18" s="7" t="n"/>
      <c r="D18" s="8" t="n"/>
      <c r="E18" s="8" t="n"/>
      <c r="F18" s="8" t="n"/>
      <c r="G18" s="8" t="n"/>
      <c r="H18" s="9">
        <f>IF(COUNT(F18,G18)=2,F18-G18,"")</f>
        <v/>
      </c>
      <c r="I18" s="7" t="n"/>
      <c r="J18" s="7" t="n"/>
      <c r="K18" s="8" t="n"/>
      <c r="L18" s="8" t="n"/>
      <c r="M18" s="9">
        <f>IF(COUNT(K18,L18)=0,"",1.2*K18+1.6*L18)</f>
        <v/>
      </c>
      <c r="N18" s="9">
        <f>IF(COUNT(D18,M18)&lt;2,"",M18*D18^2/10)</f>
        <v/>
      </c>
      <c r="O18" s="9">
        <f>IF(COUNT(D18,M18)&lt;2,"",M18*D18^2/11)</f>
        <v/>
      </c>
      <c r="P18" s="9">
        <f>IF(COUNT(D18,M18)&lt;2,"",1.15*M18*D18/2)</f>
        <v/>
      </c>
      <c r="Q18" s="7" t="n"/>
      <c r="R18" s="7" t="n"/>
      <c r="S18" s="9">
        <f>IF(COUNT(Q18,R18)&lt;2,"",Q18*PI()*R18^2/400)</f>
        <v/>
      </c>
      <c r="T18" s="7" t="n"/>
      <c r="U18" s="7" t="n"/>
      <c r="V18" s="9">
        <f>IF(COUNT(T18,U18)&lt;2,"",T18*PI()*U18^2/400)</f>
        <v/>
      </c>
      <c r="W18" s="7" t="n"/>
      <c r="X18" s="7" t="n"/>
      <c r="Y18" s="7" t="n"/>
      <c r="Z18" s="9">
        <f>IF(COUNT(E18,H18)&lt;2,"",0.0033*E18*H18)</f>
        <v/>
      </c>
      <c r="AA18" s="10">
        <f>IF(OR(S18="",Z18=""),"",IF(S18&gt;=Z18,"CUMPLE","NO CUMPLE"))</f>
        <v/>
      </c>
      <c r="AB18" s="7" t="n"/>
    </row>
    <row r="19" ht="20" customHeight="1">
      <c r="A19" s="7" t="n"/>
      <c r="B19" s="7" t="n"/>
      <c r="C19" s="7" t="n"/>
      <c r="D19" s="8" t="n"/>
      <c r="E19" s="8" t="n"/>
      <c r="F19" s="8" t="n"/>
      <c r="G19" s="8" t="n"/>
      <c r="H19" s="9">
        <f>IF(COUNT(F19,G19)=2,F19-G19,"")</f>
        <v/>
      </c>
      <c r="I19" s="7" t="n"/>
      <c r="J19" s="7" t="n"/>
      <c r="K19" s="8" t="n"/>
      <c r="L19" s="8" t="n"/>
      <c r="M19" s="9">
        <f>IF(COUNT(K19,L19)=0,"",1.2*K19+1.6*L19)</f>
        <v/>
      </c>
      <c r="N19" s="9">
        <f>IF(COUNT(D19,M19)&lt;2,"",M19*D19^2/10)</f>
        <v/>
      </c>
      <c r="O19" s="9">
        <f>IF(COUNT(D19,M19)&lt;2,"",M19*D19^2/11)</f>
        <v/>
      </c>
      <c r="P19" s="9">
        <f>IF(COUNT(D19,M19)&lt;2,"",1.15*M19*D19/2)</f>
        <v/>
      </c>
      <c r="Q19" s="7" t="n"/>
      <c r="R19" s="7" t="n"/>
      <c r="S19" s="9">
        <f>IF(COUNT(Q19,R19)&lt;2,"",Q19*PI()*R19^2/400)</f>
        <v/>
      </c>
      <c r="T19" s="7" t="n"/>
      <c r="U19" s="7" t="n"/>
      <c r="V19" s="9">
        <f>IF(COUNT(T19,U19)&lt;2,"",T19*PI()*U19^2/400)</f>
        <v/>
      </c>
      <c r="W19" s="7" t="n"/>
      <c r="X19" s="7" t="n"/>
      <c r="Y19" s="7" t="n"/>
      <c r="Z19" s="9">
        <f>IF(COUNT(E19,H19)&lt;2,"",0.0033*E19*H19)</f>
        <v/>
      </c>
      <c r="AA19" s="10">
        <f>IF(OR(S19="",Z19=""),"",IF(S19&gt;=Z19,"CUMPLE","NO CUMPLE"))</f>
        <v/>
      </c>
      <c r="AB19" s="7" t="n"/>
    </row>
    <row r="20" ht="20" customHeight="1">
      <c r="A20" s="7" t="n"/>
      <c r="B20" s="7" t="n"/>
      <c r="C20" s="7" t="n"/>
      <c r="D20" s="8" t="n"/>
      <c r="E20" s="8" t="n"/>
      <c r="F20" s="8" t="n"/>
      <c r="G20" s="8" t="n"/>
      <c r="H20" s="9">
        <f>IF(COUNT(F20,G20)=2,F20-G20,"")</f>
        <v/>
      </c>
      <c r="I20" s="7" t="n"/>
      <c r="J20" s="7" t="n"/>
      <c r="K20" s="8" t="n"/>
      <c r="L20" s="8" t="n"/>
      <c r="M20" s="9">
        <f>IF(COUNT(K20,L20)=0,"",1.2*K20+1.6*L20)</f>
        <v/>
      </c>
      <c r="N20" s="9">
        <f>IF(COUNT(D20,M20)&lt;2,"",M20*D20^2/10)</f>
        <v/>
      </c>
      <c r="O20" s="9">
        <f>IF(COUNT(D20,M20)&lt;2,"",M20*D20^2/11)</f>
        <v/>
      </c>
      <c r="P20" s="9">
        <f>IF(COUNT(D20,M20)&lt;2,"",1.15*M20*D20/2)</f>
        <v/>
      </c>
      <c r="Q20" s="7" t="n"/>
      <c r="R20" s="7" t="n"/>
      <c r="S20" s="9">
        <f>IF(COUNT(Q20,R20)&lt;2,"",Q20*PI()*R20^2/400)</f>
        <v/>
      </c>
      <c r="T20" s="7" t="n"/>
      <c r="U20" s="7" t="n"/>
      <c r="V20" s="9">
        <f>IF(COUNT(T20,U20)&lt;2,"",T20*PI()*U20^2/400)</f>
        <v/>
      </c>
      <c r="W20" s="7" t="n"/>
      <c r="X20" s="7" t="n"/>
      <c r="Y20" s="7" t="n"/>
      <c r="Z20" s="9">
        <f>IF(COUNT(E20,H20)&lt;2,"",0.0033*E20*H20)</f>
        <v/>
      </c>
      <c r="AA20" s="10">
        <f>IF(OR(S20="",Z20=""),"",IF(S20&gt;=Z20,"CUMPLE","NO CUMPLE"))</f>
        <v/>
      </c>
      <c r="AB20" s="7" t="n"/>
    </row>
    <row r="21" ht="20" customHeight="1">
      <c r="A21" s="7" t="n"/>
      <c r="B21" s="7" t="n"/>
      <c r="C21" s="7" t="n"/>
      <c r="D21" s="8" t="n"/>
      <c r="E21" s="8" t="n"/>
      <c r="F21" s="8" t="n"/>
      <c r="G21" s="8" t="n"/>
      <c r="H21" s="9">
        <f>IF(COUNT(F21,G21)=2,F21-G21,"")</f>
        <v/>
      </c>
      <c r="I21" s="7" t="n"/>
      <c r="J21" s="7" t="n"/>
      <c r="K21" s="8" t="n"/>
      <c r="L21" s="8" t="n"/>
      <c r="M21" s="9">
        <f>IF(COUNT(K21,L21)=0,"",1.2*K21+1.6*L21)</f>
        <v/>
      </c>
      <c r="N21" s="9">
        <f>IF(COUNT(D21,M21)&lt;2,"",M21*D21^2/10)</f>
        <v/>
      </c>
      <c r="O21" s="9">
        <f>IF(COUNT(D21,M21)&lt;2,"",M21*D21^2/11)</f>
        <v/>
      </c>
      <c r="P21" s="9">
        <f>IF(COUNT(D21,M21)&lt;2,"",1.15*M21*D21/2)</f>
        <v/>
      </c>
      <c r="Q21" s="7" t="n"/>
      <c r="R21" s="7" t="n"/>
      <c r="S21" s="9">
        <f>IF(COUNT(Q21,R21)&lt;2,"",Q21*PI()*R21^2/400)</f>
        <v/>
      </c>
      <c r="T21" s="7" t="n"/>
      <c r="U21" s="7" t="n"/>
      <c r="V21" s="9">
        <f>IF(COUNT(T21,U21)&lt;2,"",T21*PI()*U21^2/400)</f>
        <v/>
      </c>
      <c r="W21" s="7" t="n"/>
      <c r="X21" s="7" t="n"/>
      <c r="Y21" s="7" t="n"/>
      <c r="Z21" s="9">
        <f>IF(COUNT(E21,H21)&lt;2,"",0.0033*E21*H21)</f>
        <v/>
      </c>
      <c r="AA21" s="10">
        <f>IF(OR(S21="",Z21=""),"",IF(S21&gt;=Z21,"CUMPLE","NO CUMPLE"))</f>
        <v/>
      </c>
      <c r="AB21" s="7" t="n"/>
    </row>
    <row r="22" ht="20" customHeight="1">
      <c r="A22" s="7" t="n"/>
      <c r="B22" s="7" t="n"/>
      <c r="C22" s="7" t="n"/>
      <c r="D22" s="8" t="n"/>
      <c r="E22" s="8" t="n"/>
      <c r="F22" s="8" t="n"/>
      <c r="G22" s="8" t="n"/>
      <c r="H22" s="9">
        <f>IF(COUNT(F22,G22)=2,F22-G22,"")</f>
        <v/>
      </c>
      <c r="I22" s="7" t="n"/>
      <c r="J22" s="7" t="n"/>
      <c r="K22" s="8" t="n"/>
      <c r="L22" s="8" t="n"/>
      <c r="M22" s="9">
        <f>IF(COUNT(K22,L22)=0,"",1.2*K22+1.6*L22)</f>
        <v/>
      </c>
      <c r="N22" s="9">
        <f>IF(COUNT(D22,M22)&lt;2,"",M22*D22^2/10)</f>
        <v/>
      </c>
      <c r="O22" s="9">
        <f>IF(COUNT(D22,M22)&lt;2,"",M22*D22^2/11)</f>
        <v/>
      </c>
      <c r="P22" s="9">
        <f>IF(COUNT(D22,M22)&lt;2,"",1.15*M22*D22/2)</f>
        <v/>
      </c>
      <c r="Q22" s="7" t="n"/>
      <c r="R22" s="7" t="n"/>
      <c r="S22" s="9">
        <f>IF(COUNT(Q22,R22)&lt;2,"",Q22*PI()*R22^2/400)</f>
        <v/>
      </c>
      <c r="T22" s="7" t="n"/>
      <c r="U22" s="7" t="n"/>
      <c r="V22" s="9">
        <f>IF(COUNT(T22,U22)&lt;2,"",T22*PI()*U22^2/400)</f>
        <v/>
      </c>
      <c r="W22" s="7" t="n"/>
      <c r="X22" s="7" t="n"/>
      <c r="Y22" s="7" t="n"/>
      <c r="Z22" s="9">
        <f>IF(COUNT(E22,H22)&lt;2,"",0.0033*E22*H22)</f>
        <v/>
      </c>
      <c r="AA22" s="10">
        <f>IF(OR(S22="",Z22=""),"",IF(S22&gt;=Z22,"CUMPLE","NO CUMPLE"))</f>
        <v/>
      </c>
      <c r="AB22" s="7" t="n"/>
    </row>
    <row r="24">
      <c r="A24" s="5" t="inlineStr">
        <is>
          <t>PA - Losa sobre PA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</row>
    <row r="25" ht="20" customHeight="1">
      <c r="A25" s="7" t="n"/>
      <c r="B25" s="7" t="n"/>
      <c r="C25" s="7" t="n"/>
      <c r="D25" s="8" t="n"/>
      <c r="E25" s="8" t="n"/>
      <c r="F25" s="8" t="n"/>
      <c r="G25" s="8" t="n"/>
      <c r="H25" s="9">
        <f>IF(COUNT(F25,G25)=2,F25-G25,"")</f>
        <v/>
      </c>
      <c r="I25" s="7" t="n"/>
      <c r="J25" s="7" t="n"/>
      <c r="K25" s="8" t="n"/>
      <c r="L25" s="8" t="n"/>
      <c r="M25" s="9">
        <f>IF(COUNT(K25,L25)=0,"",1.2*K25+1.6*L25)</f>
        <v/>
      </c>
      <c r="N25" s="9">
        <f>IF(COUNT(D25,M25)&lt;2,"",M25*D25^2/10)</f>
        <v/>
      </c>
      <c r="O25" s="9">
        <f>IF(COUNT(D25,M25)&lt;2,"",M25*D25^2/11)</f>
        <v/>
      </c>
      <c r="P25" s="9">
        <f>IF(COUNT(D25,M25)&lt;2,"",1.15*M25*D25/2)</f>
        <v/>
      </c>
      <c r="Q25" s="7" t="n"/>
      <c r="R25" s="7" t="n"/>
      <c r="S25" s="9">
        <f>IF(COUNT(Q25,R25)&lt;2,"",Q25*PI()*R25^2/400)</f>
        <v/>
      </c>
      <c r="T25" s="7" t="n"/>
      <c r="U25" s="7" t="n"/>
      <c r="V25" s="9">
        <f>IF(COUNT(T25,U25)&lt;2,"",T25*PI()*U25^2/400)</f>
        <v/>
      </c>
      <c r="W25" s="7" t="n"/>
      <c r="X25" s="7" t="n"/>
      <c r="Y25" s="7" t="n"/>
      <c r="Z25" s="9">
        <f>IF(COUNT(E25,H25)&lt;2,"",0.0033*E25*H25)</f>
        <v/>
      </c>
      <c r="AA25" s="10">
        <f>IF(OR(S25="",Z25=""),"",IF(S25&gt;=Z25,"CUMPLE","NO CUMPLE"))</f>
        <v/>
      </c>
      <c r="AB25" s="7" t="n"/>
    </row>
    <row r="26" ht="20" customHeight="1">
      <c r="A26" s="7" t="n"/>
      <c r="B26" s="7" t="n"/>
      <c r="C26" s="7" t="n"/>
      <c r="D26" s="8" t="n"/>
      <c r="E26" s="8" t="n"/>
      <c r="F26" s="8" t="n"/>
      <c r="G26" s="8" t="n"/>
      <c r="H26" s="9">
        <f>IF(COUNT(F26,G26)=2,F26-G26,"")</f>
        <v/>
      </c>
      <c r="I26" s="7" t="n"/>
      <c r="J26" s="7" t="n"/>
      <c r="K26" s="8" t="n"/>
      <c r="L26" s="8" t="n"/>
      <c r="M26" s="9">
        <f>IF(COUNT(K26,L26)=0,"",1.2*K26+1.6*L26)</f>
        <v/>
      </c>
      <c r="N26" s="9">
        <f>IF(COUNT(D26,M26)&lt;2,"",M26*D26^2/10)</f>
        <v/>
      </c>
      <c r="O26" s="9">
        <f>IF(COUNT(D26,M26)&lt;2,"",M26*D26^2/11)</f>
        <v/>
      </c>
      <c r="P26" s="9">
        <f>IF(COUNT(D26,M26)&lt;2,"",1.15*M26*D26/2)</f>
        <v/>
      </c>
      <c r="Q26" s="7" t="n"/>
      <c r="R26" s="7" t="n"/>
      <c r="S26" s="9">
        <f>IF(COUNT(Q26,R26)&lt;2,"",Q26*PI()*R26^2/400)</f>
        <v/>
      </c>
      <c r="T26" s="7" t="n"/>
      <c r="U26" s="7" t="n"/>
      <c r="V26" s="9">
        <f>IF(COUNT(T26,U26)&lt;2,"",T26*PI()*U26^2/400)</f>
        <v/>
      </c>
      <c r="W26" s="7" t="n"/>
      <c r="X26" s="7" t="n"/>
      <c r="Y26" s="7" t="n"/>
      <c r="Z26" s="9">
        <f>IF(COUNT(E26,H26)&lt;2,"",0.0033*E26*H26)</f>
        <v/>
      </c>
      <c r="AA26" s="10">
        <f>IF(OR(S26="",Z26=""),"",IF(S26&gt;=Z26,"CUMPLE","NO CUMPLE"))</f>
        <v/>
      </c>
      <c r="AB26" s="7" t="n"/>
    </row>
    <row r="27" ht="20" customHeight="1">
      <c r="A27" s="7" t="n"/>
      <c r="B27" s="7" t="n"/>
      <c r="C27" s="7" t="n"/>
      <c r="D27" s="8" t="n"/>
      <c r="E27" s="8" t="n"/>
      <c r="F27" s="8" t="n"/>
      <c r="G27" s="8" t="n"/>
      <c r="H27" s="9">
        <f>IF(COUNT(F27,G27)=2,F27-G27,"")</f>
        <v/>
      </c>
      <c r="I27" s="7" t="n"/>
      <c r="J27" s="7" t="n"/>
      <c r="K27" s="8" t="n"/>
      <c r="L27" s="8" t="n"/>
      <c r="M27" s="9">
        <f>IF(COUNT(K27,L27)=0,"",1.2*K27+1.6*L27)</f>
        <v/>
      </c>
      <c r="N27" s="9">
        <f>IF(COUNT(D27,M27)&lt;2,"",M27*D27^2/10)</f>
        <v/>
      </c>
      <c r="O27" s="9">
        <f>IF(COUNT(D27,M27)&lt;2,"",M27*D27^2/11)</f>
        <v/>
      </c>
      <c r="P27" s="9">
        <f>IF(COUNT(D27,M27)&lt;2,"",1.15*M27*D27/2)</f>
        <v/>
      </c>
      <c r="Q27" s="7" t="n"/>
      <c r="R27" s="7" t="n"/>
      <c r="S27" s="9">
        <f>IF(COUNT(Q27,R27)&lt;2,"",Q27*PI()*R27^2/400)</f>
        <v/>
      </c>
      <c r="T27" s="7" t="n"/>
      <c r="U27" s="7" t="n"/>
      <c r="V27" s="9">
        <f>IF(COUNT(T27,U27)&lt;2,"",T27*PI()*U27^2/400)</f>
        <v/>
      </c>
      <c r="W27" s="7" t="n"/>
      <c r="X27" s="7" t="n"/>
      <c r="Y27" s="7" t="n"/>
      <c r="Z27" s="9">
        <f>IF(COUNT(E27,H27)&lt;2,"",0.0033*E27*H27)</f>
        <v/>
      </c>
      <c r="AA27" s="10">
        <f>IF(OR(S27="",Z27=""),"",IF(S27&gt;=Z27,"CUMPLE","NO CUMPLE"))</f>
        <v/>
      </c>
      <c r="AB27" s="7" t="n"/>
    </row>
    <row r="28" ht="20" customHeight="1">
      <c r="A28" s="7" t="n"/>
      <c r="B28" s="7" t="n"/>
      <c r="C28" s="7" t="n"/>
      <c r="D28" s="8" t="n"/>
      <c r="E28" s="8" t="n"/>
      <c r="F28" s="8" t="n"/>
      <c r="G28" s="8" t="n"/>
      <c r="H28" s="9">
        <f>IF(COUNT(F28,G28)=2,F28-G28,"")</f>
        <v/>
      </c>
      <c r="I28" s="7" t="n"/>
      <c r="J28" s="7" t="n"/>
      <c r="K28" s="8" t="n"/>
      <c r="L28" s="8" t="n"/>
      <c r="M28" s="9">
        <f>IF(COUNT(K28,L28)=0,"",1.2*K28+1.6*L28)</f>
        <v/>
      </c>
      <c r="N28" s="9">
        <f>IF(COUNT(D28,M28)&lt;2,"",M28*D28^2/10)</f>
        <v/>
      </c>
      <c r="O28" s="9">
        <f>IF(COUNT(D28,M28)&lt;2,"",M28*D28^2/11)</f>
        <v/>
      </c>
      <c r="P28" s="9">
        <f>IF(COUNT(D28,M28)&lt;2,"",1.15*M28*D28/2)</f>
        <v/>
      </c>
      <c r="Q28" s="7" t="n"/>
      <c r="R28" s="7" t="n"/>
      <c r="S28" s="9">
        <f>IF(COUNT(Q28,R28)&lt;2,"",Q28*PI()*R28^2/400)</f>
        <v/>
      </c>
      <c r="T28" s="7" t="n"/>
      <c r="U28" s="7" t="n"/>
      <c r="V28" s="9">
        <f>IF(COUNT(T28,U28)&lt;2,"",T28*PI()*U28^2/400)</f>
        <v/>
      </c>
      <c r="W28" s="7" t="n"/>
      <c r="X28" s="7" t="n"/>
      <c r="Y28" s="7" t="n"/>
      <c r="Z28" s="9">
        <f>IF(COUNT(E28,H28)&lt;2,"",0.0033*E28*H28)</f>
        <v/>
      </c>
      <c r="AA28" s="10">
        <f>IF(OR(S28="",Z28=""),"",IF(S28&gt;=Z28,"CUMPLE","NO CUMPLE"))</f>
        <v/>
      </c>
      <c r="AB28" s="7" t="n"/>
    </row>
    <row r="29" ht="20" customHeight="1">
      <c r="A29" s="7" t="n"/>
      <c r="B29" s="7" t="n"/>
      <c r="C29" s="7" t="n"/>
      <c r="D29" s="8" t="n"/>
      <c r="E29" s="8" t="n"/>
      <c r="F29" s="8" t="n"/>
      <c r="G29" s="8" t="n"/>
      <c r="H29" s="9">
        <f>IF(COUNT(F29,G29)=2,F29-G29,"")</f>
        <v/>
      </c>
      <c r="I29" s="7" t="n"/>
      <c r="J29" s="7" t="n"/>
      <c r="K29" s="8" t="n"/>
      <c r="L29" s="8" t="n"/>
      <c r="M29" s="9">
        <f>IF(COUNT(K29,L29)=0,"",1.2*K29+1.6*L29)</f>
        <v/>
      </c>
      <c r="N29" s="9">
        <f>IF(COUNT(D29,M29)&lt;2,"",M29*D29^2/10)</f>
        <v/>
      </c>
      <c r="O29" s="9">
        <f>IF(COUNT(D29,M29)&lt;2,"",M29*D29^2/11)</f>
        <v/>
      </c>
      <c r="P29" s="9">
        <f>IF(COUNT(D29,M29)&lt;2,"",1.15*M29*D29/2)</f>
        <v/>
      </c>
      <c r="Q29" s="7" t="n"/>
      <c r="R29" s="7" t="n"/>
      <c r="S29" s="9">
        <f>IF(COUNT(Q29,R29)&lt;2,"",Q29*PI()*R29^2/400)</f>
        <v/>
      </c>
      <c r="T29" s="7" t="n"/>
      <c r="U29" s="7" t="n"/>
      <c r="V29" s="9">
        <f>IF(COUNT(T29,U29)&lt;2,"",T29*PI()*U29^2/400)</f>
        <v/>
      </c>
      <c r="W29" s="7" t="n"/>
      <c r="X29" s="7" t="n"/>
      <c r="Y29" s="7" t="n"/>
      <c r="Z29" s="9">
        <f>IF(COUNT(E29,H29)&lt;2,"",0.0033*E29*H29)</f>
        <v/>
      </c>
      <c r="AA29" s="10">
        <f>IF(OR(S29="",Z29=""),"",IF(S29&gt;=Z29,"CUMPLE","NO CUMPLE"))</f>
        <v/>
      </c>
      <c r="AB29" s="7" t="n"/>
    </row>
    <row r="30" ht="20" customHeight="1">
      <c r="A30" s="7" t="n"/>
      <c r="B30" s="7" t="n"/>
      <c r="C30" s="7" t="n"/>
      <c r="D30" s="8" t="n"/>
      <c r="E30" s="8" t="n"/>
      <c r="F30" s="8" t="n"/>
      <c r="G30" s="8" t="n"/>
      <c r="H30" s="9">
        <f>IF(COUNT(F30,G30)=2,F30-G30,"")</f>
        <v/>
      </c>
      <c r="I30" s="7" t="n"/>
      <c r="J30" s="7" t="n"/>
      <c r="K30" s="8" t="n"/>
      <c r="L30" s="8" t="n"/>
      <c r="M30" s="9">
        <f>IF(COUNT(K30,L30)=0,"",1.2*K30+1.6*L30)</f>
        <v/>
      </c>
      <c r="N30" s="9">
        <f>IF(COUNT(D30,M30)&lt;2,"",M30*D30^2/10)</f>
        <v/>
      </c>
      <c r="O30" s="9">
        <f>IF(COUNT(D30,M30)&lt;2,"",M30*D30^2/11)</f>
        <v/>
      </c>
      <c r="P30" s="9">
        <f>IF(COUNT(D30,M30)&lt;2,"",1.15*M30*D30/2)</f>
        <v/>
      </c>
      <c r="Q30" s="7" t="n"/>
      <c r="R30" s="7" t="n"/>
      <c r="S30" s="9">
        <f>IF(COUNT(Q30,R30)&lt;2,"",Q30*PI()*R30^2/400)</f>
        <v/>
      </c>
      <c r="T30" s="7" t="n"/>
      <c r="U30" s="7" t="n"/>
      <c r="V30" s="9">
        <f>IF(COUNT(T30,U30)&lt;2,"",T30*PI()*U30^2/400)</f>
        <v/>
      </c>
      <c r="W30" s="7" t="n"/>
      <c r="X30" s="7" t="n"/>
      <c r="Y30" s="7" t="n"/>
      <c r="Z30" s="9">
        <f>IF(COUNT(E30,H30)&lt;2,"",0.0033*E30*H30)</f>
        <v/>
      </c>
      <c r="AA30" s="10">
        <f>IF(OR(S30="",Z30=""),"",IF(S30&gt;=Z30,"CUMPLE","NO CUMPLE"))</f>
        <v/>
      </c>
      <c r="AB30" s="7" t="n"/>
    </row>
    <row r="31" ht="20" customHeight="1">
      <c r="A31" s="7" t="n"/>
      <c r="B31" s="7" t="n"/>
      <c r="C31" s="7" t="n"/>
      <c r="D31" s="8" t="n"/>
      <c r="E31" s="8" t="n"/>
      <c r="F31" s="8" t="n"/>
      <c r="G31" s="8" t="n"/>
      <c r="H31" s="9">
        <f>IF(COUNT(F31,G31)=2,F31-G31,"")</f>
        <v/>
      </c>
      <c r="I31" s="7" t="n"/>
      <c r="J31" s="7" t="n"/>
      <c r="K31" s="8" t="n"/>
      <c r="L31" s="8" t="n"/>
      <c r="M31" s="9">
        <f>IF(COUNT(K31,L31)=0,"",1.2*K31+1.6*L31)</f>
        <v/>
      </c>
      <c r="N31" s="9">
        <f>IF(COUNT(D31,M31)&lt;2,"",M31*D31^2/10)</f>
        <v/>
      </c>
      <c r="O31" s="9">
        <f>IF(COUNT(D31,M31)&lt;2,"",M31*D31^2/11)</f>
        <v/>
      </c>
      <c r="P31" s="9">
        <f>IF(COUNT(D31,M31)&lt;2,"",1.15*M31*D31/2)</f>
        <v/>
      </c>
      <c r="Q31" s="7" t="n"/>
      <c r="R31" s="7" t="n"/>
      <c r="S31" s="9">
        <f>IF(COUNT(Q31,R31)&lt;2,"",Q31*PI()*R31^2/400)</f>
        <v/>
      </c>
      <c r="T31" s="7" t="n"/>
      <c r="U31" s="7" t="n"/>
      <c r="V31" s="9">
        <f>IF(COUNT(T31,U31)&lt;2,"",T31*PI()*U31^2/400)</f>
        <v/>
      </c>
      <c r="W31" s="7" t="n"/>
      <c r="X31" s="7" t="n"/>
      <c r="Y31" s="7" t="n"/>
      <c r="Z31" s="9">
        <f>IF(COUNT(E31,H31)&lt;2,"",0.0033*E31*H31)</f>
        <v/>
      </c>
      <c r="AA31" s="10">
        <f>IF(OR(S31="",Z31=""),"",IF(S31&gt;=Z31,"CUMPLE","NO CUMPLE"))</f>
        <v/>
      </c>
      <c r="AB31" s="7" t="n"/>
    </row>
    <row r="32" ht="20" customHeight="1">
      <c r="A32" s="7" t="n"/>
      <c r="B32" s="7" t="n"/>
      <c r="C32" s="7" t="n"/>
      <c r="D32" s="8" t="n"/>
      <c r="E32" s="8" t="n"/>
      <c r="F32" s="8" t="n"/>
      <c r="G32" s="8" t="n"/>
      <c r="H32" s="9">
        <f>IF(COUNT(F32,G32)=2,F32-G32,"")</f>
        <v/>
      </c>
      <c r="I32" s="7" t="n"/>
      <c r="J32" s="7" t="n"/>
      <c r="K32" s="8" t="n"/>
      <c r="L32" s="8" t="n"/>
      <c r="M32" s="9">
        <f>IF(COUNT(K32,L32)=0,"",1.2*K32+1.6*L32)</f>
        <v/>
      </c>
      <c r="N32" s="9">
        <f>IF(COUNT(D32,M32)&lt;2,"",M32*D32^2/10)</f>
        <v/>
      </c>
      <c r="O32" s="9">
        <f>IF(COUNT(D32,M32)&lt;2,"",M32*D32^2/11)</f>
        <v/>
      </c>
      <c r="P32" s="9">
        <f>IF(COUNT(D32,M32)&lt;2,"",1.15*M32*D32/2)</f>
        <v/>
      </c>
      <c r="Q32" s="7" t="n"/>
      <c r="R32" s="7" t="n"/>
      <c r="S32" s="9">
        <f>IF(COUNT(Q32,R32)&lt;2,"",Q32*PI()*R32^2/400)</f>
        <v/>
      </c>
      <c r="T32" s="7" t="n"/>
      <c r="U32" s="7" t="n"/>
      <c r="V32" s="9">
        <f>IF(COUNT(T32,U32)&lt;2,"",T32*PI()*U32^2/400)</f>
        <v/>
      </c>
      <c r="W32" s="7" t="n"/>
      <c r="X32" s="7" t="n"/>
      <c r="Y32" s="7" t="n"/>
      <c r="Z32" s="9">
        <f>IF(COUNT(E32,H32)&lt;2,"",0.0033*E32*H32)</f>
        <v/>
      </c>
      <c r="AA32" s="10">
        <f>IF(OR(S32="",Z32=""),"",IF(S32&gt;=Z32,"CUMPLE","NO CUMPLE"))</f>
        <v/>
      </c>
      <c r="AB32" s="7" t="n"/>
    </row>
    <row r="33" ht="20" customHeight="1">
      <c r="A33" s="7" t="n"/>
      <c r="B33" s="7" t="n"/>
      <c r="C33" s="7" t="n"/>
      <c r="D33" s="8" t="n"/>
      <c r="E33" s="8" t="n"/>
      <c r="F33" s="8" t="n"/>
      <c r="G33" s="8" t="n"/>
      <c r="H33" s="9">
        <f>IF(COUNT(F33,G33)=2,F33-G33,"")</f>
        <v/>
      </c>
      <c r="I33" s="7" t="n"/>
      <c r="J33" s="7" t="n"/>
      <c r="K33" s="8" t="n"/>
      <c r="L33" s="8" t="n"/>
      <c r="M33" s="9">
        <f>IF(COUNT(K33,L33)=0,"",1.2*K33+1.6*L33)</f>
        <v/>
      </c>
      <c r="N33" s="9">
        <f>IF(COUNT(D33,M33)&lt;2,"",M33*D33^2/10)</f>
        <v/>
      </c>
      <c r="O33" s="9">
        <f>IF(COUNT(D33,M33)&lt;2,"",M33*D33^2/11)</f>
        <v/>
      </c>
      <c r="P33" s="9">
        <f>IF(COUNT(D33,M33)&lt;2,"",1.15*M33*D33/2)</f>
        <v/>
      </c>
      <c r="Q33" s="7" t="n"/>
      <c r="R33" s="7" t="n"/>
      <c r="S33" s="9">
        <f>IF(COUNT(Q33,R33)&lt;2,"",Q33*PI()*R33^2/400)</f>
        <v/>
      </c>
      <c r="T33" s="7" t="n"/>
      <c r="U33" s="7" t="n"/>
      <c r="V33" s="9">
        <f>IF(COUNT(T33,U33)&lt;2,"",T33*PI()*U33^2/400)</f>
        <v/>
      </c>
      <c r="W33" s="7" t="n"/>
      <c r="X33" s="7" t="n"/>
      <c r="Y33" s="7" t="n"/>
      <c r="Z33" s="9">
        <f>IF(COUNT(E33,H33)&lt;2,"",0.0033*E33*H33)</f>
        <v/>
      </c>
      <c r="AA33" s="10">
        <f>IF(OR(S33="",Z33=""),"",IF(S33&gt;=Z33,"CUMPLE","NO CUMPLE"))</f>
        <v/>
      </c>
      <c r="AB33" s="7" t="n"/>
    </row>
    <row r="34" ht="20" customHeight="1">
      <c r="A34" s="7" t="n"/>
      <c r="B34" s="7" t="n"/>
      <c r="C34" s="7" t="n"/>
      <c r="D34" s="8" t="n"/>
      <c r="E34" s="8" t="n"/>
      <c r="F34" s="8" t="n"/>
      <c r="G34" s="8" t="n"/>
      <c r="H34" s="9">
        <f>IF(COUNT(F34,G34)=2,F34-G34,"")</f>
        <v/>
      </c>
      <c r="I34" s="7" t="n"/>
      <c r="J34" s="7" t="n"/>
      <c r="K34" s="8" t="n"/>
      <c r="L34" s="8" t="n"/>
      <c r="M34" s="9">
        <f>IF(COUNT(K34,L34)=0,"",1.2*K34+1.6*L34)</f>
        <v/>
      </c>
      <c r="N34" s="9">
        <f>IF(COUNT(D34,M34)&lt;2,"",M34*D34^2/10)</f>
        <v/>
      </c>
      <c r="O34" s="9">
        <f>IF(COUNT(D34,M34)&lt;2,"",M34*D34^2/11)</f>
        <v/>
      </c>
      <c r="P34" s="9">
        <f>IF(COUNT(D34,M34)&lt;2,"",1.15*M34*D34/2)</f>
        <v/>
      </c>
      <c r="Q34" s="7" t="n"/>
      <c r="R34" s="7" t="n"/>
      <c r="S34" s="9">
        <f>IF(COUNT(Q34,R34)&lt;2,"",Q34*PI()*R34^2/400)</f>
        <v/>
      </c>
      <c r="T34" s="7" t="n"/>
      <c r="U34" s="7" t="n"/>
      <c r="V34" s="9">
        <f>IF(COUNT(T34,U34)&lt;2,"",T34*PI()*U34^2/400)</f>
        <v/>
      </c>
      <c r="W34" s="7" t="n"/>
      <c r="X34" s="7" t="n"/>
      <c r="Y34" s="7" t="n"/>
      <c r="Z34" s="9">
        <f>IF(COUNT(E34,H34)&lt;2,"",0.0033*E34*H34)</f>
        <v/>
      </c>
      <c r="AA34" s="10">
        <f>IF(OR(S34="",Z34=""),"",IF(S34&gt;=Z34,"CUMPLE","NO CUMPLE"))</f>
        <v/>
      </c>
      <c r="AB34" s="7" t="n"/>
    </row>
    <row r="35" ht="20" customHeight="1">
      <c r="A35" s="7" t="n"/>
      <c r="B35" s="7" t="n"/>
      <c r="C35" s="7" t="n"/>
      <c r="D35" s="8" t="n"/>
      <c r="E35" s="8" t="n"/>
      <c r="F35" s="8" t="n"/>
      <c r="G35" s="8" t="n"/>
      <c r="H35" s="9">
        <f>IF(COUNT(F35,G35)=2,F35-G35,"")</f>
        <v/>
      </c>
      <c r="I35" s="7" t="n"/>
      <c r="J35" s="7" t="n"/>
      <c r="K35" s="8" t="n"/>
      <c r="L35" s="8" t="n"/>
      <c r="M35" s="9">
        <f>IF(COUNT(K35,L35)=0,"",1.2*K35+1.6*L35)</f>
        <v/>
      </c>
      <c r="N35" s="9">
        <f>IF(COUNT(D35,M35)&lt;2,"",M35*D35^2/10)</f>
        <v/>
      </c>
      <c r="O35" s="9">
        <f>IF(COUNT(D35,M35)&lt;2,"",M35*D35^2/11)</f>
        <v/>
      </c>
      <c r="P35" s="9">
        <f>IF(COUNT(D35,M35)&lt;2,"",1.15*M35*D35/2)</f>
        <v/>
      </c>
      <c r="Q35" s="7" t="n"/>
      <c r="R35" s="7" t="n"/>
      <c r="S35" s="9">
        <f>IF(COUNT(Q35,R35)&lt;2,"",Q35*PI()*R35^2/400)</f>
        <v/>
      </c>
      <c r="T35" s="7" t="n"/>
      <c r="U35" s="7" t="n"/>
      <c r="V35" s="9">
        <f>IF(COUNT(T35,U35)&lt;2,"",T35*PI()*U35^2/400)</f>
        <v/>
      </c>
      <c r="W35" s="7" t="n"/>
      <c r="X35" s="7" t="n"/>
      <c r="Y35" s="7" t="n"/>
      <c r="Z35" s="9">
        <f>IF(COUNT(E35,H35)&lt;2,"",0.0033*E35*H35)</f>
        <v/>
      </c>
      <c r="AA35" s="10">
        <f>IF(OR(S35="",Z35=""),"",IF(S35&gt;=Z35,"CUMPLE","NO CUMPLE"))</f>
        <v/>
      </c>
      <c r="AB35" s="7" t="n"/>
    </row>
    <row r="36" ht="20" customHeight="1">
      <c r="A36" s="7" t="n"/>
      <c r="B36" s="7" t="n"/>
      <c r="C36" s="7" t="n"/>
      <c r="D36" s="8" t="n"/>
      <c r="E36" s="8" t="n"/>
      <c r="F36" s="8" t="n"/>
      <c r="G36" s="8" t="n"/>
      <c r="H36" s="9">
        <f>IF(COUNT(F36,G36)=2,F36-G36,"")</f>
        <v/>
      </c>
      <c r="I36" s="7" t="n"/>
      <c r="J36" s="7" t="n"/>
      <c r="K36" s="8" t="n"/>
      <c r="L36" s="8" t="n"/>
      <c r="M36" s="9">
        <f>IF(COUNT(K36,L36)=0,"",1.2*K36+1.6*L36)</f>
        <v/>
      </c>
      <c r="N36" s="9">
        <f>IF(COUNT(D36,M36)&lt;2,"",M36*D36^2/10)</f>
        <v/>
      </c>
      <c r="O36" s="9">
        <f>IF(COUNT(D36,M36)&lt;2,"",M36*D36^2/11)</f>
        <v/>
      </c>
      <c r="P36" s="9">
        <f>IF(COUNT(D36,M36)&lt;2,"",1.15*M36*D36/2)</f>
        <v/>
      </c>
      <c r="Q36" s="7" t="n"/>
      <c r="R36" s="7" t="n"/>
      <c r="S36" s="9">
        <f>IF(COUNT(Q36,R36)&lt;2,"",Q36*PI()*R36^2/400)</f>
        <v/>
      </c>
      <c r="T36" s="7" t="n"/>
      <c r="U36" s="7" t="n"/>
      <c r="V36" s="9">
        <f>IF(COUNT(T36,U36)&lt;2,"",T36*PI()*U36^2/400)</f>
        <v/>
      </c>
      <c r="W36" s="7" t="n"/>
      <c r="X36" s="7" t="n"/>
      <c r="Y36" s="7" t="n"/>
      <c r="Z36" s="9">
        <f>IF(COUNT(E36,H36)&lt;2,"",0.0033*E36*H36)</f>
        <v/>
      </c>
      <c r="AA36" s="10">
        <f>IF(OR(S36="",Z36=""),"",IF(S36&gt;=Z36,"CUMPLE","NO CUMPLE"))</f>
        <v/>
      </c>
      <c r="AB36" s="7" t="n"/>
    </row>
    <row r="37" ht="20" customHeight="1">
      <c r="A37" s="7" t="n"/>
      <c r="B37" s="7" t="n"/>
      <c r="C37" s="7" t="n"/>
      <c r="D37" s="8" t="n"/>
      <c r="E37" s="8" t="n"/>
      <c r="F37" s="8" t="n"/>
      <c r="G37" s="8" t="n"/>
      <c r="H37" s="9">
        <f>IF(COUNT(F37,G37)=2,F37-G37,"")</f>
        <v/>
      </c>
      <c r="I37" s="7" t="n"/>
      <c r="J37" s="7" t="n"/>
      <c r="K37" s="8" t="n"/>
      <c r="L37" s="8" t="n"/>
      <c r="M37" s="9">
        <f>IF(COUNT(K37,L37)=0,"",1.2*K37+1.6*L37)</f>
        <v/>
      </c>
      <c r="N37" s="9">
        <f>IF(COUNT(D37,M37)&lt;2,"",M37*D37^2/10)</f>
        <v/>
      </c>
      <c r="O37" s="9">
        <f>IF(COUNT(D37,M37)&lt;2,"",M37*D37^2/11)</f>
        <v/>
      </c>
      <c r="P37" s="9">
        <f>IF(COUNT(D37,M37)&lt;2,"",1.15*M37*D37/2)</f>
        <v/>
      </c>
      <c r="Q37" s="7" t="n"/>
      <c r="R37" s="7" t="n"/>
      <c r="S37" s="9">
        <f>IF(COUNT(Q37,R37)&lt;2,"",Q37*PI()*R37^2/400)</f>
        <v/>
      </c>
      <c r="T37" s="7" t="n"/>
      <c r="U37" s="7" t="n"/>
      <c r="V37" s="9">
        <f>IF(COUNT(T37,U37)&lt;2,"",T37*PI()*U37^2/400)</f>
        <v/>
      </c>
      <c r="W37" s="7" t="n"/>
      <c r="X37" s="7" t="n"/>
      <c r="Y37" s="7" t="n"/>
      <c r="Z37" s="9">
        <f>IF(COUNT(E37,H37)&lt;2,"",0.0033*E37*H37)</f>
        <v/>
      </c>
      <c r="AA37" s="10">
        <f>IF(OR(S37="",Z37=""),"",IF(S37&gt;=Z37,"CUMPLE","NO CUMPLE"))</f>
        <v/>
      </c>
      <c r="AB37" s="7" t="n"/>
    </row>
    <row r="38" ht="20" customHeight="1">
      <c r="A38" s="7" t="n"/>
      <c r="B38" s="7" t="n"/>
      <c r="C38" s="7" t="n"/>
      <c r="D38" s="8" t="n"/>
      <c r="E38" s="8" t="n"/>
      <c r="F38" s="8" t="n"/>
      <c r="G38" s="8" t="n"/>
      <c r="H38" s="9">
        <f>IF(COUNT(F38,G38)=2,F38-G38,"")</f>
        <v/>
      </c>
      <c r="I38" s="7" t="n"/>
      <c r="J38" s="7" t="n"/>
      <c r="K38" s="8" t="n"/>
      <c r="L38" s="8" t="n"/>
      <c r="M38" s="9">
        <f>IF(COUNT(K38,L38)=0,"",1.2*K38+1.6*L38)</f>
        <v/>
      </c>
      <c r="N38" s="9">
        <f>IF(COUNT(D38,M38)&lt;2,"",M38*D38^2/10)</f>
        <v/>
      </c>
      <c r="O38" s="9">
        <f>IF(COUNT(D38,M38)&lt;2,"",M38*D38^2/11)</f>
        <v/>
      </c>
      <c r="P38" s="9">
        <f>IF(COUNT(D38,M38)&lt;2,"",1.15*M38*D38/2)</f>
        <v/>
      </c>
      <c r="Q38" s="7" t="n"/>
      <c r="R38" s="7" t="n"/>
      <c r="S38" s="9">
        <f>IF(COUNT(Q38,R38)&lt;2,"",Q38*PI()*R38^2/400)</f>
        <v/>
      </c>
      <c r="T38" s="7" t="n"/>
      <c r="U38" s="7" t="n"/>
      <c r="V38" s="9">
        <f>IF(COUNT(T38,U38)&lt;2,"",T38*PI()*U38^2/400)</f>
        <v/>
      </c>
      <c r="W38" s="7" t="n"/>
      <c r="X38" s="7" t="n"/>
      <c r="Y38" s="7" t="n"/>
      <c r="Z38" s="9">
        <f>IF(COUNT(E38,H38)&lt;2,"",0.0033*E38*H38)</f>
        <v/>
      </c>
      <c r="AA38" s="10">
        <f>IF(OR(S38="",Z38=""),"",IF(S38&gt;=Z38,"CUMPLE","NO CUMPLE"))</f>
        <v/>
      </c>
      <c r="AB38" s="7" t="n"/>
    </row>
    <row r="40">
      <c r="A40" s="5" t="inlineStr">
        <is>
          <t>TECHO / AZOTEA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</row>
    <row r="41" ht="20" customHeight="1">
      <c r="A41" s="7" t="n"/>
      <c r="B41" s="7" t="n"/>
      <c r="C41" s="7" t="n"/>
      <c r="D41" s="8" t="n"/>
      <c r="E41" s="8" t="n"/>
      <c r="F41" s="8" t="n"/>
      <c r="G41" s="8" t="n"/>
      <c r="H41" s="9">
        <f>IF(COUNT(F41,G41)=2,F41-G41,"")</f>
        <v/>
      </c>
      <c r="I41" s="7" t="n"/>
      <c r="J41" s="7" t="n"/>
      <c r="K41" s="8" t="n"/>
      <c r="L41" s="8" t="n"/>
      <c r="M41" s="9">
        <f>IF(COUNT(K41,L41)=0,"",1.2*K41+1.6*L41)</f>
        <v/>
      </c>
      <c r="N41" s="9">
        <f>IF(COUNT(D41,M41)&lt;2,"",M41*D41^2/10)</f>
        <v/>
      </c>
      <c r="O41" s="9">
        <f>IF(COUNT(D41,M41)&lt;2,"",M41*D41^2/11)</f>
        <v/>
      </c>
      <c r="P41" s="9">
        <f>IF(COUNT(D41,M41)&lt;2,"",1.15*M41*D41/2)</f>
        <v/>
      </c>
      <c r="Q41" s="7" t="n"/>
      <c r="R41" s="7" t="n"/>
      <c r="S41" s="9">
        <f>IF(COUNT(Q41,R41)&lt;2,"",Q41*PI()*R41^2/400)</f>
        <v/>
      </c>
      <c r="T41" s="7" t="n"/>
      <c r="U41" s="7" t="n"/>
      <c r="V41" s="9">
        <f>IF(COUNT(T41,U41)&lt;2,"",T41*PI()*U41^2/400)</f>
        <v/>
      </c>
      <c r="W41" s="7" t="n"/>
      <c r="X41" s="7" t="n"/>
      <c r="Y41" s="7" t="n"/>
      <c r="Z41" s="9">
        <f>IF(COUNT(E41,H41)&lt;2,"",0.0033*E41*H41)</f>
        <v/>
      </c>
      <c r="AA41" s="10">
        <f>IF(OR(S41="",Z41=""),"",IF(S41&gt;=Z41,"CUMPLE","NO CUMPLE"))</f>
        <v/>
      </c>
      <c r="AB41" s="7" t="n"/>
    </row>
    <row r="42" ht="20" customHeight="1">
      <c r="A42" s="7" t="n"/>
      <c r="B42" s="7" t="n"/>
      <c r="C42" s="7" t="n"/>
      <c r="D42" s="8" t="n"/>
      <c r="E42" s="8" t="n"/>
      <c r="F42" s="8" t="n"/>
      <c r="G42" s="8" t="n"/>
      <c r="H42" s="9">
        <f>IF(COUNT(F42,G42)=2,F42-G42,"")</f>
        <v/>
      </c>
      <c r="I42" s="7" t="n"/>
      <c r="J42" s="7" t="n"/>
      <c r="K42" s="8" t="n"/>
      <c r="L42" s="8" t="n"/>
      <c r="M42" s="9">
        <f>IF(COUNT(K42,L42)=0,"",1.2*K42+1.6*L42)</f>
        <v/>
      </c>
      <c r="N42" s="9">
        <f>IF(COUNT(D42,M42)&lt;2,"",M42*D42^2/10)</f>
        <v/>
      </c>
      <c r="O42" s="9">
        <f>IF(COUNT(D42,M42)&lt;2,"",M42*D42^2/11)</f>
        <v/>
      </c>
      <c r="P42" s="9">
        <f>IF(COUNT(D42,M42)&lt;2,"",1.15*M42*D42/2)</f>
        <v/>
      </c>
      <c r="Q42" s="7" t="n"/>
      <c r="R42" s="7" t="n"/>
      <c r="S42" s="9">
        <f>IF(COUNT(Q42,R42)&lt;2,"",Q42*PI()*R42^2/400)</f>
        <v/>
      </c>
      <c r="T42" s="7" t="n"/>
      <c r="U42" s="7" t="n"/>
      <c r="V42" s="9">
        <f>IF(COUNT(T42,U42)&lt;2,"",T42*PI()*U42^2/400)</f>
        <v/>
      </c>
      <c r="W42" s="7" t="n"/>
      <c r="X42" s="7" t="n"/>
      <c r="Y42" s="7" t="n"/>
      <c r="Z42" s="9">
        <f>IF(COUNT(E42,H42)&lt;2,"",0.0033*E42*H42)</f>
        <v/>
      </c>
      <c r="AA42" s="10">
        <f>IF(OR(S42="",Z42=""),"",IF(S42&gt;=Z42,"CUMPLE","NO CUMPLE"))</f>
        <v/>
      </c>
      <c r="AB42" s="7" t="n"/>
    </row>
    <row r="43" ht="20" customHeight="1">
      <c r="A43" s="7" t="n"/>
      <c r="B43" s="7" t="n"/>
      <c r="C43" s="7" t="n"/>
      <c r="D43" s="8" t="n"/>
      <c r="E43" s="8" t="n"/>
      <c r="F43" s="8" t="n"/>
      <c r="G43" s="8" t="n"/>
      <c r="H43" s="9">
        <f>IF(COUNT(F43,G43)=2,F43-G43,"")</f>
        <v/>
      </c>
      <c r="I43" s="7" t="n"/>
      <c r="J43" s="7" t="n"/>
      <c r="K43" s="8" t="n"/>
      <c r="L43" s="8" t="n"/>
      <c r="M43" s="9">
        <f>IF(COUNT(K43,L43)=0,"",1.2*K43+1.6*L43)</f>
        <v/>
      </c>
      <c r="N43" s="9">
        <f>IF(COUNT(D43,M43)&lt;2,"",M43*D43^2/10)</f>
        <v/>
      </c>
      <c r="O43" s="9">
        <f>IF(COUNT(D43,M43)&lt;2,"",M43*D43^2/11)</f>
        <v/>
      </c>
      <c r="P43" s="9">
        <f>IF(COUNT(D43,M43)&lt;2,"",1.15*M43*D43/2)</f>
        <v/>
      </c>
      <c r="Q43" s="7" t="n"/>
      <c r="R43" s="7" t="n"/>
      <c r="S43" s="9">
        <f>IF(COUNT(Q43,R43)&lt;2,"",Q43*PI()*R43^2/400)</f>
        <v/>
      </c>
      <c r="T43" s="7" t="n"/>
      <c r="U43" s="7" t="n"/>
      <c r="V43" s="9">
        <f>IF(COUNT(T43,U43)&lt;2,"",T43*PI()*U43^2/400)</f>
        <v/>
      </c>
      <c r="W43" s="7" t="n"/>
      <c r="X43" s="7" t="n"/>
      <c r="Y43" s="7" t="n"/>
      <c r="Z43" s="9">
        <f>IF(COUNT(E43,H43)&lt;2,"",0.0033*E43*H43)</f>
        <v/>
      </c>
      <c r="AA43" s="10">
        <f>IF(OR(S43="",Z43=""),"",IF(S43&gt;=Z43,"CUMPLE","NO CUMPLE"))</f>
        <v/>
      </c>
      <c r="AB43" s="7" t="n"/>
    </row>
    <row r="44" ht="20" customHeight="1">
      <c r="A44" s="7" t="n"/>
      <c r="B44" s="7" t="n"/>
      <c r="C44" s="7" t="n"/>
      <c r="D44" s="8" t="n"/>
      <c r="E44" s="8" t="n"/>
      <c r="F44" s="8" t="n"/>
      <c r="G44" s="8" t="n"/>
      <c r="H44" s="9">
        <f>IF(COUNT(F44,G44)=2,F44-G44,"")</f>
        <v/>
      </c>
      <c r="I44" s="7" t="n"/>
      <c r="J44" s="7" t="n"/>
      <c r="K44" s="8" t="n"/>
      <c r="L44" s="8" t="n"/>
      <c r="M44" s="9">
        <f>IF(COUNT(K44,L44)=0,"",1.2*K44+1.6*L44)</f>
        <v/>
      </c>
      <c r="N44" s="9">
        <f>IF(COUNT(D44,M44)&lt;2,"",M44*D44^2/10)</f>
        <v/>
      </c>
      <c r="O44" s="9">
        <f>IF(COUNT(D44,M44)&lt;2,"",M44*D44^2/11)</f>
        <v/>
      </c>
      <c r="P44" s="9">
        <f>IF(COUNT(D44,M44)&lt;2,"",1.15*M44*D44/2)</f>
        <v/>
      </c>
      <c r="Q44" s="7" t="n"/>
      <c r="R44" s="7" t="n"/>
      <c r="S44" s="9">
        <f>IF(COUNT(Q44,R44)&lt;2,"",Q44*PI()*R44^2/400)</f>
        <v/>
      </c>
      <c r="T44" s="7" t="n"/>
      <c r="U44" s="7" t="n"/>
      <c r="V44" s="9">
        <f>IF(COUNT(T44,U44)&lt;2,"",T44*PI()*U44^2/400)</f>
        <v/>
      </c>
      <c r="W44" s="7" t="n"/>
      <c r="X44" s="7" t="n"/>
      <c r="Y44" s="7" t="n"/>
      <c r="Z44" s="9">
        <f>IF(COUNT(E44,H44)&lt;2,"",0.0033*E44*H44)</f>
        <v/>
      </c>
      <c r="AA44" s="10">
        <f>IF(OR(S44="",Z44=""),"",IF(S44&gt;=Z44,"CUMPLE","NO CUMPLE"))</f>
        <v/>
      </c>
      <c r="AB44" s="7" t="n"/>
    </row>
    <row r="45" ht="20" customHeight="1">
      <c r="A45" s="7" t="n"/>
      <c r="B45" s="7" t="n"/>
      <c r="C45" s="7" t="n"/>
      <c r="D45" s="8" t="n"/>
      <c r="E45" s="8" t="n"/>
      <c r="F45" s="8" t="n"/>
      <c r="G45" s="8" t="n"/>
      <c r="H45" s="9">
        <f>IF(COUNT(F45,G45)=2,F45-G45,"")</f>
        <v/>
      </c>
      <c r="I45" s="7" t="n"/>
      <c r="J45" s="7" t="n"/>
      <c r="K45" s="8" t="n"/>
      <c r="L45" s="8" t="n"/>
      <c r="M45" s="9">
        <f>IF(COUNT(K45,L45)=0,"",1.2*K45+1.6*L45)</f>
        <v/>
      </c>
      <c r="N45" s="9">
        <f>IF(COUNT(D45,M45)&lt;2,"",M45*D45^2/10)</f>
        <v/>
      </c>
      <c r="O45" s="9">
        <f>IF(COUNT(D45,M45)&lt;2,"",M45*D45^2/11)</f>
        <v/>
      </c>
      <c r="P45" s="9">
        <f>IF(COUNT(D45,M45)&lt;2,"",1.15*M45*D45/2)</f>
        <v/>
      </c>
      <c r="Q45" s="7" t="n"/>
      <c r="R45" s="7" t="n"/>
      <c r="S45" s="9">
        <f>IF(COUNT(Q45,R45)&lt;2,"",Q45*PI()*R45^2/400)</f>
        <v/>
      </c>
      <c r="T45" s="7" t="n"/>
      <c r="U45" s="7" t="n"/>
      <c r="V45" s="9">
        <f>IF(COUNT(T45,U45)&lt;2,"",T45*PI()*U45^2/400)</f>
        <v/>
      </c>
      <c r="W45" s="7" t="n"/>
      <c r="X45" s="7" t="n"/>
      <c r="Y45" s="7" t="n"/>
      <c r="Z45" s="9">
        <f>IF(COUNT(E45,H45)&lt;2,"",0.0033*E45*H45)</f>
        <v/>
      </c>
      <c r="AA45" s="10">
        <f>IF(OR(S45="",Z45=""),"",IF(S45&gt;=Z45,"CUMPLE","NO CUMPLE"))</f>
        <v/>
      </c>
      <c r="AB45" s="7" t="n"/>
    </row>
    <row r="46" ht="20" customHeight="1">
      <c r="A46" s="7" t="n"/>
      <c r="B46" s="7" t="n"/>
      <c r="C46" s="7" t="n"/>
      <c r="D46" s="8" t="n"/>
      <c r="E46" s="8" t="n"/>
      <c r="F46" s="8" t="n"/>
      <c r="G46" s="8" t="n"/>
      <c r="H46" s="9">
        <f>IF(COUNT(F46,G46)=2,F46-G46,"")</f>
        <v/>
      </c>
      <c r="I46" s="7" t="n"/>
      <c r="J46" s="7" t="n"/>
      <c r="K46" s="8" t="n"/>
      <c r="L46" s="8" t="n"/>
      <c r="M46" s="9">
        <f>IF(COUNT(K46,L46)=0,"",1.2*K46+1.6*L46)</f>
        <v/>
      </c>
      <c r="N46" s="9">
        <f>IF(COUNT(D46,M46)&lt;2,"",M46*D46^2/10)</f>
        <v/>
      </c>
      <c r="O46" s="9">
        <f>IF(COUNT(D46,M46)&lt;2,"",M46*D46^2/11)</f>
        <v/>
      </c>
      <c r="P46" s="9">
        <f>IF(COUNT(D46,M46)&lt;2,"",1.15*M46*D46/2)</f>
        <v/>
      </c>
      <c r="Q46" s="7" t="n"/>
      <c r="R46" s="7" t="n"/>
      <c r="S46" s="9">
        <f>IF(COUNT(Q46,R46)&lt;2,"",Q46*PI()*R46^2/400)</f>
        <v/>
      </c>
      <c r="T46" s="7" t="n"/>
      <c r="U46" s="7" t="n"/>
      <c r="V46" s="9">
        <f>IF(COUNT(T46,U46)&lt;2,"",T46*PI()*U46^2/400)</f>
        <v/>
      </c>
      <c r="W46" s="7" t="n"/>
      <c r="X46" s="7" t="n"/>
      <c r="Y46" s="7" t="n"/>
      <c r="Z46" s="9">
        <f>IF(COUNT(E46,H46)&lt;2,"",0.0033*E46*H46)</f>
        <v/>
      </c>
      <c r="AA46" s="10">
        <f>IF(OR(S46="",Z46=""),"",IF(S46&gt;=Z46,"CUMPLE","NO CUMPLE"))</f>
        <v/>
      </c>
      <c r="AB46" s="7" t="n"/>
    </row>
    <row r="47" ht="20" customHeight="1">
      <c r="A47" s="7" t="n"/>
      <c r="B47" s="7" t="n"/>
      <c r="C47" s="7" t="n"/>
      <c r="D47" s="8" t="n"/>
      <c r="E47" s="8" t="n"/>
      <c r="F47" s="8" t="n"/>
      <c r="G47" s="8" t="n"/>
      <c r="H47" s="9">
        <f>IF(COUNT(F47,G47)=2,F47-G47,"")</f>
        <v/>
      </c>
      <c r="I47" s="7" t="n"/>
      <c r="J47" s="7" t="n"/>
      <c r="K47" s="8" t="n"/>
      <c r="L47" s="8" t="n"/>
      <c r="M47" s="9">
        <f>IF(COUNT(K47,L47)=0,"",1.2*K47+1.6*L47)</f>
        <v/>
      </c>
      <c r="N47" s="9">
        <f>IF(COUNT(D47,M47)&lt;2,"",M47*D47^2/10)</f>
        <v/>
      </c>
      <c r="O47" s="9">
        <f>IF(COUNT(D47,M47)&lt;2,"",M47*D47^2/11)</f>
        <v/>
      </c>
      <c r="P47" s="9">
        <f>IF(COUNT(D47,M47)&lt;2,"",1.15*M47*D47/2)</f>
        <v/>
      </c>
      <c r="Q47" s="7" t="n"/>
      <c r="R47" s="7" t="n"/>
      <c r="S47" s="9">
        <f>IF(COUNT(Q47,R47)&lt;2,"",Q47*PI()*R47^2/400)</f>
        <v/>
      </c>
      <c r="T47" s="7" t="n"/>
      <c r="U47" s="7" t="n"/>
      <c r="V47" s="9">
        <f>IF(COUNT(T47,U47)&lt;2,"",T47*PI()*U47^2/400)</f>
        <v/>
      </c>
      <c r="W47" s="7" t="n"/>
      <c r="X47" s="7" t="n"/>
      <c r="Y47" s="7" t="n"/>
      <c r="Z47" s="9">
        <f>IF(COUNT(E47,H47)&lt;2,"",0.0033*E47*H47)</f>
        <v/>
      </c>
      <c r="AA47" s="10">
        <f>IF(OR(S47="",Z47=""),"",IF(S47&gt;=Z47,"CUMPLE","NO CUMPLE"))</f>
        <v/>
      </c>
      <c r="AB47" s="7" t="n"/>
    </row>
    <row r="48" ht="20" customHeight="1">
      <c r="A48" s="7" t="n"/>
      <c r="B48" s="7" t="n"/>
      <c r="C48" s="7" t="n"/>
      <c r="D48" s="8" t="n"/>
      <c r="E48" s="8" t="n"/>
      <c r="F48" s="8" t="n"/>
      <c r="G48" s="8" t="n"/>
      <c r="H48" s="9">
        <f>IF(COUNT(F48,G48)=2,F48-G48,"")</f>
        <v/>
      </c>
      <c r="I48" s="7" t="n"/>
      <c r="J48" s="7" t="n"/>
      <c r="K48" s="8" t="n"/>
      <c r="L48" s="8" t="n"/>
      <c r="M48" s="9">
        <f>IF(COUNT(K48,L48)=0,"",1.2*K48+1.6*L48)</f>
        <v/>
      </c>
      <c r="N48" s="9">
        <f>IF(COUNT(D48,M48)&lt;2,"",M48*D48^2/10)</f>
        <v/>
      </c>
      <c r="O48" s="9">
        <f>IF(COUNT(D48,M48)&lt;2,"",M48*D48^2/11)</f>
        <v/>
      </c>
      <c r="P48" s="9">
        <f>IF(COUNT(D48,M48)&lt;2,"",1.15*M48*D48/2)</f>
        <v/>
      </c>
      <c r="Q48" s="7" t="n"/>
      <c r="R48" s="7" t="n"/>
      <c r="S48" s="9">
        <f>IF(COUNT(Q48,R48)&lt;2,"",Q48*PI()*R48^2/400)</f>
        <v/>
      </c>
      <c r="T48" s="7" t="n"/>
      <c r="U48" s="7" t="n"/>
      <c r="V48" s="9">
        <f>IF(COUNT(T48,U48)&lt;2,"",T48*PI()*U48^2/400)</f>
        <v/>
      </c>
      <c r="W48" s="7" t="n"/>
      <c r="X48" s="7" t="n"/>
      <c r="Y48" s="7" t="n"/>
      <c r="Z48" s="9">
        <f>IF(COUNT(E48,H48)&lt;2,"",0.0033*E48*H48)</f>
        <v/>
      </c>
      <c r="AA48" s="10">
        <f>IF(OR(S48="",Z48=""),"",IF(S48&gt;=Z48,"CUMPLE","NO CUMPLE"))</f>
        <v/>
      </c>
      <c r="AB48" s="7" t="n"/>
    </row>
  </sheetData>
  <mergeCells count="16">
    <mergeCell ref="T2:V2"/>
    <mergeCell ref="A24:AB24"/>
    <mergeCell ref="K2:M2"/>
    <mergeCell ref="N2:P2"/>
    <mergeCell ref="Z2:AA2"/>
    <mergeCell ref="D2:H2"/>
    <mergeCell ref="I2:J2"/>
    <mergeCell ref="A1:AB1"/>
    <mergeCell ref="A40:AB40"/>
    <mergeCell ref="B2:B3"/>
    <mergeCell ref="A2:A3"/>
    <mergeCell ref="AB2:AB3"/>
    <mergeCell ref="C2:C3"/>
    <mergeCell ref="A4:AB4"/>
    <mergeCell ref="Q2:S2"/>
    <mergeCell ref="W2:Y2"/>
  </mergeCells>
  <conditionalFormatting sqref="AA4:AA50">
    <cfRule type="cellIs" priority="1" operator="equal" dxfId="0">
      <formula>"CUMPLE"</formula>
    </cfRule>
    <cfRule type="cellIs" priority="2" operator="equal" dxfId="1">
      <formula>"NO CUMPLE"</formula>
    </cfRule>
  </conditionalFormatting>
  <dataValidations count="3">
    <dataValidation sqref="I4:I50" showDropDown="0" showInputMessage="0" showErrorMessage="0" allowBlank="1" type="list">
      <formula1>"Simplemente apoyada,Continua,Empotrada-apoyada,Biempotrada,Voladizo"</formula1>
    </dataValidation>
    <dataValidation sqref="R4:R50 U4:U50 W4:W50" showDropDown="0" showInputMessage="0" showErrorMessage="0" allowBlank="1" type="list">
      <formula1>"6,8,10,12,16,20,25,32"</formula1>
    </dataValidation>
    <dataValidation sqref="Y4:Y50" showDropDown="0" showInputMessage="0" showErrorMessage="0" allowBlank="1" type="list">
      <formula1>"Apoyo,Centro,Todo el tramo"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1" t="inlineStr">
        <is>
          <t>COLUMNA</t>
        </is>
      </c>
      <c r="B1" s="12" t="inlineStr">
        <is>
          <t>COMO SE COMPLETA / FORMULA</t>
        </is>
      </c>
    </row>
    <row r="2">
      <c r="A2" s="13" t="inlineStr">
        <is>
          <t>Nivel</t>
        </is>
      </c>
      <c r="B2" s="14" t="inlineStr">
        <is>
          <t>Manual. Agrupa las vigas por losa o planta.</t>
        </is>
      </c>
    </row>
    <row r="3">
      <c r="A3" s="13" t="inlineStr">
        <is>
          <t>Viga</t>
        </is>
      </c>
      <c r="B3" s="14" t="inlineStr">
        <is>
          <t>Manual. Numeracion del plano de estructura (ej. V1, V2, V3...).</t>
        </is>
      </c>
    </row>
    <row r="4">
      <c r="A4" s="13" t="inlineStr">
        <is>
          <t>Tramo</t>
        </is>
      </c>
      <c r="B4" s="14" t="inlineStr">
        <is>
          <t>Manual. Si la viga es continua, un renglon por tramo (T1, T2...).</t>
        </is>
      </c>
    </row>
    <row r="5">
      <c r="A5" s="13" t="inlineStr">
        <is>
          <t>Luz L</t>
        </is>
      </c>
      <c r="B5" s="14" t="inlineStr">
        <is>
          <t>Manual. Luz de calculo en metros, de eje a eje de apoyos.</t>
        </is>
      </c>
    </row>
    <row r="6">
      <c r="A6" s="13" t="inlineStr">
        <is>
          <t>b / h</t>
        </is>
      </c>
      <c r="B6" s="14" t="inlineStr">
        <is>
          <t>Manual. Seccion de la viga en cm.</t>
        </is>
      </c>
    </row>
    <row r="7">
      <c r="A7" s="13" t="inlineStr">
        <is>
          <t>r</t>
        </is>
      </c>
      <c r="B7" s="14" t="inlineStr">
        <is>
          <t>Manual. Recubrimiento mecanico al baricentro de armadura (tipico 3 a 4 cm).</t>
        </is>
      </c>
    </row>
    <row r="8">
      <c r="A8" s="13" t="inlineStr">
        <is>
          <t>d</t>
        </is>
      </c>
      <c r="B8" s="14" t="inlineStr">
        <is>
          <t>CALCULADA: d = h - r.</t>
        </is>
      </c>
    </row>
    <row r="9">
      <c r="A9" s="13" t="inlineStr">
        <is>
          <t>Tipo de apoyo</t>
        </is>
      </c>
      <c r="B9" s="14" t="inlineStr">
        <is>
          <t>Lista desplegable. Define el coeficiente de momento aplicable.</t>
        </is>
      </c>
    </row>
    <row r="10">
      <c r="A10" s="13" t="inlineStr">
        <is>
          <t>Croquis / Ref.</t>
        </is>
      </c>
      <c r="B10" s="14" t="inlineStr">
        <is>
          <t>Manual. Referencia al detalle del plano, o se inserta la imagen del esquema.</t>
        </is>
      </c>
    </row>
    <row r="11">
      <c r="A11" s="13" t="inlineStr">
        <is>
          <t>g / q</t>
        </is>
      </c>
      <c r="B11" s="14" t="inlineStr">
        <is>
          <t>Manual. Carga permanente y sobrecarga en kN/m.</t>
        </is>
      </c>
    </row>
    <row r="12">
      <c r="A12" s="13" t="inlineStr">
        <is>
          <t>Pu</t>
        </is>
      </c>
      <c r="B12" s="14" t="inlineStr">
        <is>
          <t>CALCULADA: Pu = 1,2 g + 1,6 q  (combinacion CIRSOC 201).</t>
        </is>
      </c>
    </row>
    <row r="13">
      <c r="A13" s="13" t="inlineStr">
        <is>
          <t>Md tramo</t>
        </is>
      </c>
      <c r="B13" s="14" t="inlineStr">
        <is>
          <t>CALCULADA: Pu x L^2 / 10  -&gt; VALOR ORIENTATIVO para viga continua.</t>
        </is>
      </c>
    </row>
    <row r="14">
      <c r="A14" s="13" t="inlineStr">
        <is>
          <t>Md apoyo</t>
        </is>
      </c>
      <c r="B14" s="14" t="inlineStr">
        <is>
          <t>CALCULADA: Pu x L^2 / 11  -&gt; VALOR ORIENTATIVO para viga continua.</t>
        </is>
      </c>
    </row>
    <row r="15">
      <c r="A15" s="13" t="inlineStr">
        <is>
          <t>Vd</t>
        </is>
      </c>
      <c r="B15" s="14" t="inlineStr">
        <is>
          <t>CALCULADA: 1,15 x Pu x L / 2  -&gt; VALOR ORIENTATIVO.</t>
        </is>
      </c>
    </row>
    <row r="16">
      <c r="A16" s="13" t="inlineStr">
        <is>
          <t>n / fi</t>
        </is>
      </c>
      <c r="B16" s="14" t="inlineStr">
        <is>
          <t>Manual. Cantidad de barras y diametro en mm.</t>
        </is>
      </c>
    </row>
    <row r="17">
      <c r="A17" s="13" t="inlineStr">
        <is>
          <t>As</t>
        </is>
      </c>
      <c r="B17" s="14" t="inlineStr">
        <is>
          <t>CALCULADA: As = n x pi x fi^2 / 400   (fi en mm, resultado en cm2).</t>
        </is>
      </c>
    </row>
    <row r="18">
      <c r="A18" s="13" t="inlineStr">
        <is>
          <t>Estribos</t>
        </is>
      </c>
      <c r="B18" s="14" t="inlineStr">
        <is>
          <t>Manual. Diametro, separacion y zona de aplicacion.</t>
        </is>
      </c>
    </row>
    <row r="19">
      <c r="A19" s="13" t="inlineStr">
        <is>
          <t>As min</t>
        </is>
      </c>
      <c r="B19" s="14" t="inlineStr">
        <is>
          <t>CALCULADA: 0,0033 x b x d  (cuantia minima orientativa para flexion).</t>
        </is>
      </c>
    </row>
    <row r="20">
      <c r="A20" s="13" t="inlineStr">
        <is>
          <t>Verif.</t>
        </is>
      </c>
      <c r="B20" s="14" t="inlineStr">
        <is>
          <t>CALCULADA: compara As inferior contra As minima.</t>
        </is>
      </c>
    </row>
    <row r="21">
      <c r="A21" s="13" t="inlineStr"/>
      <c r="B21" s="14" t="inlineStr"/>
    </row>
    <row r="22">
      <c r="A22" s="11" t="inlineStr">
        <is>
          <t>ATENCION</t>
        </is>
      </c>
      <c r="B22" s="12" t="inlineStr">
        <is>
          <t>Los coeficientes de momento (L^2/10 y L^2/11) y la cuantia minima son valores</t>
        </is>
      </c>
    </row>
    <row r="23">
      <c r="A23" s="13" t="inlineStr"/>
      <c r="B23" s="14" t="inlineStr">
        <is>
          <t>ORIENTATIVOS de predimensionado. Reemplazalos por los resultados del calculo</t>
        </is>
      </c>
    </row>
    <row r="24">
      <c r="A24" s="13" t="inlineStr"/>
      <c r="B24" s="14" t="inlineStr">
        <is>
          <t>estructural real o del software que uses. Las celdas amarillas tienen formula:</t>
        </is>
      </c>
    </row>
    <row r="25">
      <c r="A25" s="13" t="inlineStr"/>
      <c r="B25" s="14" t="inlineStr">
        <is>
          <t>podes sobrescribirlas con el valor de tu calculo cuando corresponda.</t>
        </is>
      </c>
    </row>
    <row r="26">
      <c r="A26" s="13" t="inlineStr"/>
      <c r="B26" s="14" t="inlineStr"/>
    </row>
    <row r="27">
      <c r="A27" s="11" t="inlineStr">
        <is>
          <t>PENDIENTE</t>
        </is>
      </c>
      <c r="B27" s="12" t="inlineStr">
        <is>
          <t>La numeracion de vigas no se pudo cargar: las imagenes enviadas estaban a</t>
        </is>
      </c>
    </row>
    <row r="28">
      <c r="A28" s="13" t="inlineStr"/>
      <c r="B28" s="14" t="inlineStr">
        <is>
          <t>335x532 y 280x441 px y el texto resulta ilegible. Reenviar el plano y la planilla</t>
        </is>
      </c>
    </row>
    <row r="29">
      <c r="A29" s="13" t="inlineStr"/>
      <c r="B29" s="14" t="inlineStr">
        <is>
          <t>en alta resolucion para completar la columna Viga automaticamente.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2026-10-19T21:45:33Z</dcterms:created>
  <dcterms:modified xmlns:dcterms="http://purl.org/dc/terms/" xmlns:xsi="http://www.w3.org/2001/XMLSchema-instance" xsi:type="dcterms:W3CDTF">2026-10-19T21:45:33Z</dcterms:modified>
</cp:coreProperties>
</file>