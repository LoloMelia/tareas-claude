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2</v>
      </c>
      <c r="O4" s="24" t="n">
        <v>25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4</v>
      </c>
      <c r="R4" s="24" t="n">
        <v>20</v>
      </c>
      <c r="S4" s="25">
        <f>F4/(J4*0.85*K4)</f>
        <v/>
      </c>
      <c r="T4" s="25">
        <f>G4/(J4*0.85*K4)</f>
        <v/>
      </c>
      <c r="U4" s="24" t="n">
        <v>8</v>
      </c>
      <c r="V4" s="24" t="n">
        <v>15</v>
      </c>
      <c r="W4" s="7">
        <f>IF(NOT(AND(IF(ISNUMBER(M4),N4*PI()*(O4/10)^2/4&gt;=M4,TRUE),IF(ISNUMBER(P4),Q4*PI()*(R4/10)^2/4&gt;=P4,TRUE),IF(ISNUMBER(M4),M4&lt;=0.0163*AB4*K4,TRUE),IF(ISNUMBER(P4),P4&lt;=0.0163*AC4*K4,TRUE))),"NO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</f>
        <v/>
      </c>
      <c r="X4" s="26" t="inlineStr">
        <is>
          <t>Armadura en 2 capas (rec. 6 cm). Viga de borde INVERTIDA: sobresale 70 cm sobre el fondo de losa. Verificar torsion, no incluida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2</v>
      </c>
      <c r="AE4" s="24" t="n">
        <v>2.6</v>
      </c>
      <c r="AF4" s="24" t="n">
        <v>6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IF(NOT(AND(IF(ISNUMBER(M5),N5*PI()*(O5/10)^2/4&gt;=M5,TRUE),IF(ISNUMBER(P5),Q5*PI()*(R5/10)^2/4&gt;=P5,TRUE),IF(ISNUMBER(M5),M5&lt;=0.0163*AB5*K5,TRUE),IF(ISNUMBER(P5),P5&lt;=0.0163*AC5*K5,TRUE))),"NO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</f>
        <v/>
      </c>
      <c r="X5" s="26" t="inlineStr">
        <is>
          <t>Viga de borde INVERTIDA: sobresale 70 cm sobre el fondo de losa. Verificar torsion, no incluida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2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60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2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2</v>
      </c>
      <c r="R6" s="24" t="n">
        <v>25</v>
      </c>
      <c r="S6" s="25">
        <f>F6/(J6*0.85*K6)</f>
        <v/>
      </c>
      <c r="T6" s="25">
        <f>G6/(J6*0.85*K6)</f>
        <v/>
      </c>
      <c r="U6" s="24" t="n">
        <v>6</v>
      </c>
      <c r="V6" s="24" t="n">
        <v>15</v>
      </c>
      <c r="W6" s="7">
        <f>IF(NOT(AND(IF(ISNUMBER(M6),N6*PI()*(O6/10)^2/4&gt;=M6,TRUE),IF(ISNUMBER(P6),Q6*PI()*(R6/10)^2/4&gt;=P6,TRUE),IF(ISNUMBER(M6),M6&lt;=0.0163*AB6*K6,TRUE),IF(ISNUMBER(P6),P6&lt;=0.0163*AC6*K6,TRUE))),"NO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</f>
        <v/>
      </c>
      <c r="X6" s="26" t="inlineStr">
        <is>
          <t>Ancho tributario relevado: solo recibe L02, voladizo de 0,80 m, que entrega su carga entera. Con B=0,80 la viga VERIFICA. El voladizo ademas le transmite torsion, no verificada aqui.</t>
        </is>
      </c>
      <c r="Y6" s="24" t="inlineStr">
        <is>
          <t>Continua</t>
        </is>
      </c>
      <c r="Z6" s="24" t="inlineStr">
        <is>
          <t>Colgante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0.8</v>
      </c>
      <c r="AE6" s="24" t="n">
        <v>2.6</v>
      </c>
      <c r="AF6" s="24" t="n">
        <v>3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IF(NOT(AND(IF(ISNUMBER(M7),N7*PI()*(O7/10)^2/4&gt;=M7,TRUE),IF(ISNUMBER(P7),Q7*PI()*(R7/10)^2/4&gt;=P7,TRUE),IF(ISNUMBER(M7),M7&lt;=0.0163*AB7*K7,TRUE),IF(ISNUMBER(P7),P7&lt;=0.0163*AC7*K7,TRUE))),"NO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</f>
        <v/>
      </c>
      <c r="X7" s="7" t="n"/>
      <c r="Y7" s="24" t="inlineStr">
        <is>
          <t>Continua</t>
        </is>
      </c>
      <c r="Z7" s="24" t="inlineStr">
        <is>
          <t>Colgante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IF(NOT(AND(IF(ISNUMBER(M8),N8*PI()*(O8/10)^2/4&gt;=M8,TRUE),IF(ISNUMBER(P8),Q8*PI()*(R8/10)^2/4&gt;=P8,TRUE),IF(ISNUMBER(M8),M8&lt;=0.0163*AB8*K8,TRUE),IF(ISNUMBER(P8),P8&lt;=0.0163*AC8*K8,TRUE))),"NO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</f>
        <v/>
      </c>
      <c r="X8" s="7" t="n"/>
      <c r="Y8" s="24" t="inlineStr">
        <is>
          <t>Continua</t>
        </is>
      </c>
      <c r="Z8" s="24" t="inlineStr">
        <is>
          <t>Colgante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2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IF(NOT(AND(IF(ISNUMBER(M9),N9*PI()*(O9/10)^2/4&gt;=M9,TRUE),IF(ISNUMBER(P9),Q9*PI()*(R9/10)^2/4&gt;=P9,TRUE),IF(ISNUMBER(M9),M9&lt;=0.0163*AB9*K9,TRUE),IF(ISNUMBER(P9),P9&lt;=0.0163*AC9*K9,TRUE))),"NO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</f>
        <v/>
      </c>
      <c r="X9" s="7" t="n"/>
      <c r="Y9" s="24" t="inlineStr">
        <is>
          <t>Continua</t>
        </is>
      </c>
      <c r="Z9" s="24" t="inlineStr">
        <is>
          <t>Colgante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2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IF(NOT(AND(IF(ISNUMBER(M10),N10*PI()*(O10/10)^2/4&gt;=M10,TRUE),IF(ISNUMBER(P10),Q10*PI()*(R10/10)^2/4&gt;=P10,TRUE),IF(ISNUMBER(M10),M10&lt;=0.0163*AB10*K10,TRUE),IF(ISNUMBER(P10),P10&lt;=0.0163*AC10*K10,TRUE))),"NO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</f>
        <v/>
      </c>
      <c r="X10" s="26" t="inlineStr">
        <is>
          <t>Viga de borde INVERTIDA: sobresale 70 cm sobre el fondo de losa. Verificar torsion, no incluida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2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IF(NOT(AND(IF(ISNUMBER(M11),N11*PI()*(O11/10)^2/4&gt;=M11,TRUE),IF(ISNUMBER(P11),Q11*PI()*(R11/10)^2/4&gt;=P11,TRUE),IF(ISNUMBER(M11),M11&lt;=0.0163*AB11*K11,TRUE),IF(ISNUMBER(P11),P11&lt;=0.0163*AC11*K11,TRUE))),"NO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</f>
        <v/>
      </c>
      <c r="X11" s="26" t="inlineStr">
        <is>
          <t>Viga de borde INVERTIDA: sobresale 70 cm sobre el fondo de losa. Verificar torsion, no incluida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2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2</v>
      </c>
      <c r="O12" s="24" t="n">
        <v>25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20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10</v>
      </c>
      <c r="W12" s="7">
        <f>IF(NOT(AND(IF(ISNUMBER(M12),N12*PI()*(O12/10)^2/4&gt;=M12,TRUE),IF(ISNUMBER(P12),Q12*PI()*(R12/10)^2/4&gt;=P12,TRUE),IF(ISNUMBER(M12),M12&lt;=0.0163*AB12*K12,TRUE),IF(ISNUMBER(P12),P12&lt;=0.0163*AC12*K12,TRUE))),"NO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</f>
        <v/>
      </c>
      <c r="X12" s="26" t="inlineStr">
        <is>
          <t>Armadura en 2 capas (rec. 6 cm). Empotrada-apoyada: columna 30x15 a la izquierda, tabique a la derecha. Viga de borde INVERTIDA: sobresale 70 cm sobre el fondo de losa. Verificar torsion, no incluida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2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IF(NOT(AND(IF(ISNUMBER(M13),N13*PI()*(O13/10)^2/4&gt;=M13,TRUE),IF(ISNUMBER(P13),Q13*PI()*(R13/10)^2/4&gt;=P13,TRUE),IF(ISNUMBER(M13),M13&lt;=0.0163*AB13*K13,TRUE),IF(ISNUMBER(P13),P13&lt;=0.0163*AC13*K13,TRUE))),"NO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</f>
        <v/>
      </c>
      <c r="X13" s="7" t="n"/>
      <c r="Y13" s="24" t="inlineStr">
        <is>
          <t>Continua</t>
        </is>
      </c>
      <c r="Z13" s="24" t="inlineStr">
        <is>
          <t>Colgante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2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IF(NOT(AND(IF(ISNUMBER(M14),N14*PI()*(O14/10)^2/4&gt;=M14,TRUE),IF(ISNUMBER(P14),Q14*PI()*(R14/10)^2/4&gt;=P14,TRUE),IF(ISNUMBER(M14),M14&lt;=0.0163*AB14*K14,TRUE),IF(ISNUMBER(P14),P14&lt;=0.0163*AC14*K14,TRUE))),"NO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</f>
        <v/>
      </c>
      <c r="X14" s="7" t="n"/>
      <c r="Y14" s="24" t="inlineStr">
        <is>
          <t>Continua</t>
        </is>
      </c>
      <c r="Z14" s="24" t="inlineStr">
        <is>
          <t>Colgante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2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2</v>
      </c>
      <c r="O15" s="24" t="n">
        <v>16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IF(NOT(AND(IF(ISNUMBER(M15),N15*PI()*(O15/10)^2/4&gt;=M15,TRUE),IF(ISNUMBER(P15),Q15*PI()*(R15/10)^2/4&gt;=P15,TRUE),IF(ISNUMBER(M15),M15&lt;=0.0163*AB15*K15,TRUE),IF(ISNUMBER(P15),P15&lt;=0.0163*AC15*K15,TRUE))),"NO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</f>
        <v/>
      </c>
      <c r="X15" s="7" t="n"/>
      <c r="Y15" s="24" t="inlineStr">
        <is>
          <t>Simplemente apoyada</t>
        </is>
      </c>
      <c r="Z15" s="24" t="inlineStr">
        <is>
          <t>Colgante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2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IF(NOT(AND(IF(ISNUMBER(M16),N16*PI()*(O16/10)^2/4&gt;=M16,TRUE),IF(ISNUMBER(P16),Q16*PI()*(R16/10)^2/4&gt;=P16,TRUE),IF(ISNUMBER(M16),M16&lt;=0.0163*AB16*K16,TRUE),IF(ISNUMBER(P16),P16&lt;=0.0163*AC16*K16,TRUE))),"NO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</f>
        <v/>
      </c>
      <c r="X16" s="7" t="n"/>
      <c r="Y16" s="24" t="inlineStr">
        <is>
          <t>Continua</t>
        </is>
      </c>
      <c r="Z16" s="24" t="inlineStr">
        <is>
          <t>Colgante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2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IF(NOT(AND(IF(ISNUMBER(M17),N17*PI()*(O17/10)^2/4&gt;=M17,TRUE),IF(ISNUMBER(P17),Q17*PI()*(R17/10)^2/4&gt;=P17,TRUE),IF(ISNUMBER(M17),M17&lt;=0.0163*AB17*K17,TRUE),IF(ISNUMBER(P17),P17&lt;=0.0163*AC17*K17,TRUE))),"NO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</f>
        <v/>
      </c>
      <c r="X17" s="7" t="n"/>
      <c r="Y17" s="24" t="inlineStr">
        <is>
          <t>Continua</t>
        </is>
      </c>
      <c r="Z17" s="24" t="inlineStr">
        <is>
          <t>Colgante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2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IF(NOT(AND(IF(ISNUMBER(M18),N18*PI()*(O18/10)^2/4&gt;=M18,TRUE),IF(ISNUMBER(P18),Q18*PI()*(R18/10)^2/4&gt;=P18,TRUE),IF(ISNUMBER(M18),M18&lt;=0.0163*AB18*K18,TRUE),IF(ISNUMBER(P18),P18&lt;=0.0163*AC18*K18,TRUE))),"NO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</f>
        <v/>
      </c>
      <c r="X18" s="7" t="n"/>
      <c r="Y18" s="24" t="inlineStr">
        <is>
          <t>Continua</t>
        </is>
      </c>
      <c r="Z18" s="24" t="inlineStr">
        <is>
          <t>Colgante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2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IF(NOT(AND(IF(ISNUMBER(M19),N19*PI()*(O19/10)^2/4&gt;=M19,TRUE),IF(ISNUMBER(P19),Q19*PI()*(R19/10)^2/4&gt;=P19,TRUE),IF(ISNUMBER(M19),M19&lt;=0.0163*AB19*K19,TRUE),IF(ISNUMBER(P19),P19&lt;=0.0163*AC19*K19,TRUE))),"NO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</f>
        <v/>
      </c>
      <c r="X19" s="26" t="inlineStr">
        <is>
          <t>El plano rotula 'VI 111'; se interpreta 11a por el orden a-b-c. Sin apoyo intermedio, empotrada en tabiques. Viga de borde INVERTIDA: sobresale 70 cm sobre el fondo de losa. Verificar torsion, no incluida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2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IF(NOT(AND(IF(ISNUMBER(M20),N20*PI()*(O20/10)^2/4&gt;=M20,TRUE),IF(ISNUMBER(P20),Q20*PI()*(R20/10)^2/4&gt;=P20,TRUE),IF(ISNUMBER(M20),M20&lt;=0.0163*AB20*K20,TRUE),IF(ISNUMBER(P20),P20&lt;=0.0163*AC20*K20,TRUE))),"NO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</f>
        <v/>
      </c>
      <c r="X20" s="26" t="inlineStr">
        <is>
          <t>Viga de borde INVERTIDA: sobresale 70 cm sobre el fondo de losa. Verificar torsion, no incluida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2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IF(NOT(AND(IF(ISNUMBER(M21),N21*PI()*(O21/10)^2/4&gt;=M21,TRUE),IF(ISNUMBER(P21),Q21*PI()*(R21/10)^2/4&gt;=P21,TRUE),IF(ISNUMBER(M21),M21&lt;=0.0163*AB21*K21,TRUE),IF(ISNUMBER(P21),P21&lt;=0.0163*AC21*K21,TRUE))),"NO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</f>
        <v/>
      </c>
      <c r="X21" s="26" t="inlineStr">
        <is>
          <t>Viga de borde INVERTIDA: sobresale 70 cm sobre el fondo de losa. Verificar torsion, no incluida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2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3.71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5</v>
      </c>
      <c r="O22" s="24" t="n">
        <v>20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5</v>
      </c>
      <c r="R22" s="24" t="n">
        <v>6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IF(NOT(AND(IF(ISNUMBER(M22),N22*PI()*(O22/10)^2/4&gt;=M22,TRUE),IF(ISNUMBER(P22),Q22*PI()*(R22/10)^2/4&gt;=P22,TRUE),IF(ISNUMBER(M22),M22&lt;=0.0163*AB22*K22,TRUE),IF(ISNUMBER(P22),P22&lt;=0.0163*AC22*K22,TRUE))),"NO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3.94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2.13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5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7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IF(NOT(AND(IF(ISNUMBER(M23),N23*PI()*(O23/10)^2/4&gt;=M23,TRUE),IF(ISNUMBER(P23),Q23*PI()*(R23/10)^2/4&gt;=P23,TRUE),IF(ISNUMBER(M23),M23&lt;=0.0163*AB23*K23,TRUE),IF(ISNUMBER(P23),P23&lt;=0.0163*AC23*K23,TRUE))),"NO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0.6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IF(NOT(AND(IF(ISNUMBER(M24),N24*PI()*(O24/10)^2/4&gt;=M24,TRUE),IF(ISNUMBER(P24),Q24*PI()*(R24/10)^2/4&gt;=P24,TRUE),IF(ISNUMBER(M24),M24&lt;=0.0163*AB24*K24,TRUE),IF(ISNUMBER(P24),P24&lt;=0.0163*AC24*K24,TRUE))),"NO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0.6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2</v>
      </c>
      <c r="R25" s="24" t="n">
        <v>25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15</v>
      </c>
      <c r="W25" s="7">
        <f>IF(NOT(AND(IF(ISNUMBER(M25),N25*PI()*(O25/10)^2/4&gt;=M25,TRUE),IF(ISNUMBER(P25),Q25*PI()*(R25/10)^2/4&gt;=P25,TRUE),IF(ISNUMBER(M25),M25&lt;=0.0163*AB25*K25,TRUE),IF(ISNUMBER(P25),P25&lt;=0.0163*AC25*K25,TRUE))),"NO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</f>
        <v/>
      </c>
      <c r="X25" s="7" t="n"/>
      <c r="Y25" s="24" t="inlineStr">
        <is>
          <t>Continua</t>
        </is>
      </c>
      <c r="Z25" s="24" t="inlineStr">
        <is>
          <t>Colgante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</v>
      </c>
      <c r="AE25" s="24" t="n">
        <v>1</v>
      </c>
      <c r="AF25" s="24" t="n">
        <v>3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50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3</v>
      </c>
      <c r="O26" s="24" t="n">
        <v>12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20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20</v>
      </c>
      <c r="W26" s="7">
        <f>IF(NOT(AND(IF(ISNUMBER(M26),N26*PI()*(O26/10)^2/4&gt;=M26,TRUE),IF(ISNUMBER(P26),Q26*PI()*(R26/10)^2/4&gt;=P26,TRUE),IF(ISNUMBER(M26),M26&lt;=0.0163*AB26*K26,TRUE),IF(ISNUMBER(P26),P26&lt;=0.0163*AC26*K26,TRUE))),"NO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</f>
        <v/>
      </c>
      <c r="X26" s="7" t="n"/>
      <c r="Y26" s="24" t="inlineStr">
        <is>
          <t>Continua</t>
        </is>
      </c>
      <c r="Z26" s="24" t="inlineStr">
        <is>
          <t>Colgante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2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50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IF(NOT(AND(IF(ISNUMBER(M27),N27*PI()*(O27/10)^2/4&gt;=M27,TRUE),IF(ISNUMBER(P27),Q27*PI()*(R27/10)^2/4&gt;=P27,TRUE),IF(ISNUMBER(M27),M27&lt;=0.0163*AB27*K27,TRUE),IF(ISNUMBER(P27),P27&lt;=0.0163*AC27*K27,TRUE))),"NO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</f>
        <v/>
      </c>
      <c r="X27" s="7" t="n"/>
      <c r="Y27" s="24" t="inlineStr">
        <is>
          <t>Continua</t>
        </is>
      </c>
      <c r="Z27" s="24" t="inlineStr">
        <is>
          <t>Colgante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IF(NOT(AND(IF(ISNUMBER(M28),N28*PI()*(O28/10)^2/4&gt;=M28,TRUE),IF(ISNUMBER(P28),Q28*PI()*(R28/10)^2/4&gt;=P28,TRUE),IF(ISNUMBER(M28),M28&lt;=0.0163*AB28*K28,TRUE),IF(ISNUMBER(P28),P28&lt;=0.0163*AC28*K28,TRUE))),"NO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</f>
        <v/>
      </c>
      <c r="X28" s="7" t="n"/>
      <c r="Y28" s="24" t="inlineStr">
        <is>
          <t>Continua</t>
        </is>
      </c>
      <c r="Z28" s="24" t="inlineStr">
        <is>
          <t>Colgante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2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IF(NOT(AND(IF(ISNUMBER(M29),N29*PI()*(O29/10)^2/4&gt;=M29,TRUE),IF(ISNUMBER(P29),Q29*PI()*(R29/10)^2/4&gt;=P29,TRUE),IF(ISNUMBER(M29),M29&lt;=0.0163*AB29*K29,TRUE),IF(ISNUMBER(P29),P29&lt;=0.0163*AC29*K29,TRUE))),"NO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</f>
        <v/>
      </c>
      <c r="X29" s="26" t="inlineStr">
        <is>
          <t>Viga de borde INVERTIDA: sobresale 70 cm sobre el fondo de losa. Verificar torsion, no incluida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2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IF(NOT(AND(IF(ISNUMBER(M30),N30*PI()*(O30/10)^2/4&gt;=M30,TRUE),IF(ISNUMBER(P30),Q30*PI()*(R30/10)^2/4&gt;=P30,TRUE),IF(ISNUMBER(M30),M30&lt;=0.0163*AB30*K30,TRUE),IF(ISNUMBER(P30),P30&lt;=0.0163*AC30*K30,TRUE))),"NO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</f>
        <v/>
      </c>
      <c r="X30" s="26" t="inlineStr">
        <is>
          <t>Viga de borde INVERTIDA: sobresale 70 cm sobre el fondo de losa. Verificar torsion, no incluida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2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IF(NOT(AND(IF(ISNUMBER(M31),N31*PI()*(O31/10)^2/4&gt;=M31,TRUE),IF(ISNUMBER(P31),Q31*PI()*(R31/10)^2/4&gt;=P31,TRUE),IF(ISNUMBER(M31),M31&lt;=0.0163*AB31*K31,TRUE),IF(ISNUMBER(P31),P31&lt;=0.0163*AC31*K31,TRUE))),"NO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</f>
        <v/>
      </c>
      <c r="X31" s="7" t="n"/>
      <c r="Y31" s="24" t="inlineStr">
        <is>
          <t>Continua</t>
        </is>
      </c>
      <c r="Z31" s="24" t="inlineStr">
        <is>
          <t>Colgante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2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IF(NOT(AND(IF(ISNUMBER(M32),N32*PI()*(O32/10)^2/4&gt;=M32,TRUE),IF(ISNUMBER(P32),Q32*PI()*(R32/10)^2/4&gt;=P32,TRUE),IF(ISNUMBER(M32),M32&lt;=0.0163*AB32*K32,TRUE),IF(ISNUMBER(P32),P32&lt;=0.0163*AC32*K32,TRUE))),"NO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</f>
        <v/>
      </c>
      <c r="X32" s="7" t="n"/>
      <c r="Y32" s="24" t="inlineStr">
        <is>
          <t>Continua</t>
        </is>
      </c>
      <c r="Z32" s="24" t="inlineStr">
        <is>
          <t>Colgante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2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IF(NOT(AND(IF(ISNUMBER(M33),N33*PI()*(O33/10)^2/4&gt;=M33,TRUE),IF(ISNUMBER(P33),Q33*PI()*(R33/10)^2/4&gt;=P33,TRUE),IF(ISNUMBER(M33),M33&lt;=0.0163*AB33*K33,TRUE),IF(ISNUMBER(P33),P33&lt;=0.0163*AC33*K33,TRUE))),"NO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</f>
        <v/>
      </c>
      <c r="X33" s="32" t="n"/>
      <c r="Y33" s="33" t="inlineStr">
        <is>
          <t>Simplemente apoyada</t>
        </is>
      </c>
      <c r="Z33" s="33" t="inlineStr">
        <is>
          <t>Colgante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2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Son VI 01a, VI 01b, VI 07a, VI 07b, VI 07c, VI 11a, VI 11b, VI 11c, VI 15a y VI 15b,</t>
        </is>
      </c>
    </row>
    <row r="37">
      <c r="A37" s="36" t="inlineStr"/>
      <c r="B37" s="37" t="inlineStr">
        <is>
          <t>identificadas por coincidir su eje con el contorno del edificio.</t>
        </is>
      </c>
    </row>
    <row r="38">
      <c r="A38" s="36" t="inlineStr"/>
      <c r="B38" s="37" t="inlineStr">
        <is>
          <t>Esto define donde la losa aporta ala comprimida:</t>
        </is>
      </c>
    </row>
    <row r="39">
      <c r="A39" s="36" t="inlineStr"/>
      <c r="B39" s="37" t="inlineStr">
        <is>
          <t xml:space="preserve">  viga COLGANTE  -&gt; la losa esta arriba  -&gt; ala util en el TRAMO (momento positivo)</t>
        </is>
      </c>
    </row>
    <row r="40">
      <c r="A40" s="36" t="inlineStr"/>
      <c r="B40" s="37" t="inlineStr">
        <is>
          <t xml:space="preserve">  viga INVERTIDA -&gt; la losa esta abajo   -&gt; ala util en el APOYO (momento negativo)</t>
        </is>
      </c>
    </row>
    <row r="41">
      <c r="A41" s="36" t="inlineStr"/>
      <c r="B41" s="37" t="inlineStr">
        <is>
          <t>En la zona con ala se adopta b efectivo = min(L/4 ; b + 16 hf); en la otra, la</t>
        </is>
      </c>
    </row>
    <row r="42">
      <c r="A42" s="36" t="inlineStr"/>
      <c r="B42" s="37" t="inlineStr">
        <is>
          <t>seccion es rectangular de ancho b. Las columnas b ef tramo y b ef apoyo lo muestran.</t>
        </is>
      </c>
    </row>
    <row r="43">
      <c r="A43" s="36" t="inlineStr"/>
      <c r="B43" s="37" t="inlineStr">
        <is>
          <t>PENDIENTE: una viga invertida de borde recibe la reaccion de la losa excentrica</t>
        </is>
      </c>
    </row>
    <row r="44">
      <c r="A44" s="36" t="inlineStr"/>
      <c r="B44" s="37" t="inlineStr">
        <is>
          <t>respecto de su eje y queda sometida a TORSION. Esta planilla no la verifica.</t>
        </is>
      </c>
    </row>
    <row r="45">
      <c r="A45" s="36" t="inlineStr"/>
      <c r="B45" s="37" t="inlineStr"/>
    </row>
    <row r="46">
      <c r="A46" s="36" t="inlineStr">
        <is>
          <t>7. RESULTADO</t>
        </is>
      </c>
      <c r="B46" s="36" t="inlineStr">
        <is>
          <t>30 vigas: 21 del entrepiso PA y 9 de la losa de techo. 28 verifican.</t>
        </is>
      </c>
    </row>
    <row r="47">
      <c r="A47" s="36" t="inlineStr"/>
      <c r="B47" s="37" t="inlineStr">
        <is>
          <t>VI 02 quedo resuelta: con el ancho tributario relevado (solo el voladizo L02 de</t>
        </is>
      </c>
    </row>
    <row r="48">
      <c r="A48" s="36" t="inlineStr"/>
      <c r="B48" s="37" t="inlineStr">
        <is>
          <t xml:space="preserve">   0,80 m) la carga baja de 2999 a 1823 kg/m y la viga verifica con 9,94 cm2.</t>
        </is>
      </c>
    </row>
    <row r="49">
      <c r="A49" s="36" t="inlineStr"/>
      <c r="B49" s="37" t="inlineStr">
        <is>
          <t>VCH 03a (40x13, 3,71 m) es el unico punto abierto: con L03 y L04 apoyando a cada</t>
        </is>
      </c>
    </row>
    <row r="50">
      <c r="A50" s="36" t="inlineStr"/>
      <c r="B50" s="37" t="inlineStr">
        <is>
          <t xml:space="preserve">   lado el ancho tributario es 3,94 m y el momento supera lo que admite la seccion.</t>
        </is>
      </c>
    </row>
    <row r="51">
      <c r="A51" s="36" t="inlineStr"/>
      <c r="B51" s="37" t="inlineStr">
        <is>
          <t>VCH 03a (40x13, 3,71 m): excede la cuantia maxima y no llega a la altura minima por</t>
        </is>
      </c>
    </row>
    <row r="52">
      <c r="A52" s="36" t="inlineStr"/>
      <c r="B52" s="37" t="inlineStr">
        <is>
          <t xml:space="preserve">   flecha. Revisar el ancho tributario: si solo recibe el muro y no losa, baja mucho.</t>
        </is>
      </c>
    </row>
    <row r="53">
      <c r="A53" s="36" t="inlineStr"/>
      <c r="B53" s="37" t="inlineStr"/>
    </row>
    <row r="54">
      <c r="A54" s="36" t="inlineStr">
        <is>
          <t>8. ALCANCE</t>
        </is>
      </c>
      <c r="B54" s="37" t="inlineStr">
        <is>
          <t>No se incluyen las 31 vigas de fundacion (VF01 a VF18c): su calculo depende de las</t>
        </is>
      </c>
    </row>
    <row r="55">
      <c r="A55" s="36" t="inlineStr"/>
      <c r="B55" s="37" t="inlineStr">
        <is>
          <t>cargas que bajan por las columnas y corresponde hacerlo despues. Tampoco losas ni columnas.</t>
        </is>
      </c>
    </row>
    <row r="56">
      <c r="A56" s="36" t="inlineStr"/>
      <c r="B56" s="37" t="inlineStr"/>
    </row>
    <row r="57">
      <c r="A57" s="36" t="inlineStr">
        <is>
          <t>LIMITACIONES</t>
        </is>
      </c>
      <c r="B57" s="36" t="inlineStr">
        <is>
          <t>El ancho tributario B esta relevado solo en VI 02 (0,80 m) y VCH 03a (3,94 m). En</t>
        </is>
      </c>
    </row>
    <row r="58">
      <c r="A58" s="36" t="inlineStr"/>
      <c r="B58" s="37" t="inlineStr">
        <is>
          <t>las demas sigue adoptado en 2,00 m, a falta del reparto completo de losas. Es la</t>
        </is>
      </c>
    </row>
    <row r="59">
      <c r="A59" s="36" t="inlineStr"/>
      <c r="B59" s="37" t="inlineStr">
        <is>
          <t>hipotesis mas influyente del calculo: ajustarla viga por viga en la columna B trib.</t>
        </is>
      </c>
    </row>
    <row r="60">
      <c r="A60" s="36" t="inlineStr"/>
      <c r="B60" s="37" t="inlineStr">
        <is>
          <t>El esquema se asigno por criterio: continua si integra una serie a-b-c o si supera 5,5 m.</t>
        </is>
      </c>
    </row>
    <row r="61">
      <c r="A61" s="36" t="inlineStr"/>
      <c r="B61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2026-10-20T20:59:57Z</dcterms:created>
  <dcterms:modified xmlns:dcterms="http://purl.org/dc/terms/" xmlns:xsi="http://www.w3.org/2001/XMLSchema-instance" xsi:type="dcterms:W3CDTF">2026-10-20T20:59:58Z</dcterms:modified>
</cp:coreProperties>
</file>