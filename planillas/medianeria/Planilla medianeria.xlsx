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ne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####"/>
    <numFmt numFmtId="165" formatCode="_(&quot;$&quot;* #,##0.00_);_(&quot;$&quot;* \(#,##0.00\);_(&quot;$&quot;* &quot;-&quot;??_);_(@_)"/>
  </numFmts>
  <fonts count="2">
    <font>
      <name val="Calibri"/>
      <family val="2"/>
      <color theme="1"/>
      <sz val="11"/>
      <scheme val="minor"/>
    </font>
    <font>
      <name val="Arial"/>
      <sz val="12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dotted">
        <color rgb="00000000"/>
      </right>
      <top style="thin">
        <color rgb="00000000"/>
      </top>
      <bottom style="dotted">
        <color rgb="00000000"/>
      </bottom>
    </border>
    <border>
      <left style="dotted">
        <color rgb="00000000"/>
      </left>
      <right style="dotted">
        <color rgb="00000000"/>
      </right>
      <top style="thin">
        <color rgb="00000000"/>
      </top>
      <bottom style="dotted">
        <color rgb="00000000"/>
      </bottom>
    </border>
    <border>
      <left style="dotted">
        <color rgb="00000000"/>
      </left>
      <right style="thin">
        <color rgb="00000000"/>
      </right>
      <top style="thin">
        <color rgb="00000000"/>
      </top>
      <bottom style="dotted">
        <color rgb="00000000"/>
      </bottom>
    </border>
    <border>
      <left style="thin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  <border>
      <left style="dotted">
        <color rgb="00000000"/>
      </left>
      <right style="thin">
        <color rgb="00000000"/>
      </right>
      <top style="dotted">
        <color rgb="00000000"/>
      </top>
      <bottom style="dotted">
        <color rgb="00000000"/>
      </bottom>
    </border>
    <border>
      <left style="thin">
        <color rgb="00000000"/>
      </left>
      <right style="dotted">
        <color rgb="00000000"/>
      </right>
      <top style="dotted">
        <color rgb="00000000"/>
      </top>
      <bottom style="thin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dotted">
        <color rgb="00000000"/>
      </top>
      <bottom style="thin">
        <color rgb="00000000"/>
      </bottom>
    </border>
    <border>
      <left style="dotted">
        <color rgb="00000000"/>
      </left>
      <right style="thin">
        <color rgb="00000000"/>
      </right>
      <top style="dotted">
        <color rgb="00000000"/>
      </top>
      <bottom style="thin">
        <color rgb="00000000"/>
      </bottom>
    </border>
    <border>
      <left style="thin">
        <color rgb="00000000"/>
      </left>
      <right style="dotted">
        <color rgb="00000000"/>
      </right>
      <top style="thin">
        <color rgb="00000000"/>
      </top>
      <bottom style="thin">
        <color rgb="00000000"/>
      </bottom>
    </border>
    <border>
      <left style="dotted">
        <color rgb="00000000"/>
      </left>
      <right style="dotted">
        <color rgb="00000000"/>
      </right>
      <top style="thin">
        <color rgb="00000000"/>
      </top>
      <bottom style="thin">
        <color rgb="00000000"/>
      </bottom>
    </border>
    <border>
      <left style="dotted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textRotation="90" wrapText="1"/>
    </xf>
    <xf numFmtId="0" fontId="1" fillId="0" borderId="2" applyAlignment="1" pivotButton="0" quotePrefix="0" xfId="0">
      <alignment horizontal="left" vertical="center" wrapText="1"/>
    </xf>
    <xf numFmtId="2" fontId="1" fillId="0" borderId="3" applyAlignment="1" pivotButton="0" quotePrefix="0" xfId="0">
      <alignment horizontal="center" vertical="center" wrapText="1"/>
    </xf>
    <xf numFmtId="164" fontId="1" fillId="0" borderId="3" applyAlignment="1" pivotButton="0" quotePrefix="0" xfId="0">
      <alignment horizontal="center" vertical="center" wrapText="1"/>
    </xf>
    <xf numFmtId="165" fontId="1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9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5" applyAlignment="1" pivotButton="0" quotePrefix="0" xfId="0">
      <alignment horizontal="left" vertical="center" wrapText="1"/>
    </xf>
    <xf numFmtId="2" fontId="1" fillId="0" borderId="6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5" fontId="1" fillId="0" borderId="6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9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left" vertical="center" wrapText="1"/>
    </xf>
    <xf numFmtId="0" fontId="0" fillId="0" borderId="6" pivotButton="0" quotePrefix="0" xfId="0"/>
    <xf numFmtId="0" fontId="1" fillId="0" borderId="8" applyAlignment="1" pivotButton="0" quotePrefix="0" xfId="0">
      <alignment horizontal="left" vertical="center" wrapText="1"/>
    </xf>
    <xf numFmtId="2" fontId="1" fillId="0" borderId="9" applyAlignment="1" pivotButton="0" quotePrefix="0" xfId="0">
      <alignment horizontal="center" vertical="center" wrapText="1"/>
    </xf>
    <xf numFmtId="0" fontId="0" fillId="0" borderId="9" pivotButton="0" quotePrefix="0" xfId="0"/>
    <xf numFmtId="164" fontId="1" fillId="0" borderId="9" applyAlignment="1" pivotButton="0" quotePrefix="0" xfId="0">
      <alignment horizontal="center" vertical="center" wrapText="1"/>
    </xf>
    <xf numFmtId="165" fontId="1" fillId="0" borderId="9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9" fontId="1" fillId="0" borderId="9" applyAlignment="1" pivotButton="0" quotePrefix="0" xfId="0">
      <alignment horizontal="center" vertical="center" wrapText="1"/>
    </xf>
    <xf numFmtId="165" fontId="1" fillId="2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1" fillId="0" borderId="2" applyAlignment="1" pivotButton="0" quotePrefix="0" xfId="0">
      <alignment horizontal="center" vertical="center" wrapText="1"/>
    </xf>
    <xf numFmtId="165" fontId="1" fillId="0" borderId="4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2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0" customWidth="1" min="4" max="4"/>
    <col width="14" customWidth="1" min="5" max="5"/>
    <col width="18" customWidth="1" min="6" max="6"/>
    <col width="18" customWidth="1" min="7" max="7"/>
    <col width="18" customWidth="1" min="8" max="8"/>
    <col width="20" customWidth="1" min="9" max="9"/>
    <col width="12" customWidth="1" min="10" max="10"/>
    <col width="10" customWidth="1" min="11" max="11"/>
    <col width="10" customWidth="1" min="12" max="12"/>
    <col width="14" customWidth="1" min="13" max="13"/>
    <col width="18" customWidth="1" min="14" max="14"/>
    <col width="18" customWidth="1" min="15" max="15"/>
    <col width="22" customWidth="1" min="16" max="16"/>
    <col width="22" customWidth="1" min="17" max="17"/>
    <col width="26" customWidth="1" min="18" max="18"/>
  </cols>
  <sheetData>
    <row r="1" ht="19.8" customHeight="1">
      <c r="A1" s="1" t="inlineStr">
        <is>
          <t>LIQUIDACIÓN DE LOS DERECHOS DE MEDIANERÍA.</t>
        </is>
      </c>
      <c r="I1" s="1" t="inlineStr">
        <is>
          <t>PRECIOS MES DE DICIEMBRE 2022</t>
        </is>
      </c>
    </row>
    <row r="2" ht="19.8" customHeight="1"/>
    <row r="3" ht="19.8" customHeight="1"/>
    <row r="4" ht="28.4" customHeight="1">
      <c r="A4" s="2" t="inlineStr">
        <is>
          <t>ITEMS DEL MURO</t>
        </is>
      </c>
      <c r="B4" s="2" t="inlineStr">
        <is>
          <t>PLANILLA PARA LA LIQUIDACIÓN DE DERECHOS DE MEDIANERÍA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inlineStr">
        <is>
          <t>Observaciones</t>
        </is>
      </c>
    </row>
    <row r="5" ht="175" customHeight="1">
      <c r="A5" s="2" t="n"/>
      <c r="B5" s="3" t="inlineStr">
        <is>
          <t>Largo (m)</t>
        </is>
      </c>
      <c r="C5" s="3" t="inlineStr">
        <is>
          <t>Alto (m)</t>
        </is>
      </c>
      <c r="D5" s="3" t="inlineStr">
        <is>
          <t>Ancho (m)</t>
        </is>
      </c>
      <c r="E5" s="3" t="inlineStr">
        <is>
          <t>Cómputo Métrico</t>
        </is>
      </c>
      <c r="F5" s="3" t="inlineStr">
        <is>
          <t>Coste unitario</t>
        </is>
      </c>
      <c r="G5" s="3" t="inlineStr">
        <is>
          <t>Impuesto al Valor Agregado ( IVA )</t>
        </is>
      </c>
      <c r="H5" s="3" t="inlineStr">
        <is>
          <t>Precio unitario</t>
        </is>
      </c>
      <c r="I5" s="3" t="inlineStr">
        <is>
          <t>Valor de Reposición</t>
        </is>
      </c>
      <c r="J5" s="3" t="inlineStr">
        <is>
          <t>Antigüedad en años del muro</t>
        </is>
      </c>
      <c r="K5" s="3" t="inlineStr">
        <is>
          <t>Estado del muro</t>
        </is>
      </c>
      <c r="L5" s="3" t="inlineStr">
        <is>
          <t>Vida útil del muro</t>
        </is>
      </c>
      <c r="M5" s="3" t="inlineStr">
        <is>
          <t>Porcentual de la edad respecto a la vida útil</t>
        </is>
      </c>
      <c r="N5" s="3" t="inlineStr">
        <is>
          <t>Valor residual</t>
        </is>
      </c>
      <c r="O5" s="3" t="inlineStr">
        <is>
          <t>Depreciación (Coeficiente de Ross-Heidecke)</t>
        </is>
      </c>
      <c r="P5" s="3" t="inlineStr">
        <is>
          <t>Valor actual del muro en pesos</t>
        </is>
      </c>
      <c r="Q5" s="3" t="inlineStr">
        <is>
          <t>Total a liquidar en pesos</t>
        </is>
      </c>
      <c r="R5" s="2" t="n"/>
    </row>
    <row r="6" ht="19.8" customHeight="1">
      <c r="A6" s="4" t="inlineStr">
        <is>
          <t>Excavación de cimientos</t>
        </is>
      </c>
      <c r="B6" s="5" t="n">
        <v>9.81</v>
      </c>
      <c r="C6" s="5" t="n">
        <v>1.2</v>
      </c>
      <c r="D6" s="5" t="n">
        <v>0.45</v>
      </c>
      <c r="E6" s="6">
        <f>B6*C6*D6</f>
        <v/>
      </c>
      <c r="F6" s="7" t="n">
        <v>4207.13</v>
      </c>
      <c r="G6" s="7">
        <f>ROUND(F6*0.21,2)</f>
        <v/>
      </c>
      <c r="H6" s="7">
        <f>F6+G6</f>
        <v/>
      </c>
      <c r="I6" s="7">
        <f>E6*H6</f>
        <v/>
      </c>
      <c r="J6" s="8" t="n">
        <v>17</v>
      </c>
      <c r="K6" s="8" t="inlineStr">
        <is>
          <t>-</t>
        </is>
      </c>
      <c r="L6" s="8" t="inlineStr">
        <is>
          <t>-</t>
        </is>
      </c>
      <c r="M6" s="9" t="inlineStr">
        <is>
          <t>-</t>
        </is>
      </c>
      <c r="N6" s="7" t="inlineStr">
        <is>
          <t>-</t>
        </is>
      </c>
      <c r="O6" s="5" t="inlineStr">
        <is>
          <t>-</t>
        </is>
      </c>
      <c r="P6" s="7">
        <f>I6</f>
        <v/>
      </c>
      <c r="Q6" s="7">
        <f>P6/2</f>
        <v/>
      </c>
      <c r="R6" s="10" t="n"/>
    </row>
    <row r="7" ht="19.8" customHeight="1">
      <c r="A7" s="11" t="inlineStr">
        <is>
          <t>Banquina de hormigón sin armar</t>
        </is>
      </c>
      <c r="B7" s="12" t="n">
        <v>9.81</v>
      </c>
      <c r="C7" s="12" t="n">
        <v>0.3</v>
      </c>
      <c r="D7" s="12" t="n">
        <v>0.45</v>
      </c>
      <c r="E7" s="13">
        <f>B7*C7*D7</f>
        <v/>
      </c>
      <c r="F7" s="14" t="n">
        <v>51585.77</v>
      </c>
      <c r="G7" s="14">
        <f>ROUND(F7*0.21,2)</f>
        <v/>
      </c>
      <c r="H7" s="14">
        <f>F7+G7</f>
        <v/>
      </c>
      <c r="I7" s="14">
        <f>E7*H7</f>
        <v/>
      </c>
      <c r="J7" s="15" t="n">
        <v>17</v>
      </c>
      <c r="K7" s="15" t="n">
        <v>2</v>
      </c>
      <c r="L7" s="15" t="n">
        <v>90</v>
      </c>
      <c r="M7" s="16">
        <f>J7/L7</f>
        <v/>
      </c>
      <c r="N7" s="14" t="inlineStr">
        <is>
          <t>-</t>
        </is>
      </c>
      <c r="O7" s="12" t="n">
        <v>13.54</v>
      </c>
      <c r="P7" s="14">
        <f>I7*(O7-1)</f>
        <v/>
      </c>
      <c r="Q7" s="14">
        <f>P7/2</f>
        <v/>
      </c>
      <c r="R7" s="17" t="n"/>
    </row>
    <row r="8" ht="19.8" customHeight="1">
      <c r="A8" s="11" t="inlineStr">
        <is>
          <t>Mampostería de cimientos de 45cm</t>
        </is>
      </c>
      <c r="B8" s="12" t="n">
        <v>9.81</v>
      </c>
      <c r="C8" s="12" t="n">
        <v>0.3</v>
      </c>
      <c r="D8" s="12" t="n">
        <v>0.45</v>
      </c>
      <c r="E8" s="13">
        <f>B8*C8*D8</f>
        <v/>
      </c>
      <c r="F8" s="14" t="n">
        <v>37585.31</v>
      </c>
      <c r="G8" s="14">
        <f>ROUND(F8*0.21,2)</f>
        <v/>
      </c>
      <c r="H8" s="14">
        <f>F8+G8</f>
        <v/>
      </c>
      <c r="I8" s="14">
        <f>E8*H8</f>
        <v/>
      </c>
      <c r="J8" s="15" t="n">
        <v>17</v>
      </c>
      <c r="K8" s="15" t="n">
        <v>2</v>
      </c>
      <c r="L8" s="15" t="n">
        <v>90</v>
      </c>
      <c r="M8" s="16">
        <f>J8/L8</f>
        <v/>
      </c>
      <c r="N8" s="14" t="inlineStr">
        <is>
          <t>-</t>
        </is>
      </c>
      <c r="O8" s="12" t="n">
        <v>13.54</v>
      </c>
      <c r="P8" s="14">
        <f>I8*(O8-1)</f>
        <v/>
      </c>
      <c r="Q8" s="14">
        <f>P8/2</f>
        <v/>
      </c>
      <c r="R8" s="17" t="n"/>
    </row>
    <row r="9" ht="19.8" customHeight="1">
      <c r="A9" s="11" t="inlineStr">
        <is>
          <t>Encadenado de cimientos (H°A°)</t>
        </is>
      </c>
      <c r="B9" s="12" t="n">
        <v>9.74</v>
      </c>
      <c r="C9" s="12" t="n">
        <v>0.2</v>
      </c>
      <c r="D9" s="12" t="n">
        <v>0.3</v>
      </c>
      <c r="E9" s="13">
        <f>B9*C9*D9</f>
        <v/>
      </c>
      <c r="F9" s="14" t="n">
        <v>5184.1</v>
      </c>
      <c r="G9" s="14">
        <f>ROUND(F9*0.21,2)</f>
        <v/>
      </c>
      <c r="H9" s="14">
        <f>F9+G9</f>
        <v/>
      </c>
      <c r="I9" s="14">
        <f>E9*H9</f>
        <v/>
      </c>
      <c r="J9" s="15" t="n">
        <v>17</v>
      </c>
      <c r="K9" s="15" t="n">
        <v>2</v>
      </c>
      <c r="L9" s="15" t="n">
        <v>90</v>
      </c>
      <c r="M9" s="16">
        <f>J9/L9</f>
        <v/>
      </c>
      <c r="N9" s="14" t="inlineStr">
        <is>
          <t>-</t>
        </is>
      </c>
      <c r="O9" s="12" t="n">
        <v>13.54</v>
      </c>
      <c r="P9" s="14">
        <f>I9*(O9-1)</f>
        <v/>
      </c>
      <c r="Q9" s="14">
        <f>P9/2</f>
        <v/>
      </c>
      <c r="R9" s="17" t="n"/>
    </row>
    <row r="10" ht="19.8" customHeight="1">
      <c r="A10" s="11" t="inlineStr">
        <is>
          <t>Mampostería de cimientos de 30m</t>
        </is>
      </c>
      <c r="B10" s="12" t="n">
        <v>9.74</v>
      </c>
      <c r="C10" s="12" t="n">
        <v>0.7</v>
      </c>
      <c r="D10" s="12" t="n">
        <v>0.3</v>
      </c>
      <c r="E10" s="13">
        <f>B10*C10*D10</f>
        <v/>
      </c>
      <c r="F10" s="14" t="n">
        <v>37585.31</v>
      </c>
      <c r="G10" s="14">
        <f>ROUND(F10*0.21,2)</f>
        <v/>
      </c>
      <c r="H10" s="14">
        <f>F10+G10</f>
        <v/>
      </c>
      <c r="I10" s="14">
        <f>E10*H10</f>
        <v/>
      </c>
      <c r="J10" s="15" t="n">
        <v>17</v>
      </c>
      <c r="K10" s="15" t="n">
        <v>2</v>
      </c>
      <c r="L10" s="15" t="n">
        <v>50</v>
      </c>
      <c r="M10" s="16">
        <f>J10/L10</f>
        <v/>
      </c>
      <c r="N10" s="14" t="inlineStr">
        <is>
          <t>-</t>
        </is>
      </c>
      <c r="O10" s="12" t="n">
        <v>24.73</v>
      </c>
      <c r="P10" s="14">
        <f>I10*(O10-1)</f>
        <v/>
      </c>
      <c r="Q10" s="14">
        <f>P10/2</f>
        <v/>
      </c>
      <c r="R10" s="17" t="n"/>
    </row>
    <row r="11" ht="19.8" customHeight="1">
      <c r="A11" s="11" t="inlineStr">
        <is>
          <t>Doble capa aisladora horizontal y vertical</t>
        </is>
      </c>
      <c r="B11" s="12" t="n">
        <v>9.74</v>
      </c>
      <c r="C11" s="12" t="n">
        <v>0.3</v>
      </c>
      <c r="D11" s="12" t="n">
        <v>0.24</v>
      </c>
      <c r="E11" s="13">
        <f>B11*2*(C11+D11)</f>
        <v/>
      </c>
      <c r="F11" s="14" t="n">
        <v>1743.65</v>
      </c>
      <c r="G11" s="14">
        <f>ROUND(F11*0.21,2)</f>
        <v/>
      </c>
      <c r="H11" s="14">
        <f>F11+G11</f>
        <v/>
      </c>
      <c r="I11" s="14">
        <f>E11*H11</f>
        <v/>
      </c>
      <c r="J11" s="15" t="n">
        <v>17</v>
      </c>
      <c r="K11" s="15" t="n">
        <v>2</v>
      </c>
      <c r="L11" s="15" t="n">
        <v>90</v>
      </c>
      <c r="M11" s="16">
        <f>J11/L11</f>
        <v/>
      </c>
      <c r="N11" s="14" t="inlineStr">
        <is>
          <t>-</t>
        </is>
      </c>
      <c r="O11" s="12" t="n">
        <v>13.54</v>
      </c>
      <c r="P11" s="14">
        <f>I11*(O11-1)</f>
        <v/>
      </c>
      <c r="Q11" s="14">
        <f>P11/2</f>
        <v/>
      </c>
      <c r="R11" s="17" t="n"/>
    </row>
    <row r="12" ht="19.8" customHeight="1">
      <c r="A12" s="11" t="inlineStr">
        <is>
          <t>Mampostería de elevación</t>
        </is>
      </c>
      <c r="B12" s="12" t="n">
        <v>49</v>
      </c>
      <c r="C12" s="18" t="n"/>
      <c r="D12" s="12" t="n">
        <v>0.3</v>
      </c>
      <c r="E12" s="13">
        <f>B12*D12</f>
        <v/>
      </c>
      <c r="F12" s="14" t="n">
        <v>37585.31</v>
      </c>
      <c r="G12" s="14">
        <f>ROUND(F12*0.21,2)</f>
        <v/>
      </c>
      <c r="H12" s="14">
        <f>F12+G12</f>
        <v/>
      </c>
      <c r="I12" s="14">
        <f>E12*H12</f>
        <v/>
      </c>
      <c r="J12" s="15" t="n">
        <v>17</v>
      </c>
      <c r="K12" s="15" t="n">
        <v>2</v>
      </c>
      <c r="L12" s="15" t="n">
        <v>90</v>
      </c>
      <c r="M12" s="16">
        <f>J12/L12</f>
        <v/>
      </c>
      <c r="N12" s="14">
        <f>ROUND(I12*0.05,2)</f>
        <v/>
      </c>
      <c r="O12" s="12" t="n">
        <v>13.54</v>
      </c>
      <c r="P12" s="14">
        <f>(I12-N12)*(O12-1)-N12</f>
        <v/>
      </c>
      <c r="Q12" s="14">
        <f>P12/2</f>
        <v/>
      </c>
      <c r="R12" s="17" t="n"/>
    </row>
    <row r="13" ht="19.8" customHeight="1">
      <c r="A13" s="11" t="inlineStr">
        <is>
          <t>Revoque exterior (I+J+E)</t>
        </is>
      </c>
      <c r="B13" s="12" t="n">
        <v>49</v>
      </c>
      <c r="C13" s="18" t="n"/>
      <c r="D13" s="12" t="inlineStr">
        <is>
          <t>-</t>
        </is>
      </c>
      <c r="E13" s="13">
        <f>B13</f>
        <v/>
      </c>
      <c r="F13" s="14" t="n">
        <v>4160.39</v>
      </c>
      <c r="G13" s="14">
        <f>ROUND(F13*0.21,2)</f>
        <v/>
      </c>
      <c r="H13" s="14">
        <f>F13+G13</f>
        <v/>
      </c>
      <c r="I13" s="14">
        <f>E13*H13</f>
        <v/>
      </c>
      <c r="J13" s="15" t="n">
        <v>17</v>
      </c>
      <c r="K13" s="15" t="n">
        <v>2</v>
      </c>
      <c r="L13" s="15" t="n">
        <v>40</v>
      </c>
      <c r="M13" s="16">
        <f>J13/L13</f>
        <v/>
      </c>
      <c r="N13" s="14" t="inlineStr">
        <is>
          <t>-</t>
        </is>
      </c>
      <c r="O13" s="12" t="n">
        <v>32.49</v>
      </c>
      <c r="P13" s="14">
        <f>I13*(O13-1)</f>
        <v/>
      </c>
      <c r="Q13" s="14">
        <f>P13/2</f>
        <v/>
      </c>
      <c r="R13" s="17" t="n"/>
    </row>
    <row r="14" ht="19.8" customHeight="1">
      <c r="A14" s="19" t="inlineStr">
        <is>
          <t>Revoque interior  (J+E)</t>
        </is>
      </c>
      <c r="B14" s="20" t="n">
        <v>49</v>
      </c>
      <c r="C14" s="21" t="n"/>
      <c r="D14" s="20" t="inlineStr">
        <is>
          <t>-</t>
        </is>
      </c>
      <c r="E14" s="22">
        <f>B14</f>
        <v/>
      </c>
      <c r="F14" s="23" t="n">
        <v>3194.01</v>
      </c>
      <c r="G14" s="23">
        <f>ROUND(F14*0.21,2)</f>
        <v/>
      </c>
      <c r="H14" s="23">
        <f>F14+G14</f>
        <v/>
      </c>
      <c r="I14" s="23">
        <f>E14*H14</f>
        <v/>
      </c>
      <c r="J14" s="24" t="n">
        <v>17</v>
      </c>
      <c r="K14" s="24" t="n">
        <v>2</v>
      </c>
      <c r="L14" s="24" t="n">
        <v>60</v>
      </c>
      <c r="M14" s="25">
        <f>J14/L14</f>
        <v/>
      </c>
      <c r="N14" s="23" t="inlineStr">
        <is>
          <t>-</t>
        </is>
      </c>
      <c r="O14" s="20" t="n">
        <v>19.99</v>
      </c>
      <c r="P14" s="23">
        <f>I14*(O14-1)</f>
        <v/>
      </c>
      <c r="Q14" s="23">
        <f>P14/2</f>
        <v/>
      </c>
      <c r="R14" s="17" t="n"/>
    </row>
    <row r="15" ht="28.4" customHeight="1">
      <c r="A15" s="2" t="inlineStr">
        <is>
          <t>TOTAL A LIQUIDAR POR DERECHOS DE MEDIANERÍA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6">
        <f>SUM(Q6:Q14)</f>
        <v/>
      </c>
      <c r="R15" s="27" t="n"/>
    </row>
    <row r="16" ht="19.8" customHeight="1"/>
    <row r="17" ht="19.8" customHeight="1">
      <c r="E17" s="28" t="inlineStr">
        <is>
          <t>Valor de Reposición total</t>
        </is>
      </c>
      <c r="F17" s="8" t="n"/>
      <c r="G17" s="8" t="n"/>
      <c r="H17" s="8" t="n"/>
      <c r="I17" s="29">
        <f>SUM(I6:I14)</f>
        <v/>
      </c>
    </row>
    <row r="18" ht="19.8" customHeight="1">
      <c r="E18" s="30" t="inlineStr">
        <is>
          <t>Honorarios (10%)</t>
        </is>
      </c>
      <c r="F18" s="24" t="n"/>
      <c r="G18" s="24" t="n"/>
      <c r="H18" s="24" t="n"/>
      <c r="I18" s="31">
        <f>ROUND(I17*0.1,2)</f>
        <v/>
      </c>
    </row>
    <row r="19" ht="19.8" customHeight="1"/>
    <row r="20" ht="19.8" customHeight="1"/>
    <row r="21" ht="19.8" customHeight="1">
      <c r="A21" s="32" t="inlineStr">
        <is>
          <t>NOTA: En el monto definido está incluido el IVA correspondiente. Los honorarios profesionales, un 10% (Diez por ciento) del valor de reposición del muro, se liquidan por separado.</t>
        </is>
      </c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4" t="n"/>
    </row>
    <row r="22" ht="19.8" customHeight="1"/>
    <row r="23" ht="54" customHeight="1">
      <c r="A23" s="35" t="inlineStr">
        <is>
          <t>Por lo tanto el Sr. "A" abonará al Sr. "1" la mitad del valor actual del muro depreciado según lo indicado en la Planilla superior, o sea la suma de Once millones, ochocientos veintidós mil quinientos cincuenta y un pesos con sesenta y dos centavos para lo cual se extiende el siguiente recibo de pago.</t>
        </is>
      </c>
    </row>
    <row r="24" ht="54" customHeight="1">
      <c r="A24" s="35" t="inlineStr">
        <is>
          <t>En prueba de conformidad se firman 3 (tres) ejemplares de un mismo tenor y a un solo efecto, en la ciudad de Rosario, (Pcia. De Santa Fe) a los 10 días del mes de Enero del año 2023, quedando el original en poder del Sr. "A", el duplicado en poder del Sr. "1", y el triplicado en poder del Arquitecto Liquidador.</t>
        </is>
      </c>
    </row>
  </sheetData>
  <mergeCells count="12">
    <mergeCell ref="B13:C13"/>
    <mergeCell ref="E17:H17"/>
    <mergeCell ref="E18:H18"/>
    <mergeCell ref="R4:R5"/>
    <mergeCell ref="A21:Q21"/>
    <mergeCell ref="A4:A5"/>
    <mergeCell ref="B4:Q4"/>
    <mergeCell ref="A24:Q24"/>
    <mergeCell ref="B14:C14"/>
    <mergeCell ref="A15:P15"/>
    <mergeCell ref="A23:Q23"/>
    <mergeCell ref="B12:C1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2026-10-29T23:30:41Z</dcterms:created>
  <dcterms:modified xmlns:dcterms="http://purl.org/dc/terms/" xmlns:xsi="http://www.w3.org/2001/XMLSchema-instance" xsi:type="dcterms:W3CDTF">2026-10-29T23:30:41Z</dcterms:modified>
</cp:coreProperties>
</file>