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Planilla losas" sheetId="2" state="visible" r:id="rId2"/>
    <sheet xmlns:r="http://schemas.openxmlformats.org/officeDocument/2006/relationships" name="Memoria" sheetId="3" state="visible" r:id="rId3"/>
  </sheets>
  <definedNames>
    <definedName name="_xlnm.Print_Titles" localSheetId="1">'Planilla losas'!$1:$3</definedName>
    <definedName name="_xlnm.Print_Area" localSheetId="1">'Planilla losas'!$A$1:$R$13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"/>
  </numFmts>
  <fonts count="10">
    <font>
      <name val="Calibri"/>
      <family val="2"/>
      <color theme="1"/>
      <sz val="11"/>
      <scheme val="minor"/>
    </font>
    <font>
      <b val="1"/>
      <sz val="13"/>
    </font>
    <font>
      <sz val="9"/>
    </font>
    <font>
      <b val="1"/>
      <sz val="10"/>
    </font>
    <font>
      <sz val="10"/>
    </font>
    <font>
      <b val="1"/>
      <sz val="9"/>
    </font>
    <font>
      <sz val="8"/>
    </font>
    <font>
      <b val="1"/>
      <sz val="12"/>
    </font>
    <font>
      <b val="1"/>
      <sz val="8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FFE699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6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7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5" pivotButton="0" quotePrefix="0" xfId="0"/>
    <xf numFmtId="0" fontId="5" fillId="0" borderId="5" applyAlignment="1" pivotButton="0" quotePrefix="0" xfId="0">
      <alignment horizontal="center" vertical="center" wrapText="1"/>
    </xf>
    <xf numFmtId="2" fontId="2" fillId="5" borderId="5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1" fontId="2" fillId="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166" fontId="2" fillId="0" borderId="5" applyAlignment="1" pivotButton="0" quotePrefix="0" xfId="0">
      <alignment horizontal="center" vertical="center" wrapText="1"/>
    </xf>
    <xf numFmtId="2" fontId="2" fillId="0" borderId="5" applyAlignment="1" pivotButton="0" quotePrefix="0" xfId="0">
      <alignment horizontal="center" vertical="center" wrapText="1"/>
    </xf>
    <xf numFmtId="0" fontId="6" fillId="6" borderId="5" applyAlignment="1" pivotButton="0" quotePrefix="0" xfId="0">
      <alignment horizontal="left" vertical="center" wrapText="1"/>
    </xf>
    <xf numFmtId="0" fontId="9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2095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</row>
      <rowOff>0</rowOff>
    </from>
    <ext cx="20955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</row>
      <rowOff>0</rowOff>
    </from>
    <ext cx="2095500" cy="57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</row>
      <rowOff>0</rowOff>
    </from>
    <ext cx="2095500" cy="571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</row>
      <rowOff>0</rowOff>
    </from>
    <ext cx="2095500" cy="571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</row>
      <rowOff>0</rowOff>
    </from>
    <ext cx="2095500" cy="571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</row>
      <rowOff>0</rowOff>
    </from>
    <ext cx="2095500" cy="571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</row>
      <rowOff>0</rowOff>
    </from>
    <ext cx="2095500" cy="571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</row>
      <rowOff>0</rowOff>
    </from>
    <ext cx="2095500" cy="571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</row>
      <rowOff>0</rowOff>
    </from>
    <ext cx="2095500" cy="571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1" customWidth="1" min="3" max="3"/>
    <col width="13" customWidth="1" min="4" max="4"/>
    <col width="13" customWidth="1" min="5" max="5"/>
    <col width="52" customWidth="1" min="6" max="6"/>
  </cols>
  <sheetData>
    <row r="1">
      <c r="A1" s="1" t="inlineStr">
        <is>
          <t>DATOS DE PARTIDA - LOSAS</t>
        </is>
      </c>
    </row>
    <row r="2">
      <c r="A2" s="2" t="inlineStr">
        <is>
          <t>Celdas verdes: editables. La planilla recalcula sola.</t>
        </is>
      </c>
    </row>
    <row r="4">
      <c r="A4" s="3" t="inlineStr">
        <is>
          <t>MATERIALES Y METODO</t>
        </is>
      </c>
      <c r="B4" s="4" t="inlineStr">
        <is>
          <t>valor</t>
        </is>
      </c>
      <c r="C4" s="4" t="inlineStr">
        <is>
          <t>unidad</t>
        </is>
      </c>
    </row>
    <row r="5">
      <c r="A5" s="5" t="inlineStr">
        <is>
          <t>Hormigon H-21   f'c</t>
        </is>
      </c>
      <c r="B5" s="6" t="n">
        <v>210</v>
      </c>
      <c r="C5" s="7" t="inlineStr">
        <is>
          <t>kg/cm2</t>
        </is>
      </c>
    </row>
    <row r="6">
      <c r="A6" s="5" t="inlineStr">
        <is>
          <t>Acero 42/50   fy</t>
        </is>
      </c>
      <c r="B6" s="6" t="n">
        <v>4200</v>
      </c>
      <c r="C6" s="7" t="inlineStr">
        <is>
          <t>kg/cm2</t>
        </is>
      </c>
    </row>
    <row r="7">
      <c r="A7" s="5" t="inlineStr">
        <is>
          <t>Tension admisible del acero</t>
        </is>
      </c>
      <c r="B7" s="6" t="n">
        <v>2400</v>
      </c>
      <c r="C7" s="7" t="inlineStr">
        <is>
          <t>kg/cm2</t>
        </is>
      </c>
    </row>
    <row r="8">
      <c r="A8" s="5" t="inlineStr">
        <is>
          <t>Brazo elastico  z / h</t>
        </is>
      </c>
      <c r="B8" s="6" t="n">
        <v>0.9</v>
      </c>
      <c r="C8" s="7" t="inlineStr">
        <is>
          <t>-</t>
        </is>
      </c>
    </row>
    <row r="9">
      <c r="A9" s="5" t="inlineStr">
        <is>
          <t>Peso especifico H.A.</t>
        </is>
      </c>
      <c r="B9" s="6" t="n">
        <v>2400</v>
      </c>
      <c r="C9" s="7" t="inlineStr">
        <is>
          <t>kg/m3</t>
        </is>
      </c>
    </row>
    <row r="10">
      <c r="A10" s="5" t="inlineStr">
        <is>
          <t>Recubrimiento</t>
        </is>
      </c>
      <c r="B10" s="6" t="n">
        <v>1.5</v>
      </c>
      <c r="C10" s="7" t="inlineStr">
        <is>
          <t>cm</t>
        </is>
      </c>
    </row>
    <row r="11">
      <c r="A11" s="5" t="inlineStr">
        <is>
          <t>Separacion maxima</t>
        </is>
      </c>
      <c r="B11" s="6" t="n">
        <v>20</v>
      </c>
      <c r="C11" s="7" t="inlineStr">
        <is>
          <t>cm</t>
        </is>
      </c>
    </row>
    <row r="12">
      <c r="A12" s="5" t="inlineStr">
        <is>
          <t>Armadura de reparticion</t>
        </is>
      </c>
      <c r="B12" s="6" t="n">
        <v>0.2</v>
      </c>
      <c r="C12" s="7" t="inlineStr">
        <is>
          <t>de la principal</t>
        </is>
      </c>
    </row>
    <row r="13">
      <c r="A13" s="5" t="inlineStr">
        <is>
          <t>Reparticion minima</t>
        </is>
      </c>
      <c r="B13" s="6" t="n">
        <v>0.3</v>
      </c>
      <c r="C13" s="7" t="inlineStr">
        <is>
          <t>cm2/m</t>
        </is>
      </c>
    </row>
    <row r="15">
      <c r="A15" s="3" t="inlineStr">
        <is>
          <t>CARGAS POR NIVEL</t>
        </is>
      </c>
      <c r="B15" s="8" t="inlineStr">
        <is>
          <t>terminaciones (kg/m2)</t>
        </is>
      </c>
      <c r="C15" s="8" t="inlineStr">
        <is>
          <t>q (kg/m2)</t>
        </is>
      </c>
      <c r="D15" s="8" t="inlineStr">
        <is>
          <t>composicion</t>
        </is>
      </c>
    </row>
    <row r="16">
      <c r="A16" s="9" t="inlineStr">
        <is>
          <t>S/PB</t>
        </is>
      </c>
      <c r="B16" s="6" t="n">
        <v>242</v>
      </c>
      <c r="C16" s="6" t="n">
        <v>200</v>
      </c>
      <c r="D16" s="10" t="inlineStr">
        <is>
          <t>Contrapiso 130 + carpeta 42 + piso 50 + cielorraso 20.  q vivienda 200</t>
        </is>
      </c>
    </row>
    <row r="17">
      <c r="A17" s="9" t="inlineStr">
        <is>
          <t>S/PA</t>
        </is>
      </c>
      <c r="B17" s="6" t="n">
        <v>252</v>
      </c>
      <c r="C17" s="6" t="n">
        <v>100</v>
      </c>
      <c r="D17" s="10" t="inlineStr">
        <is>
          <t>Contrapiso pendiente 140 + carpeta 42 + aislacion 50 + cielorraso 20.  q azotea 100</t>
        </is>
      </c>
    </row>
    <row r="18">
      <c r="A18" s="11" t="inlineStr">
        <is>
          <t>El peso propio se suma aparte: 2400 x d / 100</t>
        </is>
      </c>
    </row>
    <row r="20">
      <c r="A20" s="3" t="inlineStr">
        <is>
          <t>GRADO DE EMPOTRAMIENTO</t>
        </is>
      </c>
      <c r="B20" s="8" t="inlineStr">
        <is>
          <t>coef. M</t>
        </is>
      </c>
      <c r="C20" s="8" t="inlineStr">
        <is>
          <t>coef. R</t>
        </is>
      </c>
      <c r="D20" s="8" t="inlineStr">
        <is>
          <t>esquema</t>
        </is>
      </c>
    </row>
    <row r="21">
      <c r="A21" s="12" t="inlineStr">
        <is>
          <t>1/8</t>
        </is>
      </c>
      <c r="B21" s="13" t="n">
        <v>0.125</v>
      </c>
      <c r="C21" s="14" t="n">
        <v>0.5</v>
      </c>
      <c r="D21" s="15" t="inlineStr">
        <is>
          <t>Simplemente apoyada</t>
        </is>
      </c>
    </row>
    <row r="22">
      <c r="A22" s="12" t="inlineStr">
        <is>
          <t>1/10</t>
        </is>
      </c>
      <c r="B22" s="13" t="n">
        <v>0.1</v>
      </c>
      <c r="C22" s="14" t="n">
        <v>0.55</v>
      </c>
      <c r="D22" s="15" t="inlineStr">
        <is>
          <t>Continua</t>
        </is>
      </c>
    </row>
    <row r="23">
      <c r="A23" s="12" t="inlineStr">
        <is>
          <t>1/12</t>
        </is>
      </c>
      <c r="B23" s="13" t="n">
        <v>0.0833</v>
      </c>
      <c r="C23" s="14" t="n">
        <v>0.5</v>
      </c>
      <c r="D23" s="15" t="inlineStr">
        <is>
          <t>Biempotrada</t>
        </is>
      </c>
    </row>
    <row r="24">
      <c r="A24" s="12" t="inlineStr">
        <is>
          <t>1/14</t>
        </is>
      </c>
      <c r="B24" s="13" t="n">
        <v>0.07140000000000001</v>
      </c>
      <c r="C24" s="14" t="n">
        <v>0.575</v>
      </c>
      <c r="D24" s="15" t="inlineStr">
        <is>
          <t>Continua</t>
        </is>
      </c>
    </row>
    <row r="25">
      <c r="A25" s="12" t="inlineStr">
        <is>
          <t>1/2</t>
        </is>
      </c>
      <c r="B25" s="13" t="n">
        <v>0.5</v>
      </c>
      <c r="C25" s="14" t="n">
        <v>1</v>
      </c>
      <c r="D25" s="15" t="inlineStr">
        <is>
          <t>Voladizo</t>
        </is>
      </c>
    </row>
    <row r="27">
      <c r="A27" s="11" t="inlineStr">
        <is>
          <t>p = peso propio + terminaciones + q   (cargas de servicio)</t>
        </is>
      </c>
    </row>
    <row r="28">
      <c r="A28" s="11" t="inlineStr">
        <is>
          <t>M = coef x p x L2        R = coef x p x L        As = M x 100 / (2400 x 0,9 x h)        rep. = As / 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1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13" customWidth="1" min="4" max="4"/>
    <col width="9" customWidth="1" min="5" max="5"/>
    <col width="32" customWidth="1" min="6" max="6"/>
    <col width="6" customWidth="1" min="7" max="7"/>
    <col width="6" customWidth="1" min="8" max="8"/>
    <col width="12" customWidth="1" min="9" max="9"/>
    <col width="8" customWidth="1" min="10" max="10"/>
    <col width="6" customWidth="1" min="11" max="11"/>
    <col width="8" customWidth="1" min="12" max="12"/>
    <col width="8" customWidth="1" min="13" max="13"/>
    <col width="6" customWidth="1" min="14" max="14"/>
    <col width="8" customWidth="1" min="15" max="15"/>
    <col width="9" customWidth="1" min="16" max="16"/>
    <col width="9" customWidth="1" min="17" max="17"/>
    <col width="34" customWidth="1" min="18" max="18"/>
  </cols>
  <sheetData>
    <row r="1" ht="22" customHeight="1">
      <c r="A1" s="16" t="inlineStr">
        <is>
          <t>LOSAS DE H°A°   H-21   ACERO 42/50</t>
        </is>
      </c>
    </row>
    <row r="2" ht="16" customHeight="1">
      <c r="A2" s="8" t="inlineStr">
        <is>
          <t>NIVEL</t>
        </is>
      </c>
      <c r="B2" s="8" t="inlineStr">
        <is>
          <t>POSICION</t>
        </is>
      </c>
      <c r="C2" s="8" t="inlineStr">
        <is>
          <t>LUZ (m)</t>
        </is>
      </c>
      <c r="D2" s="8" t="inlineStr">
        <is>
          <t>GRADO DE EMPOTRAMIENTO</t>
        </is>
      </c>
      <c r="E2" s="8" t="inlineStr">
        <is>
          <t>CARGAS (kg/m)</t>
        </is>
      </c>
      <c r="F2" s="17" t="n"/>
      <c r="G2" s="8" t="inlineStr">
        <is>
          <t>DIMENSIONES</t>
        </is>
      </c>
      <c r="H2" s="17" t="n"/>
      <c r="I2" s="8" t="inlineStr">
        <is>
          <t>MOMENTO TRAMO (kgm)</t>
        </is>
      </c>
      <c r="J2" s="8" t="inlineStr">
        <is>
          <t>ARMADURA PRINCIPAL</t>
        </is>
      </c>
      <c r="K2" s="17" t="n"/>
      <c r="L2" s="17" t="n"/>
      <c r="M2" s="8" t="inlineStr">
        <is>
          <t>ARMADURA REPARTICION</t>
        </is>
      </c>
      <c r="N2" s="17" t="n"/>
      <c r="O2" s="17" t="n"/>
      <c r="P2" s="8" t="inlineStr">
        <is>
          <t>REACCIONES (kg)</t>
        </is>
      </c>
      <c r="Q2" s="17" t="n"/>
      <c r="R2" s="8" t="inlineStr">
        <is>
          <t>OBSERVACIONES</t>
        </is>
      </c>
    </row>
    <row r="3" ht="30" customHeight="1">
      <c r="A3" s="17" t="n"/>
      <c r="B3" s="17" t="n"/>
      <c r="C3" s="17" t="n"/>
      <c r="D3" s="17" t="n"/>
      <c r="E3" s="18" t="inlineStr">
        <is>
          <t>p</t>
        </is>
      </c>
      <c r="F3" s="18" t="inlineStr">
        <is>
          <t>diagrama</t>
        </is>
      </c>
      <c r="G3" s="18" t="inlineStr">
        <is>
          <t>h</t>
        </is>
      </c>
      <c r="H3" s="18" t="inlineStr">
        <is>
          <t>d</t>
        </is>
      </c>
      <c r="I3" s="17" t="n"/>
      <c r="J3" s="18" t="inlineStr">
        <is>
          <t>cm2</t>
        </is>
      </c>
      <c r="K3" s="18" t="inlineStr">
        <is>
          <t>o</t>
        </is>
      </c>
      <c r="L3" s="18" t="inlineStr">
        <is>
          <t>separ</t>
        </is>
      </c>
      <c r="M3" s="18" t="inlineStr">
        <is>
          <t>cm2</t>
        </is>
      </c>
      <c r="N3" s="18" t="inlineStr">
        <is>
          <t>o</t>
        </is>
      </c>
      <c r="O3" s="18" t="inlineStr">
        <is>
          <t>separ</t>
        </is>
      </c>
      <c r="P3" s="18" t="inlineStr">
        <is>
          <t>Rx</t>
        </is>
      </c>
      <c r="Q3" s="18" t="inlineStr">
        <is>
          <t>Ry</t>
        </is>
      </c>
      <c r="R3" s="17" t="n"/>
    </row>
    <row r="4" ht="46" customHeight="1">
      <c r="A4" s="19" t="inlineStr">
        <is>
          <t>S/PB</t>
        </is>
      </c>
      <c r="B4" s="20" t="inlineStr">
        <is>
          <t>L01</t>
        </is>
      </c>
      <c r="C4" s="21" t="n"/>
      <c r="D4" s="22" t="inlineStr">
        <is>
          <t>1/8</t>
        </is>
      </c>
      <c r="E4" s="23">
        <f>Datos!$B$9*H4/100+VLOOKUP($A$4,Datos!$A$16:$C$17,2,0)+VLOOKUP($A$4,Datos!$A$16:$C$17,3,0)</f>
        <v/>
      </c>
      <c r="F4" s="7" t="n"/>
      <c r="G4" s="24">
        <f>H4-Datos!$B$10</f>
        <v/>
      </c>
      <c r="H4" s="22" t="n">
        <v>11</v>
      </c>
      <c r="I4" s="23">
        <f>IF(C4="","",VLOOKUP(D4,Datos!$A$21:$D$25,2,0)*E4*C4^2)</f>
        <v/>
      </c>
      <c r="J4" s="25">
        <f>IF(I4="","",MAX(I4*100/(Datos!$B$7*Datos!$B$8*G4),Datos!$B$13))</f>
        <v/>
      </c>
      <c r="K4" s="22" t="n">
        <v>12</v>
      </c>
      <c r="L4" s="7">
        <f>IF(J4="","",MIN(Datos!$B$11,ROUND(100*PI()*(K4/10)^2/4/J4,0)))</f>
        <v/>
      </c>
      <c r="M4" s="25">
        <f>IF(J4="","",MAX(Datos!$B$12*J4,Datos!$B$13))</f>
        <v/>
      </c>
      <c r="N4" s="22" t="n">
        <v>6</v>
      </c>
      <c r="O4" s="7">
        <f>IF(M4="","",MIN(Datos!$B$11,ROUND(100*PI()*(N4/10)^2/4/M4,0)))</f>
        <v/>
      </c>
      <c r="P4" s="23">
        <f>IF(C4="","",VLOOKUP(D4,Datos!$A$21:$D$25,3,0)*E4*C4)</f>
        <v/>
      </c>
      <c r="Q4" s="23">
        <f>IF(C4="","",IF(VLOOKUP(D4,Datos!$A$21:$D$25,4,0)="Voladizo","---",P4))</f>
        <v/>
      </c>
      <c r="R4" s="26" t="inlineStr">
        <is>
          <t>Falta la luz: completar en la columna LUZ y recalcula todo.</t>
        </is>
      </c>
    </row>
    <row r="5" ht="46" customHeight="1">
      <c r="A5" s="27" t="n"/>
      <c r="B5" s="20" t="inlineStr">
        <is>
          <t>L02</t>
        </is>
      </c>
      <c r="C5" s="21" t="n"/>
      <c r="D5" s="22" t="inlineStr">
        <is>
          <t>1/8</t>
        </is>
      </c>
      <c r="E5" s="23">
        <f>Datos!$B$9*H5/100+VLOOKUP($A$4,Datos!$A$16:$C$17,2,0)+VLOOKUP($A$4,Datos!$A$16:$C$17,3,0)</f>
        <v/>
      </c>
      <c r="F5" s="7" t="n"/>
      <c r="G5" s="24">
        <f>H5-Datos!$B$10</f>
        <v/>
      </c>
      <c r="H5" s="22" t="n">
        <v>9</v>
      </c>
      <c r="I5" s="23">
        <f>IF(C5="","",VLOOKUP(D5,Datos!$A$21:$D$25,2,0)*E5*C5^2)</f>
        <v/>
      </c>
      <c r="J5" s="25">
        <f>IF(I5="","",MAX(I5*100/(Datos!$B$7*Datos!$B$8*G5),Datos!$B$13))</f>
        <v/>
      </c>
      <c r="K5" s="22" t="n">
        <v>12</v>
      </c>
      <c r="L5" s="7">
        <f>IF(J5="","",MIN(Datos!$B$11,ROUND(100*PI()*(K5/10)^2/4/J5,0)))</f>
        <v/>
      </c>
      <c r="M5" s="25">
        <f>IF(J5="","",MAX(Datos!$B$12*J5,Datos!$B$13))</f>
        <v/>
      </c>
      <c r="N5" s="22" t="n">
        <v>6</v>
      </c>
      <c r="O5" s="7">
        <f>IF(M5="","",MIN(Datos!$B$11,ROUND(100*PI()*(N5/10)^2/4/M5,0)))</f>
        <v/>
      </c>
      <c r="P5" s="23">
        <f>IF(C5="","",VLOOKUP(D5,Datos!$A$21:$D$25,3,0)*E5*C5)</f>
        <v/>
      </c>
      <c r="Q5" s="23">
        <f>IF(C5="","",IF(VLOOKUP(D5,Datos!$A$21:$D$25,4,0)="Voladizo","---",P5))</f>
        <v/>
      </c>
      <c r="R5" s="26" t="inlineStr">
        <is>
          <t>Falta la luz: completar en la columna LUZ y recalcula todo.</t>
        </is>
      </c>
    </row>
    <row r="6" ht="46" customHeight="1">
      <c r="A6" s="27" t="n"/>
      <c r="B6" s="20" t="inlineStr">
        <is>
          <t>L03</t>
        </is>
      </c>
      <c r="C6" s="21" t="n"/>
      <c r="D6" s="22" t="inlineStr">
        <is>
          <t>1/8</t>
        </is>
      </c>
      <c r="E6" s="23">
        <f>Datos!$B$9*H6/100+VLOOKUP($A$4,Datos!$A$16:$C$17,2,0)+VLOOKUP($A$4,Datos!$A$16:$C$17,3,0)</f>
        <v/>
      </c>
      <c r="F6" s="7" t="n"/>
      <c r="G6" s="24">
        <f>H6-Datos!$B$10</f>
        <v/>
      </c>
      <c r="H6" s="22" t="n">
        <v>13</v>
      </c>
      <c r="I6" s="23">
        <f>IF(C6="","",VLOOKUP(D6,Datos!$A$21:$D$25,2,0)*E6*C6^2)</f>
        <v/>
      </c>
      <c r="J6" s="25">
        <f>IF(I6="","",MAX(I6*100/(Datos!$B$7*Datos!$B$8*G6),Datos!$B$13))</f>
        <v/>
      </c>
      <c r="K6" s="22" t="n">
        <v>12</v>
      </c>
      <c r="L6" s="7">
        <f>IF(J6="","",MIN(Datos!$B$11,ROUND(100*PI()*(K6/10)^2/4/J6,0)))</f>
        <v/>
      </c>
      <c r="M6" s="25">
        <f>IF(J6="","",MAX(Datos!$B$12*J6,Datos!$B$13))</f>
        <v/>
      </c>
      <c r="N6" s="22" t="n">
        <v>6</v>
      </c>
      <c r="O6" s="7">
        <f>IF(M6="","",MIN(Datos!$B$11,ROUND(100*PI()*(N6/10)^2/4/M6,0)))</f>
        <v/>
      </c>
      <c r="P6" s="23">
        <f>IF(C6="","",VLOOKUP(D6,Datos!$A$21:$D$25,3,0)*E6*C6)</f>
        <v/>
      </c>
      <c r="Q6" s="23">
        <f>IF(C6="","",IF(VLOOKUP(D6,Datos!$A$21:$D$25,4,0)="Voladizo","---",P6))</f>
        <v/>
      </c>
      <c r="R6" s="26" t="inlineStr">
        <is>
          <t>Falta la luz: completar en la columna LUZ y recalcula todo.</t>
        </is>
      </c>
    </row>
    <row r="7" ht="46" customHeight="1">
      <c r="A7" s="27" t="n"/>
      <c r="B7" s="20" t="inlineStr">
        <is>
          <t>L04</t>
        </is>
      </c>
      <c r="C7" s="21" t="n"/>
      <c r="D7" s="22" t="inlineStr">
        <is>
          <t>1/8</t>
        </is>
      </c>
      <c r="E7" s="23">
        <f>Datos!$B$9*H7/100+VLOOKUP($A$4,Datos!$A$16:$C$17,2,0)+VLOOKUP($A$4,Datos!$A$16:$C$17,3,0)</f>
        <v/>
      </c>
      <c r="F7" s="7" t="n"/>
      <c r="G7" s="24">
        <f>H7-Datos!$B$10</f>
        <v/>
      </c>
      <c r="H7" s="22" t="n">
        <v>11</v>
      </c>
      <c r="I7" s="23">
        <f>IF(C7="","",VLOOKUP(D7,Datos!$A$21:$D$25,2,0)*E7*C7^2)</f>
        <v/>
      </c>
      <c r="J7" s="25">
        <f>IF(I7="","",MAX(I7*100/(Datos!$B$7*Datos!$B$8*G7),Datos!$B$13))</f>
        <v/>
      </c>
      <c r="K7" s="22" t="n">
        <v>12</v>
      </c>
      <c r="L7" s="7">
        <f>IF(J7="","",MIN(Datos!$B$11,ROUND(100*PI()*(K7/10)^2/4/J7,0)))</f>
        <v/>
      </c>
      <c r="M7" s="25">
        <f>IF(J7="","",MAX(Datos!$B$12*J7,Datos!$B$13))</f>
        <v/>
      </c>
      <c r="N7" s="22" t="n">
        <v>6</v>
      </c>
      <c r="O7" s="7">
        <f>IF(M7="","",MIN(Datos!$B$11,ROUND(100*PI()*(N7/10)^2/4/M7,0)))</f>
        <v/>
      </c>
      <c r="P7" s="23">
        <f>IF(C7="","",VLOOKUP(D7,Datos!$A$21:$D$25,3,0)*E7*C7)</f>
        <v/>
      </c>
      <c r="Q7" s="23">
        <f>IF(C7="","",IF(VLOOKUP(D7,Datos!$A$21:$D$25,4,0)="Voladizo","---",P7))</f>
        <v/>
      </c>
      <c r="R7" s="26" t="inlineStr">
        <is>
          <t>Falta la luz: completar en la columna LUZ y recalcula todo.</t>
        </is>
      </c>
    </row>
    <row r="8" ht="46" customHeight="1">
      <c r="A8" s="27" t="n"/>
      <c r="B8" s="20" t="inlineStr">
        <is>
          <t>L05</t>
        </is>
      </c>
      <c r="C8" s="21" t="n"/>
      <c r="D8" s="22" t="inlineStr">
        <is>
          <t>1/8</t>
        </is>
      </c>
      <c r="E8" s="23">
        <f>Datos!$B$9*H8/100+VLOOKUP($A$4,Datos!$A$16:$C$17,2,0)+VLOOKUP($A$4,Datos!$A$16:$C$17,3,0)</f>
        <v/>
      </c>
      <c r="F8" s="7" t="n"/>
      <c r="G8" s="24">
        <f>H8-Datos!$B$10</f>
        <v/>
      </c>
      <c r="H8" s="22" t="n">
        <v>11</v>
      </c>
      <c r="I8" s="23">
        <f>IF(C8="","",VLOOKUP(D8,Datos!$A$21:$D$25,2,0)*E8*C8^2)</f>
        <v/>
      </c>
      <c r="J8" s="25">
        <f>IF(I8="","",MAX(I8*100/(Datos!$B$7*Datos!$B$8*G8),Datos!$B$13))</f>
        <v/>
      </c>
      <c r="K8" s="22" t="n">
        <v>12</v>
      </c>
      <c r="L8" s="7">
        <f>IF(J8="","",MIN(Datos!$B$11,ROUND(100*PI()*(K8/10)^2/4/J8,0)))</f>
        <v/>
      </c>
      <c r="M8" s="25">
        <f>IF(J8="","",MAX(Datos!$B$12*J8,Datos!$B$13))</f>
        <v/>
      </c>
      <c r="N8" s="22" t="n">
        <v>6</v>
      </c>
      <c r="O8" s="7">
        <f>IF(M8="","",MIN(Datos!$B$11,ROUND(100*PI()*(N8/10)^2/4/M8,0)))</f>
        <v/>
      </c>
      <c r="P8" s="23">
        <f>IF(C8="","",VLOOKUP(D8,Datos!$A$21:$D$25,3,0)*E8*C8)</f>
        <v/>
      </c>
      <c r="Q8" s="23">
        <f>IF(C8="","",IF(VLOOKUP(D8,Datos!$A$21:$D$25,4,0)="Voladizo","---",P8))</f>
        <v/>
      </c>
      <c r="R8" s="26" t="inlineStr">
        <is>
          <t>Falta la luz: completar en la columna LUZ y recalcula todo.</t>
        </is>
      </c>
    </row>
    <row r="9" ht="46" customHeight="1">
      <c r="A9" s="27" t="n"/>
      <c r="B9" s="20" t="inlineStr">
        <is>
          <t>L06</t>
        </is>
      </c>
      <c r="C9" s="21" t="n"/>
      <c r="D9" s="22" t="inlineStr">
        <is>
          <t>1/8</t>
        </is>
      </c>
      <c r="E9" s="23">
        <f>Datos!$B$9*H9/100+VLOOKUP($A$4,Datos!$A$16:$C$17,2,0)+VLOOKUP($A$4,Datos!$A$16:$C$17,3,0)</f>
        <v/>
      </c>
      <c r="F9" s="7" t="n"/>
      <c r="G9" s="24">
        <f>H9-Datos!$B$10</f>
        <v/>
      </c>
      <c r="H9" s="22" t="n">
        <v>8</v>
      </c>
      <c r="I9" s="23">
        <f>IF(C9="","",VLOOKUP(D9,Datos!$A$21:$D$25,2,0)*E9*C9^2)</f>
        <v/>
      </c>
      <c r="J9" s="25">
        <f>IF(I9="","",MAX(I9*100/(Datos!$B$7*Datos!$B$8*G9),Datos!$B$13))</f>
        <v/>
      </c>
      <c r="K9" s="22" t="n">
        <v>12</v>
      </c>
      <c r="L9" s="7">
        <f>IF(J9="","",MIN(Datos!$B$11,ROUND(100*PI()*(K9/10)^2/4/J9,0)))</f>
        <v/>
      </c>
      <c r="M9" s="25">
        <f>IF(J9="","",MAX(Datos!$B$12*J9,Datos!$B$13))</f>
        <v/>
      </c>
      <c r="N9" s="22" t="n">
        <v>6</v>
      </c>
      <c r="O9" s="7">
        <f>IF(M9="","",MIN(Datos!$B$11,ROUND(100*PI()*(N9/10)^2/4/M9,0)))</f>
        <v/>
      </c>
      <c r="P9" s="23">
        <f>IF(C9="","",VLOOKUP(D9,Datos!$A$21:$D$25,3,0)*E9*C9)</f>
        <v/>
      </c>
      <c r="Q9" s="23">
        <f>IF(C9="","",IF(VLOOKUP(D9,Datos!$A$21:$D$25,4,0)="Voladizo","---",P9))</f>
        <v/>
      </c>
      <c r="R9" s="26" t="inlineStr">
        <is>
          <t>Falta la luz: completar en la columna LUZ y recalcula todo.</t>
        </is>
      </c>
    </row>
    <row r="10" ht="46" customHeight="1">
      <c r="A10" s="27" t="n"/>
      <c r="B10" s="20" t="inlineStr">
        <is>
          <t>L07</t>
        </is>
      </c>
      <c r="C10" s="21" t="n"/>
      <c r="D10" s="22" t="inlineStr">
        <is>
          <t>1/8</t>
        </is>
      </c>
      <c r="E10" s="23">
        <f>Datos!$B$9*H10/100+VLOOKUP($A$4,Datos!$A$16:$C$17,2,0)+VLOOKUP($A$4,Datos!$A$16:$C$17,3,0)</f>
        <v/>
      </c>
      <c r="F10" s="7" t="n"/>
      <c r="G10" s="24">
        <f>H10-Datos!$B$10</f>
        <v/>
      </c>
      <c r="H10" s="22" t="n">
        <v>12</v>
      </c>
      <c r="I10" s="23">
        <f>IF(C10="","",VLOOKUP(D10,Datos!$A$21:$D$25,2,0)*E10*C10^2)</f>
        <v/>
      </c>
      <c r="J10" s="25">
        <f>IF(I10="","",MAX(I10*100/(Datos!$B$7*Datos!$B$8*G10),Datos!$B$13))</f>
        <v/>
      </c>
      <c r="K10" s="22" t="n">
        <v>12</v>
      </c>
      <c r="L10" s="7">
        <f>IF(J10="","",MIN(Datos!$B$11,ROUND(100*PI()*(K10/10)^2/4/J10,0)))</f>
        <v/>
      </c>
      <c r="M10" s="25">
        <f>IF(J10="","",MAX(Datos!$B$12*J10,Datos!$B$13))</f>
        <v/>
      </c>
      <c r="N10" s="22" t="n">
        <v>6</v>
      </c>
      <c r="O10" s="7">
        <f>IF(M10="","",MIN(Datos!$B$11,ROUND(100*PI()*(N10/10)^2/4/M10,0)))</f>
        <v/>
      </c>
      <c r="P10" s="23">
        <f>IF(C10="","",VLOOKUP(D10,Datos!$A$21:$D$25,3,0)*E10*C10)</f>
        <v/>
      </c>
      <c r="Q10" s="23">
        <f>IF(C10="","",IF(VLOOKUP(D10,Datos!$A$21:$D$25,4,0)="Voladizo","---",P10))</f>
        <v/>
      </c>
      <c r="R10" s="26" t="inlineStr">
        <is>
          <t>Falta la luz: completar en la columna LUZ y recalcula todo.</t>
        </is>
      </c>
    </row>
    <row r="11" ht="46" customHeight="1">
      <c r="A11" s="28" t="n"/>
      <c r="B11" s="29" t="inlineStr">
        <is>
          <t>L08</t>
        </is>
      </c>
      <c r="C11" s="30" t="n"/>
      <c r="D11" s="31" t="inlineStr">
        <is>
          <t>1/8</t>
        </is>
      </c>
      <c r="E11" s="32">
        <f>Datos!$B$9*H11/100+VLOOKUP($A$4,Datos!$A$16:$C$17,2,0)+VLOOKUP($A$4,Datos!$A$16:$C$17,3,0)</f>
        <v/>
      </c>
      <c r="F11" s="33" t="n"/>
      <c r="G11" s="34">
        <f>H11-Datos!$B$10</f>
        <v/>
      </c>
      <c r="H11" s="31" t="n">
        <v>10</v>
      </c>
      <c r="I11" s="32">
        <f>IF(C11="","",VLOOKUP(D11,Datos!$A$21:$D$25,2,0)*E11*C11^2)</f>
        <v/>
      </c>
      <c r="J11" s="35">
        <f>IF(I11="","",MAX(I11*100/(Datos!$B$7*Datos!$B$8*G11),Datos!$B$13))</f>
        <v/>
      </c>
      <c r="K11" s="31" t="n">
        <v>12</v>
      </c>
      <c r="L11" s="33">
        <f>IF(J11="","",MIN(Datos!$B$11,ROUND(100*PI()*(K11/10)^2/4/J11,0)))</f>
        <v/>
      </c>
      <c r="M11" s="35">
        <f>IF(J11="","",MAX(Datos!$B$12*J11,Datos!$B$13))</f>
        <v/>
      </c>
      <c r="N11" s="31" t="n">
        <v>6</v>
      </c>
      <c r="O11" s="33">
        <f>IF(M11="","",MIN(Datos!$B$11,ROUND(100*PI()*(N11/10)^2/4/M11,0)))</f>
        <v/>
      </c>
      <c r="P11" s="32">
        <f>IF(C11="","",VLOOKUP(D11,Datos!$A$21:$D$25,3,0)*E11*C11)</f>
        <v/>
      </c>
      <c r="Q11" s="32">
        <f>IF(C11="","",IF(VLOOKUP(D11,Datos!$A$21:$D$25,4,0)="Voladizo","---",P11))</f>
        <v/>
      </c>
      <c r="R11" s="36" t="inlineStr">
        <is>
          <t>Falta la luz: completar en la columna LUZ y recalcula todo.</t>
        </is>
      </c>
    </row>
    <row r="12" ht="46" customHeight="1">
      <c r="A12" s="19" t="inlineStr">
        <is>
          <t>S/PA</t>
        </is>
      </c>
      <c r="B12" s="20" t="inlineStr">
        <is>
          <t>L09</t>
        </is>
      </c>
      <c r="C12" s="21" t="n"/>
      <c r="D12" s="22" t="inlineStr">
        <is>
          <t>1/8</t>
        </is>
      </c>
      <c r="E12" s="23">
        <f>Datos!$B$9*H12/100+VLOOKUP($A$12,Datos!$A$16:$C$17,2,0)+VLOOKUP($A$12,Datos!$A$16:$C$17,3,0)</f>
        <v/>
      </c>
      <c r="F12" s="7" t="n"/>
      <c r="G12" s="24">
        <f>H12-Datos!$B$10</f>
        <v/>
      </c>
      <c r="H12" s="22" t="n">
        <v>13</v>
      </c>
      <c r="I12" s="23">
        <f>IF(C12="","",VLOOKUP(D12,Datos!$A$21:$D$25,2,0)*E12*C12^2)</f>
        <v/>
      </c>
      <c r="J12" s="25">
        <f>IF(I12="","",MAX(I12*100/(Datos!$B$7*Datos!$B$8*G12),Datos!$B$13))</f>
        <v/>
      </c>
      <c r="K12" s="22" t="n">
        <v>12</v>
      </c>
      <c r="L12" s="7">
        <f>IF(J12="","",MIN(Datos!$B$11,ROUND(100*PI()*(K12/10)^2/4/J12,0)))</f>
        <v/>
      </c>
      <c r="M12" s="25">
        <f>IF(J12="","",MAX(Datos!$B$12*J12,Datos!$B$13))</f>
        <v/>
      </c>
      <c r="N12" s="22" t="n">
        <v>6</v>
      </c>
      <c r="O12" s="7">
        <f>IF(M12="","",MIN(Datos!$B$11,ROUND(100*PI()*(N12/10)^2/4/M12,0)))</f>
        <v/>
      </c>
      <c r="P12" s="23">
        <f>IF(C12="","",VLOOKUP(D12,Datos!$A$21:$D$25,3,0)*E12*C12)</f>
        <v/>
      </c>
      <c r="Q12" s="23">
        <f>IF(C12="","",IF(VLOOKUP(D12,Datos!$A$21:$D$25,4,0)="Voladizo","---",P12))</f>
        <v/>
      </c>
      <c r="R12" s="26" t="inlineStr">
        <is>
          <t>Falta la luz: completar en la columna LUZ y recalcula todo.</t>
        </is>
      </c>
    </row>
    <row r="13" ht="46" customHeight="1">
      <c r="A13" s="28" t="n"/>
      <c r="B13" s="29" t="inlineStr">
        <is>
          <t>L10</t>
        </is>
      </c>
      <c r="C13" s="30" t="n"/>
      <c r="D13" s="31" t="inlineStr">
        <is>
          <t>1/8</t>
        </is>
      </c>
      <c r="E13" s="32">
        <f>Datos!$B$9*H13/100+VLOOKUP($A$12,Datos!$A$16:$C$17,2,0)+VLOOKUP($A$12,Datos!$A$16:$C$17,3,0)</f>
        <v/>
      </c>
      <c r="F13" s="33" t="n"/>
      <c r="G13" s="34">
        <f>H13-Datos!$B$10</f>
        <v/>
      </c>
      <c r="H13" s="31" t="n">
        <v>12</v>
      </c>
      <c r="I13" s="32">
        <f>IF(C13="","",VLOOKUP(D13,Datos!$A$21:$D$25,2,0)*E13*C13^2)</f>
        <v/>
      </c>
      <c r="J13" s="35">
        <f>IF(I13="","",MAX(I13*100/(Datos!$B$7*Datos!$B$8*G13),Datos!$B$13))</f>
        <v/>
      </c>
      <c r="K13" s="31" t="n">
        <v>12</v>
      </c>
      <c r="L13" s="33">
        <f>IF(J13="","",MIN(Datos!$B$11,ROUND(100*PI()*(K13/10)^2/4/J13,0)))</f>
        <v/>
      </c>
      <c r="M13" s="35">
        <f>IF(J13="","",MAX(Datos!$B$12*J13,Datos!$B$13))</f>
        <v/>
      </c>
      <c r="N13" s="31" t="n">
        <v>6</v>
      </c>
      <c r="O13" s="33">
        <f>IF(M13="","",MIN(Datos!$B$11,ROUND(100*PI()*(N13/10)^2/4/M13,0)))</f>
        <v/>
      </c>
      <c r="P13" s="32">
        <f>IF(C13="","",VLOOKUP(D13,Datos!$A$21:$D$25,3,0)*E13*C13)</f>
        <v/>
      </c>
      <c r="Q13" s="32">
        <f>IF(C13="","",IF(VLOOKUP(D13,Datos!$A$21:$D$25,4,0)="Voladizo","---",P13))</f>
        <v/>
      </c>
      <c r="R13" s="36" t="inlineStr">
        <is>
          <t>Falta la luz: completar en la columna LUZ y recalcula todo.</t>
        </is>
      </c>
    </row>
  </sheetData>
  <mergeCells count="14">
    <mergeCell ref="J2:L2"/>
    <mergeCell ref="A4:A11"/>
    <mergeCell ref="G2:H2"/>
    <mergeCell ref="E2:F2"/>
    <mergeCell ref="A12:A13"/>
    <mergeCell ref="P2:Q2"/>
    <mergeCell ref="D2:D3"/>
    <mergeCell ref="B2:B3"/>
    <mergeCell ref="A2:A3"/>
    <mergeCell ref="A1:R1"/>
    <mergeCell ref="C2:C3"/>
    <mergeCell ref="R2:R3"/>
    <mergeCell ref="M2:O2"/>
    <mergeCell ref="I2:I3"/>
  </mergeCells>
  <dataValidations count="2">
    <dataValidation sqref="D4:D13" showDropDown="0" showInputMessage="0" showErrorMessage="0" allowBlank="1" type="list">
      <formula1>=Datos!$A$21:$A$25</formula1>
    </dataValidation>
    <dataValidation sqref="K4:K13 N4:N13" showDropDown="0" showInputMessage="0" showErrorMessage="0" allowBlank="1" type="list">
      <formula1>"6,8,10,12,16"</formula1>
    </dataValidation>
  </dataValidation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37" t="inlineStr">
        <is>
          <t>MEMORIA DE CALCULO - LOSAS</t>
        </is>
      </c>
      <c r="B1" s="38" t="inlineStr"/>
    </row>
    <row r="2">
      <c r="A2" s="38" t="inlineStr"/>
      <c r="B2" s="39" t="inlineStr"/>
    </row>
    <row r="3">
      <c r="A3" s="38" t="inlineStr">
        <is>
          <t>METODO</t>
        </is>
      </c>
      <c r="B3" s="38" t="inlineStr">
        <is>
          <t>Tensiones admisibles, igual criterio que la planilla modelo de la catedra.</t>
        </is>
      </c>
    </row>
    <row r="4">
      <c r="A4" s="38" t="inlineStr"/>
      <c r="B4" s="39" t="inlineStr">
        <is>
          <t>Se verifico contra la fila de ejemplo: momentos y reacciones coinciden exactamente.</t>
        </is>
      </c>
    </row>
    <row r="5">
      <c r="A5" s="38" t="inlineStr">
        <is>
          <t>MATERIALES</t>
        </is>
      </c>
      <c r="B5" s="38" t="inlineStr">
        <is>
          <t>H-21 (f'c 210 kg/cm2). Acero 42/50 (fy 4200). Tension admisible 2400 kg/cm2.</t>
        </is>
      </c>
    </row>
    <row r="6">
      <c r="A6" s="38" t="inlineStr">
        <is>
          <t>DIMENSIONES</t>
        </is>
      </c>
      <c r="B6" s="38" t="inlineStr">
        <is>
          <t>h = altura util | d = espesor total. Recubrimiento 1,5 cm.</t>
        </is>
      </c>
    </row>
    <row r="7">
      <c r="A7" s="38" t="inlineStr"/>
      <c r="B7" s="39" t="inlineStr"/>
    </row>
    <row r="8">
      <c r="A8" s="38" t="inlineStr">
        <is>
          <t>1. CARGAS</t>
        </is>
      </c>
      <c r="B8" s="38" t="inlineStr">
        <is>
          <t>p = peso propio + terminaciones + q      (cargas de servicio, sin mayorar)</t>
        </is>
      </c>
    </row>
    <row r="9">
      <c r="A9" s="38" t="inlineStr"/>
      <c r="B9" s="39" t="inlineStr">
        <is>
          <t>Peso propio = 2400 x d / 100, calculado con el espesor propio de cada losa.</t>
        </is>
      </c>
    </row>
    <row r="10">
      <c r="A10" s="38" t="inlineStr">
        <is>
          <t>S/PB</t>
        </is>
      </c>
      <c r="B10" s="39" t="inlineStr">
        <is>
          <t>Terminaciones 242 kg/m2 (contrapiso 130 + carpeta 42 + piso 50 + cielorraso 20)</t>
        </is>
      </c>
    </row>
    <row r="11">
      <c r="A11" s="38" t="inlineStr"/>
      <c r="B11" s="39" t="inlineStr">
        <is>
          <t>q = 200 kg/m2 (vivienda)</t>
        </is>
      </c>
    </row>
    <row r="12">
      <c r="A12" s="38" t="inlineStr">
        <is>
          <t>S/PA</t>
        </is>
      </c>
      <c r="B12" s="39" t="inlineStr">
        <is>
          <t>Terminaciones 252 kg/m2 (contrapiso pendiente 140 + carpeta 42 + aislacion 50 +</t>
        </is>
      </c>
    </row>
    <row r="13">
      <c r="A13" s="38" t="inlineStr"/>
      <c r="B13" s="39" t="inlineStr">
        <is>
          <t>cielorraso 20).  q = 100 kg/m2 (azotea no accesible)</t>
        </is>
      </c>
    </row>
    <row r="14">
      <c r="A14" s="38" t="inlineStr"/>
      <c r="B14" s="39" t="inlineStr"/>
    </row>
    <row r="15">
      <c r="A15" s="38" t="inlineStr">
        <is>
          <t>2. SOLICITACIONES</t>
        </is>
      </c>
      <c r="B15" s="38" t="inlineStr">
        <is>
          <t>M = coeficiente x p x L2, segun el grado de empotramiento:</t>
        </is>
      </c>
    </row>
    <row r="16">
      <c r="A16" s="38" t="inlineStr"/>
      <c r="B16" s="39" t="inlineStr">
        <is>
          <t xml:space="preserve">  1/8 simplemente apoyada    1/10 y 1/14 continua    1/12 biempotrada    1/2 voladizo</t>
        </is>
      </c>
    </row>
    <row r="17">
      <c r="A17" s="38" t="inlineStr"/>
      <c r="B17" s="39" t="inlineStr">
        <is>
          <t>R = coeficiente x p x L. En voladizo Rx = p x L y Ry no corresponde.</t>
        </is>
      </c>
    </row>
    <row r="18">
      <c r="A18" s="38" t="inlineStr"/>
      <c r="B18" s="39" t="inlineStr"/>
    </row>
    <row r="19">
      <c r="A19" s="38" t="inlineStr">
        <is>
          <t>3. ARMADURA</t>
        </is>
      </c>
      <c r="B19" s="38" t="inlineStr">
        <is>
          <t>As = M x 100 / (2400 x 0,9 x h)        [cm2/m]</t>
        </is>
      </c>
    </row>
    <row r="20">
      <c r="A20" s="38" t="inlineStr"/>
      <c r="B20" s="39" t="inlineStr">
        <is>
          <t>separacion = 100 x area de la barra / As, redondeada, con maximo 20 cm</t>
        </is>
      </c>
    </row>
    <row r="21">
      <c r="A21" s="38" t="inlineStr"/>
      <c r="B21" s="39" t="inlineStr">
        <is>
          <t>Armadura de reparticion = As / 5, con un minimo de 0,30 cm2/m</t>
        </is>
      </c>
    </row>
    <row r="22">
      <c r="A22" s="38" t="inlineStr"/>
      <c r="B22" s="39" t="inlineStr"/>
    </row>
    <row r="23">
      <c r="A23" s="38" t="inlineStr">
        <is>
          <t>4. ESPESORES</t>
        </is>
      </c>
      <c r="B23" s="38" t="inlineStr">
        <is>
          <t>Los espesores d se leyeron del plano: estan escritos debajo del rotulo de cada losa.</t>
        </is>
      </c>
    </row>
    <row r="24">
      <c r="A24" s="38" t="inlineStr"/>
      <c r="B24" s="39" t="inlineStr">
        <is>
          <t>S/PB:  L01 11 | L02 9 | L03 13 | L04 11 | L05 11 | L06 8 | L07 12 | L08 10</t>
        </is>
      </c>
    </row>
    <row r="25">
      <c r="A25" s="38" t="inlineStr"/>
      <c r="B25" s="39" t="inlineStr">
        <is>
          <t>S/PA:  L09 13 | L10 12</t>
        </is>
      </c>
    </row>
    <row r="26">
      <c r="A26" s="38" t="inlineStr"/>
      <c r="B26" s="39" t="inlineStr"/>
    </row>
    <row r="27">
      <c r="A27" s="38" t="inlineStr">
        <is>
          <t>5. FALTA LA LUZ</t>
        </is>
      </c>
      <c r="B27" s="38" t="inlineStr">
        <is>
          <t>Es el unico dato que no se pudo obtener del plano. Las cruces dibujadas sobre</t>
        </is>
      </c>
    </row>
    <row r="28">
      <c r="A28" s="38" t="inlineStr"/>
      <c r="B28" s="39" t="inlineStr">
        <is>
          <t>la planta marcan vacios, no losas, y los rotulos no traen la luz acotada.</t>
        </is>
      </c>
    </row>
    <row r="29">
      <c r="A29" s="38" t="inlineStr"/>
      <c r="B29" s="39" t="inlineStr">
        <is>
          <t>Completar la columna LUZ (naranja) de cada losa: el resto se calcula solo.</t>
        </is>
      </c>
    </row>
    <row r="30">
      <c r="A30" s="38" t="inlineStr"/>
      <c r="B30" s="39" t="inlineStr">
        <is>
          <t>Ojo: la luz es la del sentido en que arma la losa, normalmente la luz corta.</t>
        </is>
      </c>
    </row>
    <row r="31">
      <c r="A31" s="38" t="inlineStr"/>
      <c r="B31" s="39" t="inlineStr"/>
    </row>
    <row r="32">
      <c r="A32" s="38" t="inlineStr">
        <is>
          <t>LIMITACIONES</t>
        </is>
      </c>
      <c r="B32" s="38" t="inlineStr">
        <is>
          <t>El grado de empotramiento viene precargado en 1/8 para todas. Corregirlo losa</t>
        </is>
      </c>
    </row>
    <row r="33">
      <c r="A33" s="38" t="inlineStr"/>
      <c r="B33" s="39" t="inlineStr">
        <is>
          <t>por losa segun las condiciones de borde reales (continuidad sobre vigas, voladizos).</t>
        </is>
      </c>
    </row>
    <row r="34">
      <c r="A34" s="38" t="inlineStr"/>
      <c r="B34" s="39" t="inlineStr">
        <is>
          <t>El diagrama de cargas es una imagen fija: si cambias el grado, cambialo a mano.</t>
        </is>
      </c>
    </row>
    <row r="35">
      <c r="A35" s="38" t="inlineStr"/>
      <c r="B35" s="39" t="inlineStr">
        <is>
          <t>Trabajo academico. Requiere verificacion y firma de profesional matriculado.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2026-10-20T19:41:49Z</dcterms:created>
  <dcterms:modified xmlns:dcterms="http://purl.org/dc/terms/" xmlns:xsi="http://www.w3.org/2001/XMLSchema-instance" xsi:type="dcterms:W3CDTF">2026-10-20T19:41:49Z</dcterms:modified>
</cp:coreProperties>
</file>