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termico'!$A$1:$F$420</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17"/>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    )</t>
        </is>
      </c>
      <c r="C11" s="9">
        <f>IF(COUNT(H11,I11)&lt;2,"",TEXT(H11,"0.00")&amp;" x "&amp;TEXT(I11,"0.00"))</f>
        <v/>
      </c>
      <c r="D11" s="8">
        <f>IF(COUNT(H11,I11)&lt;2,"",ROUND(H11*I11,2))</f>
        <v/>
      </c>
      <c r="E11" s="25" t="n">
        <v>20</v>
      </c>
      <c r="F11" s="28">
        <f>IF(D11="","",ROUND(D11*E11,1))</f>
        <v/>
      </c>
      <c r="G11" s="2" t="n"/>
      <c r="H11" s="35" t="n"/>
      <c r="I11" s="35" t="n"/>
    </row>
    <row r="12" ht="47" customHeight="1">
      <c r="A12" s="9" t="n"/>
      <c r="B12" s="34" t="inlineStr">
        <is>
          <t>AISLADAS (    )</t>
        </is>
      </c>
      <c r="C12" s="9">
        <f>IF(COUNT(H12,I12)&lt;2,"",TEXT(H12,"0.00")&amp;" x "&amp;TEXT(I12,"0.00"))</f>
        <v/>
      </c>
      <c r="D12" s="8">
        <f>IF(COUNT(H12,I12)&lt;2,"",ROUND(H12*I12,2))</f>
        <v/>
      </c>
      <c r="E12" s="25" t="n">
        <v>20</v>
      </c>
      <c r="F12" s="28">
        <f>IF(D12="","",ROUND(D12*E12,1))</f>
        <v/>
      </c>
      <c r="G12" s="2" t="n"/>
      <c r="H12" s="35" t="n"/>
      <c r="I12" s="35" t="n"/>
    </row>
    <row r="13" ht="47" customHeight="1">
      <c r="A13" s="9" t="n"/>
      <c r="B13" s="34" t="inlineStr">
        <is>
          <t>AISLADAS (    )</t>
        </is>
      </c>
      <c r="C13" s="9">
        <f>IF(COUNT(H13,I13)&lt;2,"",TEXT(H13,"0.00")&amp;" x "&amp;TEXT(I13,"0.00"))</f>
        <v/>
      </c>
      <c r="D13" s="8">
        <f>IF(COUNT(H13,I13)&lt;2,"",ROUND(H13*I13,2))</f>
        <v/>
      </c>
      <c r="E13" s="25" t="n">
        <v>20</v>
      </c>
      <c r="F13" s="28">
        <f>IF(D13="","",ROUND(D13*E13,1))</f>
        <v/>
      </c>
      <c r="G13" s="2" t="n"/>
      <c r="H13" s="35" t="n"/>
      <c r="I13" s="35" t="n"/>
    </row>
    <row r="14" ht="47" customHeight="1">
      <c r="A14" s="9" t="n"/>
      <c r="B14" s="34" t="inlineStr">
        <is>
          <t>AISLADAS (    )</t>
        </is>
      </c>
      <c r="C14" s="9">
        <f>IF(COUNT(H14,I14)&lt;2,"",TEXT(H14,"0.00")&amp;" x "&amp;TEXT(I14,"0.00"))</f>
        <v/>
      </c>
      <c r="D14" s="8">
        <f>IF(COUNT(H14,I14)&lt;2,"",ROUND(H14*I14,2))</f>
        <v/>
      </c>
      <c r="E14" s="25" t="n">
        <v>20</v>
      </c>
      <c r="F14" s="28">
        <f>IF(D14="","",ROUND(D14*E14,1))</f>
        <v/>
      </c>
      <c r="G14" s="2" t="n"/>
      <c r="H14" s="35" t="n"/>
      <c r="I14" s="35" t="n"/>
    </row>
    <row r="15" ht="47" customHeight="1">
      <c r="A15" s="9" t="n"/>
      <c r="B15" s="34" t="inlineStr">
        <is>
          <t>INTERIORES (    )</t>
        </is>
      </c>
      <c r="C15" s="9">
        <f>IF(COUNT(H15,I15)&lt;2,"",TEXT(H15,"0.00")&amp;" x "&amp;TEXT(I15,"0.00"))</f>
        <v/>
      </c>
      <c r="D15" s="8">
        <f>IF(COUNT(H15,I15)&lt;2,"",ROUND(H15*I15,2))</f>
        <v/>
      </c>
      <c r="E15" s="25" t="n">
        <v>25</v>
      </c>
      <c r="F15" s="28">
        <f>IF(D15="","",ROUND(D15*E15,1))</f>
        <v/>
      </c>
      <c r="G15" s="2" t="n"/>
      <c r="H15" s="35" t="n">
        <v>7.5</v>
      </c>
      <c r="I15" s="35" t="n">
        <v>3</v>
      </c>
    </row>
    <row r="16" ht="47" customHeight="1">
      <c r="A16" s="9" t="n"/>
      <c r="B16" s="34" t="inlineStr">
        <is>
          <t>INTERIORES (    )</t>
        </is>
      </c>
      <c r="C16" s="9">
        <f>IF(COUNT(H16,I16)&lt;2,"",TEXT(H16,"0.00")&amp;" x "&amp;TEXT(I16,"0.00"))</f>
        <v/>
      </c>
      <c r="D16" s="8">
        <f>IF(COUNT(H16,I16)&lt;2,"",ROUND(H16*I16,2))</f>
        <v/>
      </c>
      <c r="E16" s="25" t="n">
        <v>25</v>
      </c>
      <c r="F16" s="28">
        <f>IF(D16="","",ROUND(D16*E16,1))</f>
        <v/>
      </c>
      <c r="G16" s="2" t="n"/>
      <c r="H16" s="35" t="n">
        <v>3.5</v>
      </c>
      <c r="I16" s="35" t="n">
        <v>3</v>
      </c>
    </row>
    <row r="17" ht="47" customHeight="1">
      <c r="A17" s="9" t="n"/>
      <c r="B17" s="34" t="inlineStr">
        <is>
          <t>INTERIORES (    )</t>
        </is>
      </c>
      <c r="C17" s="9">
        <f>IF(COUNT(H17,I17)&lt;2,"",TEXT(H17,"0.00")&amp;" x "&amp;TEXT(I17,"0.00"))</f>
        <v/>
      </c>
      <c r="D17" s="8">
        <f>IF(COUNT(H17,I17)&lt;2,"",ROUND(H17*I17,2))</f>
        <v/>
      </c>
      <c r="E17" s="25" t="n">
        <v>25</v>
      </c>
      <c r="F17" s="28">
        <f>IF(D17="","",ROUND(D17*E17,1))</f>
        <v/>
      </c>
      <c r="G17" s="2" t="n"/>
      <c r="H17" s="35" t="n">
        <v>7.5</v>
      </c>
      <c r="I17" s="35" t="n">
        <v>3</v>
      </c>
    </row>
    <row r="18" ht="47" customHeight="1">
      <c r="A18" s="9" t="n"/>
      <c r="B18" s="34" t="inlineStr">
        <is>
          <t>INTERIORES (    )</t>
        </is>
      </c>
      <c r="C18" s="9">
        <f>IF(COUNT(H18,I18)&lt;2,"",TEXT(H18,"0.00")&amp;" x "&amp;TEXT(I18,"0.00"))</f>
        <v/>
      </c>
      <c r="D18" s="8">
        <f>IF(COUNT(H18,I18)&lt;2,"",ROUND(H18*I18,2))</f>
        <v/>
      </c>
      <c r="E18" s="25" t="n">
        <v>25</v>
      </c>
      <c r="F18" s="28">
        <f>IF(D18="","",ROUND(D18*E18,1))</f>
        <v/>
      </c>
      <c r="G18" s="2" t="n"/>
      <c r="H18" s="35" t="n">
        <v>3.5</v>
      </c>
      <c r="I18" s="35" t="n">
        <v>3</v>
      </c>
    </row>
    <row r="19" ht="39.7" customHeight="1">
      <c r="A19" s="16" t="inlineStr">
        <is>
          <t>3</t>
        </is>
      </c>
      <c r="B19" s="33" t="inlineStr">
        <is>
          <t>TECHOS O CIELORRASOS</t>
        </is>
      </c>
      <c r="C19" s="9" t="n"/>
      <c r="D19" s="9" t="n"/>
      <c r="E19" s="9" t="n"/>
      <c r="F19" s="9" t="n"/>
      <c r="G19" s="2" t="n"/>
      <c r="H19" s="2" t="n"/>
      <c r="I19" s="2" t="n"/>
    </row>
    <row r="20" ht="47" customHeight="1">
      <c r="A20" s="9" t="n"/>
      <c r="B20" s="34" t="inlineStr">
        <is>
          <t>TECHO NO AISLADO</t>
        </is>
      </c>
      <c r="C20" s="9" t="inlineStr"/>
      <c r="D20" s="8">
        <f>IF(COUNT(H20,I20)&lt;2,"",ROUND(H20*I20,2))</f>
        <v/>
      </c>
      <c r="E20" s="25" t="n">
        <v>30</v>
      </c>
      <c r="F20" s="28">
        <f>IF(D20="","",ROUND(D20*E20,1))</f>
        <v/>
      </c>
      <c r="G20" s="2" t="n"/>
      <c r="H20" s="35" t="n"/>
      <c r="I20" s="35" t="n"/>
    </row>
    <row r="21" ht="47" customHeight="1">
      <c r="A21" s="9" t="n"/>
      <c r="B21" s="34" t="inlineStr">
        <is>
          <t>TECHO AISLADO</t>
        </is>
      </c>
      <c r="C21" s="9" t="inlineStr"/>
      <c r="D21" s="8">
        <f>IF(COUNT(H21,I21)&lt;2,"",ROUND(H21*I21,2))</f>
        <v/>
      </c>
      <c r="E21" s="25" t="n">
        <v>20</v>
      </c>
      <c r="F21" s="28">
        <f>IF(D21="","",ROUND(D21*E21,1))</f>
        <v/>
      </c>
      <c r="G21" s="2" t="n"/>
      <c r="H21" s="35" t="n"/>
      <c r="I21" s="35" t="n"/>
    </row>
    <row r="22" ht="39.7" customHeight="1">
      <c r="A22" s="9" t="n"/>
      <c r="B22" s="34" t="inlineStr">
        <is>
          <t>TECHO ENTREPISO</t>
        </is>
      </c>
      <c r="C22" s="9" t="inlineStr">
        <is>
          <t>por croquis</t>
        </is>
      </c>
      <c r="D22" s="8" t="n">
        <v>26.25</v>
      </c>
      <c r="E22" s="25" t="n">
        <v>15</v>
      </c>
      <c r="F22" s="28">
        <f>IF(D22="","",ROUND(D22*E22,1))</f>
        <v/>
      </c>
      <c r="G22" s="2" t="n"/>
      <c r="H22" s="35" t="n"/>
      <c r="I22" s="35" t="n"/>
    </row>
    <row r="23" ht="39.7" customHeight="1">
      <c r="A23" s="16" t="inlineStr">
        <is>
          <t>4</t>
        </is>
      </c>
      <c r="B23" s="33" t="inlineStr">
        <is>
          <t>PISO</t>
        </is>
      </c>
      <c r="C23" s="9" t="n"/>
      <c r="D23" s="9" t="n"/>
      <c r="E23" s="9" t="n"/>
      <c r="F23" s="9" t="n"/>
      <c r="G23" s="2" t="n"/>
      <c r="H23" s="2" t="n"/>
      <c r="I23" s="2" t="n"/>
    </row>
    <row r="24" ht="39.7" customHeight="1">
      <c r="A24" s="9" t="n"/>
      <c r="B24" s="34" t="inlineStr">
        <is>
          <t>SOBRE TIERRA</t>
        </is>
      </c>
      <c r="C24" s="9" t="inlineStr">
        <is>
          <t>por croquis</t>
        </is>
      </c>
      <c r="D24" s="8" t="n">
        <v>26.25</v>
      </c>
      <c r="E24" s="25" t="n">
        <v>10</v>
      </c>
      <c r="F24" s="28">
        <f>IF(D24="","",ROUND(D24*E24,1))</f>
        <v/>
      </c>
      <c r="G24" s="2" t="n"/>
      <c r="H24" s="35" t="n"/>
      <c r="I24" s="35" t="n"/>
    </row>
    <row r="25" ht="47" customHeight="1">
      <c r="A25" s="9" t="n"/>
      <c r="B25" s="34" t="inlineStr">
        <is>
          <t>SOBRE LOCAL OCUPADO</t>
        </is>
      </c>
      <c r="C25" s="9" t="inlineStr"/>
      <c r="D25" s="8">
        <f>IF(COUNT(H25,I25)&lt;2,"",ROUND(H25*I25,2))</f>
        <v/>
      </c>
      <c r="E25" s="25" t="n">
        <v>15</v>
      </c>
      <c r="F25" s="28">
        <f>IF(D25="","",ROUND(D25*E25,1))</f>
        <v/>
      </c>
      <c r="G25" s="2" t="n"/>
      <c r="H25" s="35" t="n"/>
      <c r="I25" s="35" t="n"/>
    </row>
    <row r="26" ht="39.7" customHeight="1">
      <c r="A26" s="16" t="inlineStr">
        <is>
          <t>5</t>
        </is>
      </c>
      <c r="B26" s="33" t="inlineStr">
        <is>
          <t>INFILTRACION</t>
        </is>
      </c>
      <c r="C26" s="9" t="n"/>
      <c r="D26" s="16" t="inlineStr">
        <is>
          <t>VOLUMEN (m3)</t>
        </is>
      </c>
      <c r="E26" s="9" t="n"/>
      <c r="F26" s="9" t="n"/>
      <c r="G26" s="2" t="n"/>
      <c r="H26" s="2" t="n"/>
      <c r="I26" s="2" t="n"/>
    </row>
    <row r="27" ht="47" customHeight="1">
      <c r="A27" s="9" t="n"/>
      <c r="B27" s="34" t="inlineStr">
        <is>
          <t>UNA PARED EXTERIOR</t>
        </is>
      </c>
      <c r="C27" s="9" t="inlineStr"/>
      <c r="D27" s="8">
        <f>IF(COUNT(H27,I27)&lt;2,"",ROUND(H27*I27,2))</f>
        <v/>
      </c>
      <c r="E27" s="25" t="n">
        <v>6</v>
      </c>
      <c r="F27" s="28">
        <f>IF(D27="","",ROUND(D27*E27,1))</f>
        <v/>
      </c>
      <c r="G27" s="2" t="n"/>
      <c r="H27" s="35" t="n"/>
      <c r="I27" s="35" t="n"/>
    </row>
    <row r="28" ht="39.7" customHeight="1">
      <c r="A28" s="9" t="n"/>
      <c r="B28" s="34" t="inlineStr">
        <is>
          <t>DOS PAREDES EXTERIORES</t>
        </is>
      </c>
      <c r="C28" s="9" t="inlineStr">
        <is>
          <t>26.25 m2 x 3.00</t>
        </is>
      </c>
      <c r="D28" s="8" t="n">
        <v>78.75</v>
      </c>
      <c r="E28" s="25" t="n">
        <v>9</v>
      </c>
      <c r="F28" s="28">
        <f>IF(D28="","",ROUND(D28*E28,1))</f>
        <v/>
      </c>
      <c r="G28" s="2" t="n"/>
      <c r="H28" s="35" t="n"/>
      <c r="I28" s="35" t="n"/>
    </row>
    <row r="29" ht="47" customHeight="1">
      <c r="A29" s="9" t="n"/>
      <c r="B29" s="34" t="inlineStr">
        <is>
          <t>TRES O MAS PAREDES EXTERIORES</t>
        </is>
      </c>
      <c r="C29" s="9" t="inlineStr"/>
      <c r="D29" s="8">
        <f>IF(COUNT(H29,I29)&lt;2,"",ROUND(H29*I29,2))</f>
        <v/>
      </c>
      <c r="E29" s="25" t="n">
        <v>12</v>
      </c>
      <c r="F29" s="28">
        <f>IF(D29="","",ROUND(D29*E29,1))</f>
        <v/>
      </c>
      <c r="G29" s="2" t="n"/>
      <c r="H29" s="35" t="n"/>
      <c r="I29" s="35" t="n"/>
    </row>
    <row r="30" ht="70" customHeight="1">
      <c r="A30" s="16" t="inlineStr">
        <is>
          <t>6</t>
        </is>
      </c>
      <c r="B30" s="33" t="inlineStr">
        <is>
          <t>SUBTOTAL</t>
        </is>
      </c>
      <c r="C30" s="9" t="n"/>
      <c r="D30" s="9" t="n"/>
      <c r="E30" s="9" t="n"/>
      <c r="F30" s="36">
        <f>IF(F6="",0,F6)+IF(F7="",0,F7)+IF(F8="",0,F8)+IF(F9="",0,F9)+IF(F11="",0,F11)+IF(F12="",0,F12)+IF(F13="",0,F13)+IF(F14="",0,F14)+IF(F15="",0,F15)+IF(F16="",0,F16)+IF(F17="",0,F17)+IF(F18="",0,F18)+IF(F20="",0,F20)+IF(F21="",0,F21)+IF(F22="",0,F22)+IF(F24="",0,F24)+IF(F25="",0,F25)+IF(F27="",0,F27)+IF(F28="",0,F28)+IF(F29="",0,F29)</f>
        <v/>
      </c>
      <c r="G30" s="2" t="n"/>
      <c r="H30" s="2" t="n"/>
      <c r="I30" s="2" t="n"/>
    </row>
    <row r="31" ht="47" customHeight="1">
      <c r="A31" s="16" t="inlineStr">
        <is>
          <t>7</t>
        </is>
      </c>
      <c r="B31" s="33" t="inlineStr">
        <is>
          <t>PERDIDA TOTAL</t>
        </is>
      </c>
      <c r="C31" s="9">
        <f>TEXT(F30,"0.00")&amp;"  X  "&amp;Datos_balance!$B$4&amp;" (FI)  X  "&amp;Datos_balance!$B$5&amp;" (FO)  X  "&amp;Datos_balance!$B$6&amp;" (FZ)"</f>
        <v/>
      </c>
      <c r="D31" s="2" t="n"/>
      <c r="E31" s="2" t="n"/>
      <c r="F31" s="36">
        <f>ROUND(F30*Datos_balance!$B$4*Datos_balance!$B$5*Datos_balance!$B$6,1)</f>
        <v/>
      </c>
      <c r="G31" s="2" t="n"/>
      <c r="H31" s="2" t="n"/>
      <c r="I31" s="2" t="n"/>
    </row>
    <row r="32">
      <c r="A32" s="2" t="n"/>
      <c r="B32" s="2" t="n"/>
      <c r="C32" s="2" t="n"/>
      <c r="D32" s="2" t="n"/>
      <c r="E32" s="2" t="n"/>
      <c r="F32" s="2" t="n"/>
      <c r="G32" s="2" t="n"/>
      <c r="H32" s="2" t="n"/>
      <c r="I32" s="2" t="n"/>
    </row>
    <row r="33" ht="62" customHeight="1">
      <c r="A33" s="9" t="n"/>
      <c r="B33" s="10" t="inlineStr">
        <is>
          <t>Salto termico:  dt = (te+ts)/2 - ti</t>
        </is>
      </c>
      <c r="C33" s="9">
        <f>TEXT((Datos_balance!$B$9+Datos_balance!$B$10)/2,"0")&amp;" - "&amp;TEXT(Datos_balance!$B$11,"0")&amp;" = "&amp;TEXT((Datos_balance!$B$9+Datos_balance!$B$10)/2-Datos_balance!$B$11,"0")&amp;" C"</f>
        <v/>
      </c>
      <c r="D33" s="2" t="n"/>
      <c r="E33" s="2" t="n"/>
      <c r="F33" s="9" t="n"/>
      <c r="G33" s="2" t="n"/>
      <c r="H33" s="2" t="n"/>
      <c r="I33" s="2" t="n"/>
    </row>
    <row r="34" ht="39.7" customHeight="1">
      <c r="A34" s="9" t="n"/>
      <c r="B34" s="10" t="inlineStr">
        <is>
          <t>Kcal/h por elemento</t>
        </is>
      </c>
      <c r="C34" s="8">
        <f>ROUND(Datos_balance!$B$14*Datos_balance!$B$15,2)</f>
        <v/>
      </c>
      <c r="D34" s="2" t="n"/>
      <c r="E34" s="2" t="n"/>
      <c r="F34" s="9" t="n"/>
      <c r="G34" s="2" t="n"/>
      <c r="H34" s="2" t="n"/>
      <c r="I34" s="2" t="n"/>
    </row>
    <row r="35" ht="39.7" customHeight="1">
      <c r="A35" s="9" t="n"/>
      <c r="B35" s="10" t="inlineStr">
        <is>
          <t>Elementos necesarios</t>
        </is>
      </c>
      <c r="C35" s="25">
        <f>ROUNDUP(F31/(Datos_balance!$B$14*Datos_balance!$B$15),0)</f>
        <v/>
      </c>
      <c r="D35" s="2" t="n"/>
      <c r="E35" s="2" t="n"/>
      <c r="F35" s="9" t="n"/>
      <c r="G35" s="2" t="n"/>
      <c r="H35" s="2" t="n"/>
      <c r="I35" s="2" t="n"/>
    </row>
    <row r="36" ht="39.7" customHeight="1">
      <c r="A36" s="9" t="n"/>
      <c r="B36" s="10" t="inlineStr">
        <is>
          <t>Ancho del radiador (cm)</t>
        </is>
      </c>
      <c r="C36" s="25">
        <f>ROUNDUP(F31/(Datos_balance!$B$14*Datos_balance!$B$15),0)*Datos_balance!$B$16</f>
        <v/>
      </c>
      <c r="D36" s="2" t="n"/>
      <c r="E36" s="2" t="n"/>
      <c r="F36" s="9" t="n"/>
      <c r="G36" s="2" t="n"/>
      <c r="H36" s="2" t="n"/>
      <c r="I36" s="2" t="n"/>
    </row>
    <row r="37" ht="39.7" customHeight="1">
      <c r="A37" s="13" t="n"/>
      <c r="B37" s="14" t="inlineStr">
        <is>
          <t>Radiador adoptado</t>
        </is>
      </c>
      <c r="C37" s="13">
        <f>Datos_balance!$B$13</f>
        <v/>
      </c>
      <c r="D37" s="20" t="n"/>
      <c r="E37" s="20" t="n"/>
      <c r="F37" s="13" t="n"/>
      <c r="G37" s="2" t="n"/>
      <c r="H37" s="2" t="n"/>
      <c r="I37" s="2" t="n"/>
    </row>
    <row r="38">
      <c r="A38" s="2" t="n"/>
      <c r="B38" s="2" t="n"/>
      <c r="C38" s="2" t="n"/>
      <c r="D38" s="2" t="n"/>
      <c r="E38" s="2" t="n"/>
      <c r="F38" s="2" t="n"/>
      <c r="G38" s="2" t="n"/>
      <c r="H38" s="2" t="n"/>
      <c r="I38" s="2" t="n"/>
    </row>
    <row r="39">
      <c r="A39" s="2" t="n"/>
      <c r="B39" s="2" t="n"/>
      <c r="C39" s="2" t="n"/>
      <c r="D39" s="2" t="n"/>
      <c r="E39" s="2" t="n"/>
      <c r="F39" s="2" t="n"/>
      <c r="G39" s="2" t="n"/>
      <c r="H39" s="2" t="n"/>
      <c r="I39" s="2" t="n"/>
    </row>
    <row r="40" ht="39.7" customHeight="1">
      <c r="A40" s="5" t="inlineStr">
        <is>
          <t>LOCAL  06 - Living / comedor   (PB)</t>
        </is>
      </c>
      <c r="B40" s="2" t="n"/>
      <c r="C40" s="2" t="n"/>
      <c r="D40" s="2" t="n"/>
      <c r="E40" s="2" t="n"/>
      <c r="F40" s="2" t="n"/>
      <c r="G40" s="2" t="n"/>
      <c r="H40" s="2" t="n"/>
      <c r="I40" s="2" t="n"/>
    </row>
    <row r="41" ht="39.7" customHeight="1">
      <c r="A41" s="3" t="inlineStr">
        <is>
          <t>Nro</t>
        </is>
      </c>
      <c r="B41" s="3" t="inlineStr">
        <is>
          <t>DESCRIPCION</t>
        </is>
      </c>
      <c r="C41" s="3" t="inlineStr">
        <is>
          <t>DIMENSIONES (m)</t>
        </is>
      </c>
      <c r="D41" s="3" t="inlineStr">
        <is>
          <t>AREA (m2)</t>
        </is>
      </c>
      <c r="E41" s="3" t="inlineStr">
        <is>
          <t>FACTOR</t>
        </is>
      </c>
      <c r="F41" s="3" t="inlineStr">
        <is>
          <t>PERDIDA CALOR (Kcal/h)</t>
        </is>
      </c>
      <c r="G41" s="2" t="n"/>
      <c r="H41" s="2" t="n"/>
      <c r="I41" s="2" t="n"/>
    </row>
    <row r="42" ht="39.7" customHeight="1">
      <c r="A42" s="16" t="inlineStr">
        <is>
          <t>1</t>
        </is>
      </c>
      <c r="B42" s="33" t="inlineStr">
        <is>
          <t>VENTANA</t>
        </is>
      </c>
      <c r="C42" s="9" t="n"/>
      <c r="D42" s="9" t="n"/>
      <c r="E42" s="9" t="n"/>
      <c r="F42" s="9" t="n"/>
      <c r="G42" s="2" t="n"/>
      <c r="H42" s="2" t="n"/>
      <c r="I42" s="2" t="n"/>
    </row>
    <row r="43" ht="47" customHeight="1">
      <c r="A43" s="9" t="n"/>
      <c r="B43" s="34" t="inlineStr">
        <is>
          <t>PF02</t>
        </is>
      </c>
      <c r="C43" s="9">
        <f>IF(COUNT(H43,I43)&lt;2,"",TEXT(H43,"0.00")&amp;" x "&amp;TEXT(I43,"0.00"))</f>
        <v/>
      </c>
      <c r="D43" s="8">
        <f>IF(COUNT(H43,I43)&lt;2,"",ROUND(H43*I43,2))</f>
        <v/>
      </c>
      <c r="E43" s="25" t="n">
        <v>60</v>
      </c>
      <c r="F43" s="28">
        <f>IF(D43="","",ROUND(D43*E43,1))</f>
        <v/>
      </c>
      <c r="G43" s="2" t="n"/>
      <c r="H43" s="35" t="n">
        <v>3.75</v>
      </c>
      <c r="I43" s="35" t="n">
        <v>3</v>
      </c>
    </row>
    <row r="44" ht="47" customHeight="1">
      <c r="A44" s="9" t="n"/>
      <c r="B44" s="34" t="inlineStr">
        <is>
          <t>PV01</t>
        </is>
      </c>
      <c r="C44" s="9">
        <f>IF(COUNT(H44,I44)&lt;2,"",TEXT(H44,"0.00")&amp;" x "&amp;TEXT(I44,"0.00"))</f>
        <v/>
      </c>
      <c r="D44" s="8">
        <f>IF(COUNT(H44,I44)&lt;2,"",ROUND(H44*I44,2))</f>
        <v/>
      </c>
      <c r="E44" s="25" t="n">
        <v>60</v>
      </c>
      <c r="F44" s="28">
        <f>IF(D44="","",ROUND(D44*E44,1))</f>
        <v/>
      </c>
      <c r="G44" s="2" t="n"/>
      <c r="H44" s="35" t="n">
        <v>7.7</v>
      </c>
      <c r="I44" s="35" t="n">
        <v>3</v>
      </c>
    </row>
    <row r="45" ht="39.7" customHeight="1">
      <c r="A45" s="16" t="inlineStr">
        <is>
          <t>2</t>
        </is>
      </c>
      <c r="B45" s="33" t="inlineStr">
        <is>
          <t>PAREDES EXTERIORES</t>
        </is>
      </c>
      <c r="C45" s="9" t="n"/>
      <c r="D45" s="9" t="n"/>
      <c r="E45" s="9" t="n"/>
      <c r="F45" s="9" t="n"/>
      <c r="G45" s="2" t="n"/>
      <c r="H45" s="2" t="n"/>
      <c r="I45" s="2"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AISLADAS (    )</t>
        </is>
      </c>
      <c r="C48" s="9">
        <f>IF(COUNT(H48,I48)&lt;2,"",TEXT(H48,"0.00")&amp;" x "&amp;TEXT(I48,"0.00"))</f>
        <v/>
      </c>
      <c r="D48" s="8">
        <f>IF(COUNT(H48,I48)&lt;2,"",ROUND(H48*I48,2))</f>
        <v/>
      </c>
      <c r="E48" s="25" t="n">
        <v>20</v>
      </c>
      <c r="F48" s="28">
        <f>IF(D48="","",ROUND(D48*E48,1))</f>
        <v/>
      </c>
      <c r="G48" s="2" t="n"/>
      <c r="H48" s="35" t="n"/>
      <c r="I48" s="35" t="n"/>
    </row>
    <row r="49" ht="47" customHeight="1">
      <c r="A49" s="9" t="n"/>
      <c r="B49" s="34" t="inlineStr">
        <is>
          <t>AISLADAS (    )</t>
        </is>
      </c>
      <c r="C49" s="9">
        <f>IF(COUNT(H49,I49)&lt;2,"",TEXT(H49,"0.00")&amp;" x "&amp;TEXT(I49,"0.00"))</f>
        <v/>
      </c>
      <c r="D49" s="8">
        <f>IF(COUNT(H49,I49)&lt;2,"",ROUND(H49*I49,2))</f>
        <v/>
      </c>
      <c r="E49" s="25" t="n">
        <v>20</v>
      </c>
      <c r="F49" s="28">
        <f>IF(D49="","",ROUND(D49*E49,1))</f>
        <v/>
      </c>
      <c r="G49" s="2" t="n"/>
      <c r="H49" s="35" t="n"/>
      <c r="I49" s="35" t="n"/>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47" customHeight="1">
      <c r="A52" s="9" t="n"/>
      <c r="B52" s="34" t="inlineStr">
        <is>
          <t>INTERIORES (    )</t>
        </is>
      </c>
      <c r="C52" s="9">
        <f>IF(COUNT(H52,I52)&lt;2,"",TEXT(H52,"0.00")&amp;" x "&amp;TEXT(I52,"0.00"))</f>
        <v/>
      </c>
      <c r="D52" s="8">
        <f>IF(COUNT(H52,I52)&lt;2,"",ROUND(H52*I52,2))</f>
        <v/>
      </c>
      <c r="E52" s="25" t="n">
        <v>25</v>
      </c>
      <c r="F52" s="28">
        <f>IF(D52="","",ROUND(D52*E52,1))</f>
        <v/>
      </c>
      <c r="G52" s="2" t="n"/>
      <c r="H52" s="35" t="n">
        <v>8.4</v>
      </c>
      <c r="I52" s="35" t="n">
        <v>3</v>
      </c>
    </row>
    <row r="53" ht="47" customHeight="1">
      <c r="A53" s="9" t="n"/>
      <c r="B53" s="34" t="inlineStr">
        <is>
          <t>INTERIORES (    )</t>
        </is>
      </c>
      <c r="C53" s="9">
        <f>IF(COUNT(H53,I53)&lt;2,"",TEXT(H53,"0.00")&amp;" x "&amp;TEXT(I53,"0.00"))</f>
        <v/>
      </c>
      <c r="D53" s="8">
        <f>IF(COUNT(H53,I53)&lt;2,"",ROUND(H53*I53,2))</f>
        <v/>
      </c>
      <c r="E53" s="25" t="n">
        <v>25</v>
      </c>
      <c r="F53" s="28">
        <f>IF(D53="","",ROUND(D53*E53,1))</f>
        <v/>
      </c>
      <c r="G53" s="2" t="n"/>
      <c r="H53" s="35" t="n">
        <v>4</v>
      </c>
      <c r="I53" s="35" t="n">
        <v>3</v>
      </c>
    </row>
    <row r="54" ht="39.7" customHeight="1">
      <c r="A54" s="16" t="inlineStr">
        <is>
          <t>3</t>
        </is>
      </c>
      <c r="B54" s="33" t="inlineStr">
        <is>
          <t>TECHOS O CIELORRASOS</t>
        </is>
      </c>
      <c r="C54" s="9" t="n"/>
      <c r="D54" s="9" t="n"/>
      <c r="E54" s="9" t="n"/>
      <c r="F54" s="9" t="n"/>
      <c r="G54" s="2" t="n"/>
      <c r="H54" s="2" t="n"/>
      <c r="I54" s="2" t="n"/>
    </row>
    <row r="55" ht="47" customHeight="1">
      <c r="A55" s="9" t="n"/>
      <c r="B55" s="34" t="inlineStr">
        <is>
          <t>TECHO NO AISLADO</t>
        </is>
      </c>
      <c r="C55" s="9" t="inlineStr"/>
      <c r="D55" s="8">
        <f>IF(COUNT(H55,I55)&lt;2,"",ROUND(H55*I55,2))</f>
        <v/>
      </c>
      <c r="E55" s="25" t="n">
        <v>30</v>
      </c>
      <c r="F55" s="28">
        <f>IF(D55="","",ROUND(D55*E55,1))</f>
        <v/>
      </c>
      <c r="G55" s="2" t="n"/>
      <c r="H55" s="35" t="n"/>
      <c r="I55" s="35" t="n"/>
    </row>
    <row r="56" ht="47" customHeight="1">
      <c r="A56" s="9" t="n"/>
      <c r="B56" s="34" t="inlineStr">
        <is>
          <t>TECHO AISLADO</t>
        </is>
      </c>
      <c r="C56" s="9" t="inlineStr"/>
      <c r="D56" s="8">
        <f>IF(COUNT(H56,I56)&lt;2,"",ROUND(H56*I56,2))</f>
        <v/>
      </c>
      <c r="E56" s="25" t="n">
        <v>20</v>
      </c>
      <c r="F56" s="28">
        <f>IF(D56="","",ROUND(D56*E56,1))</f>
        <v/>
      </c>
      <c r="G56" s="2" t="n"/>
      <c r="H56" s="35" t="n"/>
      <c r="I56" s="35" t="n"/>
    </row>
    <row r="57" ht="39.7" customHeight="1">
      <c r="A57" s="9" t="n"/>
      <c r="B57" s="34" t="inlineStr">
        <is>
          <t>TECHO ENTREPISO</t>
        </is>
      </c>
      <c r="C57" s="9" t="inlineStr">
        <is>
          <t>por croquis</t>
        </is>
      </c>
      <c r="D57" s="8" t="n">
        <v>33.6</v>
      </c>
      <c r="E57" s="25" t="n">
        <v>15</v>
      </c>
      <c r="F57" s="28">
        <f>IF(D57="","",ROUND(D57*E57,1))</f>
        <v/>
      </c>
      <c r="G57" s="2" t="n"/>
      <c r="H57" s="35" t="n"/>
      <c r="I57" s="35" t="n"/>
    </row>
    <row r="58" ht="39.7" customHeight="1">
      <c r="A58" s="16" t="inlineStr">
        <is>
          <t>4</t>
        </is>
      </c>
      <c r="B58" s="33" t="inlineStr">
        <is>
          <t>PISO</t>
        </is>
      </c>
      <c r="C58" s="9" t="n"/>
      <c r="D58" s="9" t="n"/>
      <c r="E58" s="9" t="n"/>
      <c r="F58" s="9" t="n"/>
      <c r="G58" s="2" t="n"/>
      <c r="H58" s="2" t="n"/>
      <c r="I58" s="2" t="n"/>
    </row>
    <row r="59" ht="39.7" customHeight="1">
      <c r="A59" s="9" t="n"/>
      <c r="B59" s="34" t="inlineStr">
        <is>
          <t>SOBRE TIERRA</t>
        </is>
      </c>
      <c r="C59" s="9" t="inlineStr">
        <is>
          <t>por croquis</t>
        </is>
      </c>
      <c r="D59" s="8" t="n">
        <v>33.6</v>
      </c>
      <c r="E59" s="25" t="n">
        <v>10</v>
      </c>
      <c r="F59" s="28">
        <f>IF(D59="","",ROUND(D59*E59,1))</f>
        <v/>
      </c>
      <c r="G59" s="2" t="n"/>
      <c r="H59" s="35" t="n"/>
      <c r="I59" s="35" t="n"/>
    </row>
    <row r="60" ht="47" customHeight="1">
      <c r="A60" s="9" t="n"/>
      <c r="B60" s="34" t="inlineStr">
        <is>
          <t>SOBRE LOCAL OCUPADO</t>
        </is>
      </c>
      <c r="C60" s="9" t="inlineStr"/>
      <c r="D60" s="8">
        <f>IF(COUNT(H60,I60)&lt;2,"",ROUND(H60*I60,2))</f>
        <v/>
      </c>
      <c r="E60" s="25" t="n">
        <v>15</v>
      </c>
      <c r="F60" s="28">
        <f>IF(D60="","",ROUND(D60*E60,1))</f>
        <v/>
      </c>
      <c r="G60" s="2" t="n"/>
      <c r="H60" s="35" t="n"/>
      <c r="I60" s="35" t="n"/>
    </row>
    <row r="61" ht="39.7" customHeight="1">
      <c r="A61" s="16" t="inlineStr">
        <is>
          <t>5</t>
        </is>
      </c>
      <c r="B61" s="33" t="inlineStr">
        <is>
          <t>INFILTRACION</t>
        </is>
      </c>
      <c r="C61" s="9" t="n"/>
      <c r="D61" s="16" t="inlineStr">
        <is>
          <t>VOLUMEN (m3)</t>
        </is>
      </c>
      <c r="E61" s="9" t="n"/>
      <c r="F61" s="9" t="n"/>
      <c r="G61" s="2" t="n"/>
      <c r="H61" s="2" t="n"/>
      <c r="I61" s="2" t="n"/>
    </row>
    <row r="62" ht="47" customHeight="1">
      <c r="A62" s="9" t="n"/>
      <c r="B62" s="34" t="inlineStr">
        <is>
          <t>UNA PARED EXTERIOR</t>
        </is>
      </c>
      <c r="C62" s="9" t="inlineStr"/>
      <c r="D62" s="8">
        <f>IF(COUNT(H62,I62)&lt;2,"",ROUND(H62*I62,2))</f>
        <v/>
      </c>
      <c r="E62" s="25" t="n">
        <v>6</v>
      </c>
      <c r="F62" s="28">
        <f>IF(D62="","",ROUND(D62*E62,1))</f>
        <v/>
      </c>
      <c r="G62" s="2" t="n"/>
      <c r="H62" s="35" t="n"/>
      <c r="I62" s="35" t="n"/>
    </row>
    <row r="63" ht="39.7" customHeight="1">
      <c r="A63" s="9" t="n"/>
      <c r="B63" s="34" t="inlineStr">
        <is>
          <t>DOS PAREDES EXTERIORES</t>
        </is>
      </c>
      <c r="C63" s="9" t="inlineStr">
        <is>
          <t>33.60 m2 x 3.00</t>
        </is>
      </c>
      <c r="D63" s="8" t="n">
        <v>100.8</v>
      </c>
      <c r="E63" s="25" t="n">
        <v>9</v>
      </c>
      <c r="F63" s="28">
        <f>IF(D63="","",ROUND(D63*E63,1))</f>
        <v/>
      </c>
      <c r="G63" s="2" t="n"/>
      <c r="H63" s="35" t="n"/>
      <c r="I63" s="35" t="n"/>
    </row>
    <row r="64" ht="47" customHeight="1">
      <c r="A64" s="9" t="n"/>
      <c r="B64" s="34" t="inlineStr">
        <is>
          <t>TRES O MAS PAREDES EXTERIORES</t>
        </is>
      </c>
      <c r="C64" s="9" t="inlineStr"/>
      <c r="D64" s="8">
        <f>IF(COUNT(H64,I64)&lt;2,"",ROUND(H64*I64,2))</f>
        <v/>
      </c>
      <c r="E64" s="25" t="n">
        <v>12</v>
      </c>
      <c r="F64" s="28">
        <f>IF(D64="","",ROUND(D64*E64,1))</f>
        <v/>
      </c>
      <c r="G64" s="2" t="n"/>
      <c r="H64" s="35" t="n"/>
      <c r="I64" s="35" t="n"/>
    </row>
    <row r="65" ht="70" customHeight="1">
      <c r="A65" s="16" t="inlineStr">
        <is>
          <t>6</t>
        </is>
      </c>
      <c r="B65" s="33" t="inlineStr">
        <is>
          <t>SUBTOTAL</t>
        </is>
      </c>
      <c r="C65" s="9" t="n"/>
      <c r="D65" s="9" t="n"/>
      <c r="E65" s="9" t="n"/>
      <c r="F65" s="36">
        <f>IF(F43="",0,F43)+IF(F44="",0,F44)+IF(F46="",0,F46)+IF(F47="",0,F47)+IF(F48="",0,F48)+IF(F49="",0,F49)+IF(F50="",0,F50)+IF(F51="",0,F51)+IF(F52="",0,F52)+IF(F53="",0,F53)+IF(F55="",0,F55)+IF(F56="",0,F56)+IF(F57="",0,F57)+IF(F59="",0,F59)+IF(F60="",0,F60)+IF(F62="",0,F62)+IF(F63="",0,F63)+IF(F64="",0,F64)</f>
        <v/>
      </c>
      <c r="G65" s="2" t="n"/>
      <c r="H65" s="2" t="n"/>
      <c r="I65" s="2" t="n"/>
    </row>
    <row r="66" ht="47" customHeight="1">
      <c r="A66" s="16" t="inlineStr">
        <is>
          <t>7</t>
        </is>
      </c>
      <c r="B66" s="33" t="inlineStr">
        <is>
          <t>PERDIDA TOTAL</t>
        </is>
      </c>
      <c r="C66" s="9">
        <f>TEXT(F65,"0.00")&amp;"  X  "&amp;Datos_balance!$B$4&amp;" (FI)  X  "&amp;Datos_balance!$B$5&amp;" (FO)  X  "&amp;Datos_balance!$B$6&amp;" (FZ)"</f>
        <v/>
      </c>
      <c r="D66" s="2" t="n"/>
      <c r="E66" s="2" t="n"/>
      <c r="F66" s="36">
        <f>ROUND(F65*Datos_balance!$B$4*Datos_balance!$B$5*Datos_balance!$B$6,1)</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elemento</t>
        </is>
      </c>
      <c r="C69" s="8">
        <f>ROUND(Datos_balance!$B$14*Datos_balance!$B$15,2)</f>
        <v/>
      </c>
      <c r="D69" s="2" t="n"/>
      <c r="E69" s="2" t="n"/>
      <c r="F69" s="9" t="n"/>
      <c r="G69" s="2" t="n"/>
      <c r="H69" s="2" t="n"/>
      <c r="I69" s="2" t="n"/>
    </row>
    <row r="70" ht="39.7" customHeight="1">
      <c r="A70" s="9" t="n"/>
      <c r="B70" s="10" t="inlineStr">
        <is>
          <t>Elementos necesarios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c r="A101" s="2" t="n"/>
      <c r="B101" s="2" t="n"/>
      <c r="C101" s="2" t="n"/>
      <c r="D101" s="2" t="n"/>
      <c r="E101" s="2" t="n"/>
      <c r="F101" s="2" t="n"/>
      <c r="G101" s="2" t="n"/>
      <c r="H101" s="2" t="n"/>
      <c r="I101" s="2" t="n"/>
    </row>
    <row r="102" ht="62" customHeight="1">
      <c r="A102" s="9" t="n"/>
      <c r="B102" s="10" t="inlineStr">
        <is>
          <t>Salto termico:  dt = (te+ts)/2 - ti</t>
        </is>
      </c>
      <c r="C102" s="9">
        <f>TEXT((Datos_balance!$B$9+Datos_balance!$B$10)/2,"0")&amp;" - "&amp;TEXT(Datos_balance!$B$11,"0")&amp;" = "&amp;TEXT((Datos_balance!$B$9+Datos_balance!$B$10)/2-Datos_balance!$B$11,"0")&amp;" C"</f>
        <v/>
      </c>
      <c r="D102" s="2" t="n"/>
      <c r="E102" s="2" t="n"/>
      <c r="F102" s="9" t="n"/>
      <c r="G102" s="2" t="n"/>
      <c r="H102" s="2" t="n"/>
      <c r="I102" s="2" t="n"/>
    </row>
    <row r="103" ht="39.7" customHeight="1">
      <c r="A103" s="9" t="n"/>
      <c r="B103" s="10" t="inlineStr">
        <is>
          <t>Kcal/h por elemento</t>
        </is>
      </c>
      <c r="C103" s="8">
        <f>ROUND(Datos_balance!$B$14*Datos_balance!$B$15,2)</f>
        <v/>
      </c>
      <c r="D103" s="2" t="n"/>
      <c r="E103" s="2" t="n"/>
      <c r="F103" s="9" t="n"/>
      <c r="G103" s="2" t="n"/>
      <c r="H103" s="2" t="n"/>
      <c r="I103" s="2" t="n"/>
    </row>
    <row r="104" ht="39.7" customHeight="1">
      <c r="A104" s="9" t="n"/>
      <c r="B104" s="10" t="inlineStr">
        <is>
          <t>Elementos necesarios</t>
        </is>
      </c>
      <c r="C104" s="25">
        <f>ROUNDUP(F100/(Datos_balance!$B$14*Datos_balance!$B$15),0)</f>
        <v/>
      </c>
      <c r="D104" s="2" t="n"/>
      <c r="E104" s="2" t="n"/>
      <c r="F104" s="9" t="n"/>
      <c r="G104" s="2" t="n"/>
      <c r="H104" s="2" t="n"/>
      <c r="I104" s="2" t="n"/>
    </row>
    <row r="105" ht="39.7" customHeight="1">
      <c r="A105" s="9" t="n"/>
      <c r="B105" s="10" t="inlineStr">
        <is>
          <t>Ancho del radiador (cm)</t>
        </is>
      </c>
      <c r="C105" s="25">
        <f>ROUNDUP(F100/(Datos_balance!$B$14*Datos_balance!$B$15),0)*Datos_balance!$B$16</f>
        <v/>
      </c>
      <c r="D105" s="2" t="n"/>
      <c r="E105" s="2" t="n"/>
      <c r="F105" s="9" t="n"/>
      <c r="G105" s="2" t="n"/>
      <c r="H105" s="2" t="n"/>
      <c r="I105" s="2" t="n"/>
    </row>
    <row r="106" ht="39.7" customHeight="1">
      <c r="A106" s="13" t="n"/>
      <c r="B106" s="14" t="inlineStr">
        <is>
          <t>Radiador adoptado</t>
        </is>
      </c>
      <c r="C106" s="13">
        <f>Datos_balance!$B$13</f>
        <v/>
      </c>
      <c r="D106" s="20" t="n"/>
      <c r="E106" s="20" t="n"/>
      <c r="F106" s="13" t="n"/>
      <c r="G106" s="2" t="n"/>
      <c r="H106" s="2" t="n"/>
      <c r="I106" s="2" t="n"/>
    </row>
    <row r="107">
      <c r="A107" s="2" t="n"/>
      <c r="B107" s="2" t="n"/>
      <c r="C107" s="2" t="n"/>
      <c r="D107" s="2" t="n"/>
      <c r="E107" s="2" t="n"/>
      <c r="F107" s="2" t="n"/>
      <c r="G107" s="2" t="n"/>
      <c r="H107" s="2" t="n"/>
      <c r="I107" s="2" t="n"/>
    </row>
    <row r="108">
      <c r="A108" s="2" t="n"/>
      <c r="B108" s="2" t="n"/>
      <c r="C108" s="2" t="n"/>
      <c r="D108" s="2" t="n"/>
      <c r="E108" s="2" t="n"/>
      <c r="F108" s="2" t="n"/>
      <c r="G108" s="2" t="n"/>
      <c r="H108" s="2" t="n"/>
      <c r="I108" s="2" t="n"/>
    </row>
    <row r="109" ht="39.7" customHeight="1">
      <c r="A109" s="5" t="inlineStr">
        <is>
          <t>LOCAL  08 - Vestidor   (PB)</t>
        </is>
      </c>
      <c r="B109" s="2" t="n"/>
      <c r="C109" s="2" t="n"/>
      <c r="D109" s="2" t="n"/>
      <c r="E109" s="2" t="n"/>
      <c r="F109" s="2" t="n"/>
      <c r="G109" s="2" t="n"/>
      <c r="H109" s="2" t="n"/>
      <c r="I109" s="2" t="n"/>
    </row>
    <row r="110" ht="39.7" customHeight="1">
      <c r="A110" s="3" t="inlineStr">
        <is>
          <t>Nro</t>
        </is>
      </c>
      <c r="B110" s="3" t="inlineStr">
        <is>
          <t>DESCRIPCION</t>
        </is>
      </c>
      <c r="C110" s="3" t="inlineStr">
        <is>
          <t>DIMENSIONES (m)</t>
        </is>
      </c>
      <c r="D110" s="3" t="inlineStr">
        <is>
          <t>AREA (m2)</t>
        </is>
      </c>
      <c r="E110" s="3" t="inlineStr">
        <is>
          <t>FACTOR</t>
        </is>
      </c>
      <c r="F110" s="3" t="inlineStr">
        <is>
          <t>PERDIDA CALOR (Kcal/h)</t>
        </is>
      </c>
      <c r="G110" s="2" t="n"/>
      <c r="H110" s="2" t="n"/>
      <c r="I110" s="2" t="n"/>
    </row>
    <row r="111" ht="39.7" customHeight="1">
      <c r="A111" s="16" t="inlineStr">
        <is>
          <t>1</t>
        </is>
      </c>
      <c r="B111" s="33" t="inlineStr">
        <is>
          <t>VENTANA</t>
        </is>
      </c>
      <c r="C111" s="9" t="n"/>
      <c r="D111" s="9" t="n"/>
      <c r="E111" s="9" t="n"/>
      <c r="F111" s="9" t="n"/>
      <c r="G111" s="2" t="n"/>
      <c r="H111" s="2" t="n"/>
      <c r="I111" s="2" t="n"/>
    </row>
    <row r="112" ht="62" customHeight="1">
      <c r="A112" s="9" t="n"/>
      <c r="B112" s="34" t="inlineStr">
        <is>
          <t>(sin aberturas)</t>
        </is>
      </c>
      <c r="C112" s="9">
        <f>IF(COUNT(H112,I112)&lt;2,"",TEXT(H112,"0.00")&amp;" x "&amp;TEXT(I112,"0.00"))</f>
        <v/>
      </c>
      <c r="D112" s="8">
        <f>IF(COUNT(H112,I112)&lt;2,"",ROUND(H112*I112,2))</f>
        <v/>
      </c>
      <c r="E112" s="25" t="n">
        <v>60</v>
      </c>
      <c r="F112" s="28">
        <f>IF(D112="","",ROUND(D112*E112,1))</f>
        <v/>
      </c>
      <c r="G112" s="2" t="n"/>
      <c r="H112" s="35" t="n"/>
      <c r="I112" s="35" t="n"/>
    </row>
    <row r="113" ht="39.7" customHeight="1">
      <c r="A113" s="16" t="inlineStr">
        <is>
          <t>2</t>
        </is>
      </c>
      <c r="B113" s="33" t="inlineStr">
        <is>
          <t>PAREDES EXTERIORES</t>
        </is>
      </c>
      <c r="C113" s="9" t="n"/>
      <c r="D113" s="9" t="n"/>
      <c r="E113" s="9" t="n"/>
      <c r="F113" s="9" t="n"/>
      <c r="G113" s="2" t="n"/>
      <c r="H113" s="2" t="n"/>
      <c r="I113" s="2"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AISLADAS (    )</t>
        </is>
      </c>
      <c r="C116" s="9">
        <f>IF(COUNT(H116,I116)&lt;2,"",TEXT(H116,"0.00")&amp;" x "&amp;TEXT(I116,"0.00"))</f>
        <v/>
      </c>
      <c r="D116" s="8">
        <f>IF(COUNT(H116,I116)&lt;2,"",ROUND(H116*I116,2))</f>
        <v/>
      </c>
      <c r="E116" s="25" t="n">
        <v>20</v>
      </c>
      <c r="F116" s="28">
        <f>IF(D116="","",ROUND(D116*E116,1))</f>
        <v/>
      </c>
      <c r="G116" s="2" t="n"/>
      <c r="H116" s="35" t="n"/>
      <c r="I116" s="35" t="n"/>
    </row>
    <row r="117" ht="62" customHeight="1">
      <c r="A117" s="9" t="n"/>
      <c r="B117" s="34" t="inlineStr">
        <is>
          <t>AISLADAS (    )</t>
        </is>
      </c>
      <c r="C117" s="9">
        <f>IF(COUNT(H117,I117)&lt;2,"",TEXT(H117,"0.00")&amp;" x "&amp;TEXT(I117,"0.00"))</f>
        <v/>
      </c>
      <c r="D117" s="8">
        <f>IF(COUNT(H117,I117)&lt;2,"",ROUND(H117*I117,2))</f>
        <v/>
      </c>
      <c r="E117" s="25" t="n">
        <v>20</v>
      </c>
      <c r="F117" s="28">
        <f>IF(D117="","",ROUND(D117*E117,1))</f>
        <v/>
      </c>
      <c r="G117" s="2" t="n"/>
      <c r="H117" s="35" t="n"/>
      <c r="I117" s="35" t="n"/>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4.87</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1.66</v>
      </c>
      <c r="I119" s="35" t="n">
        <v>3</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3.38</v>
      </c>
      <c r="I120" s="35" t="n">
        <v>3</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0.57</v>
      </c>
      <c r="I121" s="35" t="n">
        <v>3</v>
      </c>
    </row>
    <row r="122" ht="62" customHeight="1">
      <c r="A122" s="9" t="n"/>
      <c r="B122" s="34" t="inlineStr">
        <is>
          <t>INTERIORES (    )</t>
        </is>
      </c>
      <c r="C122" s="9">
        <f>IF(COUNT(H122,I122)&lt;2,"",TEXT(H122,"0.00")&amp;" x "&amp;TEXT(I122,"0.00"))</f>
        <v/>
      </c>
      <c r="D122" s="8">
        <f>IF(COUNT(H122,I122)&lt;2,"",ROUND(H122*I122,2))</f>
        <v/>
      </c>
      <c r="E122" s="25" t="n">
        <v>25</v>
      </c>
      <c r="F122" s="28">
        <f>IF(D122="","",ROUND(D122*E122,1))</f>
        <v/>
      </c>
      <c r="G122" s="2" t="n"/>
      <c r="H122" s="35" t="n">
        <v>1.49</v>
      </c>
      <c r="I122" s="35" t="n">
        <v>3</v>
      </c>
    </row>
    <row r="123" ht="62" customHeight="1">
      <c r="A123" s="9" t="n"/>
      <c r="B123" s="34" t="inlineStr">
        <is>
          <t>INTERIORES (    )</t>
        </is>
      </c>
      <c r="C123" s="9">
        <f>IF(COUNT(H123,I123)&lt;2,"",TEXT(H123,"0.00")&amp;" x "&amp;TEXT(I123,"0.00"))</f>
        <v/>
      </c>
      <c r="D123" s="8">
        <f>IF(COUNT(H123,I123)&lt;2,"",ROUND(H123*I123,2))</f>
        <v/>
      </c>
      <c r="E123" s="25" t="n">
        <v>25</v>
      </c>
      <c r="F123" s="28">
        <f>IF(D123="","",ROUND(D123*E123,1))</f>
        <v/>
      </c>
      <c r="G123" s="2" t="n"/>
      <c r="H123" s="35" t="n">
        <v>1.09</v>
      </c>
      <c r="I123" s="35" t="n">
        <v>3</v>
      </c>
    </row>
    <row r="124" ht="39.7" customHeight="1">
      <c r="A124" s="16" t="inlineStr">
        <is>
          <t>3</t>
        </is>
      </c>
      <c r="B124" s="33" t="inlineStr">
        <is>
          <t>TECHOS O CIELORRASOS</t>
        </is>
      </c>
      <c r="C124" s="9" t="n"/>
      <c r="D124" s="9" t="n"/>
      <c r="E124" s="9" t="n"/>
      <c r="F124" s="9" t="n"/>
      <c r="G124" s="2" t="n"/>
      <c r="H124" s="2" t="n"/>
      <c r="I124" s="2" t="n"/>
    </row>
    <row r="125" ht="62" customHeight="1">
      <c r="A125" s="9" t="n"/>
      <c r="B125" s="34" t="inlineStr">
        <is>
          <t>TECHO NO AISLADO</t>
        </is>
      </c>
      <c r="C125" s="9" t="inlineStr"/>
      <c r="D125" s="8">
        <f>IF(COUNT(H125,I125)&lt;2,"",ROUND(H125*I125,2))</f>
        <v/>
      </c>
      <c r="E125" s="25" t="n">
        <v>30</v>
      </c>
      <c r="F125" s="28">
        <f>IF(D125="","",ROUND(D125*E125,1))</f>
        <v/>
      </c>
      <c r="G125" s="2" t="n"/>
      <c r="H125" s="35" t="n"/>
      <c r="I125" s="35" t="n"/>
    </row>
    <row r="126" ht="62" customHeight="1">
      <c r="A126" s="9" t="n"/>
      <c r="B126" s="34" t="inlineStr">
        <is>
          <t>TECHO AISLADO</t>
        </is>
      </c>
      <c r="C126" s="9" t="inlineStr"/>
      <c r="D126" s="8">
        <f>IF(COUNT(H126,I126)&lt;2,"",ROUND(H126*I126,2))</f>
        <v/>
      </c>
      <c r="E126" s="25" t="n">
        <v>20</v>
      </c>
      <c r="F126" s="28">
        <f>IF(D126="","",ROUND(D126*E126,1))</f>
        <v/>
      </c>
      <c r="G126" s="2" t="n"/>
      <c r="H126" s="35" t="n"/>
      <c r="I126" s="35" t="n"/>
    </row>
    <row r="127" ht="39.7" customHeight="1">
      <c r="A127" s="9" t="n"/>
      <c r="B127" s="34" t="inlineStr">
        <is>
          <t>TECHO ENTREPISO</t>
        </is>
      </c>
      <c r="C127" s="9" t="inlineStr">
        <is>
          <t>por croquis</t>
        </is>
      </c>
      <c r="D127" s="8" t="n">
        <v>7.23</v>
      </c>
      <c r="E127" s="25" t="n">
        <v>15</v>
      </c>
      <c r="F127" s="28">
        <f>IF(D127="","",ROUND(D127*E127,1))</f>
        <v/>
      </c>
      <c r="G127" s="2" t="n"/>
      <c r="H127" s="35" t="n"/>
      <c r="I127" s="35" t="n"/>
    </row>
    <row r="128" ht="39.7" customHeight="1">
      <c r="A128" s="16" t="inlineStr">
        <is>
          <t>4</t>
        </is>
      </c>
      <c r="B128" s="33" t="inlineStr">
        <is>
          <t>PISO</t>
        </is>
      </c>
      <c r="C128" s="9" t="n"/>
      <c r="D128" s="9" t="n"/>
      <c r="E128" s="9" t="n"/>
      <c r="F128" s="9" t="n"/>
      <c r="G128" s="2" t="n"/>
      <c r="H128" s="2" t="n"/>
      <c r="I128" s="2" t="n"/>
    </row>
    <row r="129" ht="39.7" customHeight="1">
      <c r="A129" s="9" t="n"/>
      <c r="B129" s="34" t="inlineStr">
        <is>
          <t>SOBRE TIERRA</t>
        </is>
      </c>
      <c r="C129" s="9" t="inlineStr">
        <is>
          <t>por croquis</t>
        </is>
      </c>
      <c r="D129" s="8" t="n">
        <v>7.23</v>
      </c>
      <c r="E129" s="25" t="n">
        <v>10</v>
      </c>
      <c r="F129" s="28">
        <f>IF(D129="","",ROUND(D129*E129,1))</f>
        <v/>
      </c>
      <c r="G129" s="2" t="n"/>
      <c r="H129" s="35" t="n"/>
      <c r="I129" s="35" t="n"/>
    </row>
    <row r="130" ht="62" customHeight="1">
      <c r="A130" s="9" t="n"/>
      <c r="B130" s="34" t="inlineStr">
        <is>
          <t>SOBRE LOCAL OCUPADO</t>
        </is>
      </c>
      <c r="C130" s="9" t="inlineStr"/>
      <c r="D130" s="8">
        <f>IF(COUNT(H130,I130)&lt;2,"",ROUND(H130*I130,2))</f>
        <v/>
      </c>
      <c r="E130" s="25" t="n">
        <v>15</v>
      </c>
      <c r="F130" s="28">
        <f>IF(D130="","",ROUND(D130*E130,1))</f>
        <v/>
      </c>
      <c r="G130" s="2" t="n"/>
      <c r="H130" s="35" t="n"/>
      <c r="I130" s="35" t="n"/>
    </row>
    <row r="131" ht="39.7" customHeight="1">
      <c r="A131" s="16" t="inlineStr">
        <is>
          <t>5</t>
        </is>
      </c>
      <c r="B131" s="33" t="inlineStr">
        <is>
          <t>INFILTRACION</t>
        </is>
      </c>
      <c r="C131" s="9" t="n"/>
      <c r="D131" s="16" t="inlineStr">
        <is>
          <t>VOLUMEN (m3)</t>
        </is>
      </c>
      <c r="E131" s="9" t="n"/>
      <c r="F131" s="9" t="n"/>
      <c r="G131" s="2" t="n"/>
      <c r="H131" s="2" t="n"/>
      <c r="I131" s="2" t="n"/>
    </row>
    <row r="132" ht="39.7" customHeight="1">
      <c r="A132" s="9" t="n"/>
      <c r="B132" s="34" t="inlineStr">
        <is>
          <t>UNA PARED EXTERIOR</t>
        </is>
      </c>
      <c r="C132" s="9" t="inlineStr">
        <is>
          <t>7.23 m2 x 3.00</t>
        </is>
      </c>
      <c r="D132" s="8" t="n">
        <v>21.69</v>
      </c>
      <c r="E132" s="25" t="n">
        <v>6</v>
      </c>
      <c r="F132" s="28">
        <f>IF(D132="","",ROUND(D132*E132,1))</f>
        <v/>
      </c>
      <c r="G132" s="2" t="n"/>
      <c r="H132" s="35" t="n"/>
      <c r="I132" s="35" t="n"/>
    </row>
    <row r="133" ht="62" customHeight="1">
      <c r="A133" s="9" t="n"/>
      <c r="B133" s="34" t="inlineStr">
        <is>
          <t>DOS PAREDES EXTERIORES</t>
        </is>
      </c>
      <c r="C133" s="9" t="inlineStr"/>
      <c r="D133" s="8">
        <f>IF(COUNT(H133,I133)&lt;2,"",ROUND(H133*I133,2))</f>
        <v/>
      </c>
      <c r="E133" s="25" t="n">
        <v>9</v>
      </c>
      <c r="F133" s="28">
        <f>IF(D133="","",ROUND(D133*E133,1))</f>
        <v/>
      </c>
      <c r="G133" s="2" t="n"/>
      <c r="H133" s="35" t="n"/>
      <c r="I133" s="35" t="n"/>
    </row>
    <row r="134" ht="62" customHeight="1">
      <c r="A134" s="9" t="n"/>
      <c r="B134" s="34" t="inlineStr">
        <is>
          <t>TRES O MAS PAREDES EXTERIORES</t>
        </is>
      </c>
      <c r="C134" s="9" t="inlineStr"/>
      <c r="D134" s="8">
        <f>IF(COUNT(H134,I134)&lt;2,"",ROUND(H134*I134,2))</f>
        <v/>
      </c>
      <c r="E134" s="25" t="n">
        <v>12</v>
      </c>
      <c r="F134" s="28">
        <f>IF(D134="","",ROUND(D134*E134,1))</f>
        <v/>
      </c>
      <c r="G134" s="2" t="n"/>
      <c r="H134" s="35" t="n"/>
      <c r="I134" s="35" t="n"/>
    </row>
    <row r="135" ht="70" customHeight="1">
      <c r="A135" s="16" t="inlineStr">
        <is>
          <t>6</t>
        </is>
      </c>
      <c r="B135" s="33" t="inlineStr">
        <is>
          <t>SUBTOTAL</t>
        </is>
      </c>
      <c r="C135" s="9" t="n"/>
      <c r="D135" s="9" t="n"/>
      <c r="E135" s="9" t="n"/>
      <c r="F135" s="36">
        <f>IF(F112="",0,F112)+IF(F114="",0,F114)+IF(F115="",0,F115)+IF(F116="",0,F116)+IF(F117="",0,F117)+IF(F118="",0,F118)+IF(F119="",0,F119)+IF(F120="",0,F120)+IF(F121="",0,F121)+IF(F122="",0,F122)+IF(F123="",0,F123)+IF(F125="",0,F125)+IF(F126="",0,F126)+IF(F127="",0,F127)+IF(F129="",0,F129)+IF(F130="",0,F130)+IF(F132="",0,F132)+IF(F133="",0,F133)+IF(F134="",0,F134)</f>
        <v/>
      </c>
      <c r="G135" s="2" t="n"/>
      <c r="H135" s="2" t="n"/>
      <c r="I135" s="2" t="n"/>
    </row>
    <row r="136" ht="47" customHeight="1">
      <c r="A136" s="16" t="inlineStr">
        <is>
          <t>7</t>
        </is>
      </c>
      <c r="B136" s="33" t="inlineStr">
        <is>
          <t>PERDIDA TOTAL</t>
        </is>
      </c>
      <c r="C136" s="9">
        <f>TEXT(F135,"0.00")&amp;"  X  "&amp;Datos_balance!$B$4&amp;" (FI)  X  "&amp;Datos_balance!$B$5&amp;" (FO)  X  "&amp;Datos_balance!$B$6&amp;" (FZ)"</f>
        <v/>
      </c>
      <c r="D136" s="2" t="n"/>
      <c r="E136" s="2" t="n"/>
      <c r="F136" s="36">
        <f>ROUND(F135*Datos_balance!$B$4*Datos_balance!$B$5*Datos_balance!$B$6,1)</f>
        <v/>
      </c>
      <c r="G136" s="2" t="n"/>
      <c r="H136" s="2" t="n"/>
      <c r="I136" s="2" t="n"/>
    </row>
    <row r="137">
      <c r="A137" s="2" t="n"/>
      <c r="B137" s="2" t="n"/>
      <c r="C137" s="2" t="n"/>
      <c r="D137" s="2" t="n"/>
      <c r="E137" s="2" t="n"/>
      <c r="F137" s="2" t="n"/>
      <c r="G137" s="2" t="n"/>
      <c r="H137" s="2" t="n"/>
      <c r="I137" s="2" t="n"/>
    </row>
    <row r="138" ht="62" customHeight="1">
      <c r="A138" s="9" t="n"/>
      <c r="B138" s="10" t="inlineStr">
        <is>
          <t>Salto termico:  dt = (te+ts)/2 - ti</t>
        </is>
      </c>
      <c r="C138" s="9">
        <f>TEXT((Datos_balance!$B$9+Datos_balance!$B$10)/2,"0")&amp;" - "&amp;TEXT(Datos_balance!$B$11,"0")&amp;" = "&amp;TEXT((Datos_balance!$B$9+Datos_balance!$B$10)/2-Datos_balance!$B$11,"0")&amp;" C"</f>
        <v/>
      </c>
      <c r="D138" s="2" t="n"/>
      <c r="E138" s="2" t="n"/>
      <c r="F138" s="9" t="n"/>
      <c r="G138" s="2" t="n"/>
      <c r="H138" s="2" t="n"/>
      <c r="I138" s="2" t="n"/>
    </row>
    <row r="139" ht="39.7" customHeight="1">
      <c r="A139" s="9" t="n"/>
      <c r="B139" s="10" t="inlineStr">
        <is>
          <t>Kcal/h por elemento</t>
        </is>
      </c>
      <c r="C139" s="8">
        <f>ROUND(Datos_balance!$B$14*Datos_balance!$B$15,2)</f>
        <v/>
      </c>
      <c r="D139" s="2" t="n"/>
      <c r="E139" s="2" t="n"/>
      <c r="F139" s="9" t="n"/>
      <c r="G139" s="2" t="n"/>
      <c r="H139" s="2" t="n"/>
      <c r="I139" s="2" t="n"/>
    </row>
    <row r="140" ht="39.7" customHeight="1">
      <c r="A140" s="9" t="n"/>
      <c r="B140" s="10" t="inlineStr">
        <is>
          <t>Elementos necesarios</t>
        </is>
      </c>
      <c r="C140" s="25">
        <f>ROUNDUP(F136/(Datos_balance!$B$14*Datos_balance!$B$15),0)</f>
        <v/>
      </c>
      <c r="D140" s="2" t="n"/>
      <c r="E140" s="2" t="n"/>
      <c r="F140" s="9" t="n"/>
      <c r="G140" s="2" t="n"/>
      <c r="H140" s="2" t="n"/>
      <c r="I140" s="2" t="n"/>
    </row>
    <row r="141" ht="39.7" customHeight="1">
      <c r="A141" s="9" t="n"/>
      <c r="B141" s="10" t="inlineStr">
        <is>
          <t>Ancho del radiador (cm)</t>
        </is>
      </c>
      <c r="C141" s="25">
        <f>ROUNDUP(F136/(Datos_balance!$B$14*Datos_balance!$B$15),0)*Datos_balance!$B$16</f>
        <v/>
      </c>
      <c r="D141" s="2" t="n"/>
      <c r="E141" s="2" t="n"/>
      <c r="F141" s="9" t="n"/>
      <c r="G141" s="2" t="n"/>
      <c r="H141" s="2" t="n"/>
      <c r="I141" s="2" t="n"/>
    </row>
    <row r="142" ht="39.7" customHeight="1">
      <c r="A142" s="13" t="n"/>
      <c r="B142" s="14" t="inlineStr">
        <is>
          <t>Radiador adoptado</t>
        </is>
      </c>
      <c r="C142" s="13">
        <f>Datos_balance!$B$13</f>
        <v/>
      </c>
      <c r="D142" s="20" t="n"/>
      <c r="E142" s="20" t="n"/>
      <c r="F142" s="13" t="n"/>
      <c r="G142" s="2" t="n"/>
      <c r="H142" s="2" t="n"/>
      <c r="I142" s="2" t="n"/>
    </row>
    <row r="143">
      <c r="A143" s="2" t="n"/>
      <c r="B143" s="2" t="n"/>
      <c r="C143" s="2" t="n"/>
      <c r="D143" s="2" t="n"/>
      <c r="E143" s="2" t="n"/>
      <c r="F143" s="2" t="n"/>
      <c r="G143" s="2" t="n"/>
      <c r="H143" s="2" t="n"/>
      <c r="I143" s="2" t="n"/>
    </row>
    <row r="144">
      <c r="A144" s="2" t="n"/>
      <c r="B144" s="2" t="n"/>
      <c r="C144" s="2" t="n"/>
      <c r="D144" s="2" t="n"/>
      <c r="E144" s="2" t="n"/>
      <c r="F144" s="2" t="n"/>
      <c r="G144" s="2" t="n"/>
      <c r="H144" s="2" t="n"/>
      <c r="I144" s="2" t="n"/>
    </row>
    <row r="145" ht="39.7" customHeight="1">
      <c r="A145" s="5" t="inlineStr">
        <is>
          <t>LOCAL  09 - Dormitorio suite   (PB)</t>
        </is>
      </c>
      <c r="B145" s="2" t="n"/>
      <c r="C145" s="2" t="n"/>
      <c r="D145" s="2" t="n"/>
      <c r="E145" s="2" t="n"/>
      <c r="F145" s="2" t="n"/>
      <c r="G145" s="2" t="n"/>
      <c r="H145" s="2" t="n"/>
      <c r="I145" s="2" t="n"/>
    </row>
    <row r="146" ht="39.7" customHeight="1">
      <c r="A146" s="3" t="inlineStr">
        <is>
          <t>Nro</t>
        </is>
      </c>
      <c r="B146" s="3" t="inlineStr">
        <is>
          <t>DESCRIPCION</t>
        </is>
      </c>
      <c r="C146" s="3" t="inlineStr">
        <is>
          <t>DIMENSIONES (m)</t>
        </is>
      </c>
      <c r="D146" s="3" t="inlineStr">
        <is>
          <t>AREA (m2)</t>
        </is>
      </c>
      <c r="E146" s="3" t="inlineStr">
        <is>
          <t>FACTOR</t>
        </is>
      </c>
      <c r="F146" s="3" t="inlineStr">
        <is>
          <t>PERDIDA CALOR (Kcal/h)</t>
        </is>
      </c>
      <c r="G146" s="2" t="n"/>
      <c r="H146" s="2" t="n"/>
      <c r="I146" s="2" t="n"/>
    </row>
    <row r="147" ht="39.7" customHeight="1">
      <c r="A147" s="16" t="inlineStr">
        <is>
          <t>1</t>
        </is>
      </c>
      <c r="B147" s="33" t="inlineStr">
        <is>
          <t>VENTANA</t>
        </is>
      </c>
      <c r="C147" s="9" t="n"/>
      <c r="D147" s="9" t="n"/>
      <c r="E147" s="9" t="n"/>
      <c r="F147" s="9" t="n"/>
      <c r="G147" s="2" t="n"/>
      <c r="H147" s="2" t="n"/>
      <c r="I147" s="2" t="n"/>
    </row>
    <row r="148" ht="62" customHeight="1">
      <c r="A148" s="9" t="n"/>
      <c r="B148" s="34" t="inlineStr">
        <is>
          <t>VA01 (2)</t>
        </is>
      </c>
      <c r="C148" s="9">
        <f>IF(COUNT(H148,I148)&lt;2,"",TEXT(H148,"0.00")&amp;" x "&amp;TEXT(I148,"0.00"))</f>
        <v/>
      </c>
      <c r="D148" s="8">
        <f>IF(COUNT(H148,I148)&lt;2,"",ROUND(H148*I148,2))</f>
        <v/>
      </c>
      <c r="E148" s="25" t="n">
        <v>60</v>
      </c>
      <c r="F148" s="28">
        <f>IF(D148="","",ROUND(D148*E148,1))</f>
        <v/>
      </c>
      <c r="G148" s="2" t="n"/>
      <c r="H148" s="35" t="n">
        <v>0.75</v>
      </c>
      <c r="I148" s="35" t="n">
        <v>3</v>
      </c>
    </row>
    <row r="149" ht="62" customHeight="1">
      <c r="A149" s="9" t="n"/>
      <c r="B149" s="34" t="inlineStr">
        <is>
          <t>PV03</t>
        </is>
      </c>
      <c r="C149" s="9">
        <f>IF(COUNT(H149,I149)&lt;2,"",TEXT(H149,"0.00")&amp;" x "&amp;TEXT(I149,"0.00"))</f>
        <v/>
      </c>
      <c r="D149" s="8">
        <f>IF(COUNT(H149,I149)&lt;2,"",ROUND(H149*I149,2))</f>
        <v/>
      </c>
      <c r="E149" s="25" t="n">
        <v>60</v>
      </c>
      <c r="F149" s="28">
        <f>IF(D149="","",ROUND(D149*E149,1))</f>
        <v/>
      </c>
      <c r="G149" s="2" t="n"/>
      <c r="H149" s="35" t="n">
        <v>1.76</v>
      </c>
      <c r="I149" s="35" t="n">
        <v>3</v>
      </c>
    </row>
    <row r="150" ht="39.7" customHeight="1">
      <c r="A150" s="16" t="inlineStr">
        <is>
          <t>2</t>
        </is>
      </c>
      <c r="B150" s="33" t="inlineStr">
        <is>
          <t>PAREDES EXTERIORES</t>
        </is>
      </c>
      <c r="C150" s="9" t="n"/>
      <c r="D150" s="9" t="n"/>
      <c r="E150" s="9" t="n"/>
      <c r="F150" s="9" t="n"/>
      <c r="G150" s="2" t="n"/>
      <c r="H150" s="2" t="n"/>
      <c r="I150" s="2"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AISLADAS (    )</t>
        </is>
      </c>
      <c r="C153" s="9">
        <f>IF(COUNT(H153,I153)&lt;2,"",TEXT(H153,"0.00")&amp;" x "&amp;TEXT(I153,"0.00"))</f>
        <v/>
      </c>
      <c r="D153" s="8">
        <f>IF(COUNT(H153,I153)&lt;2,"",ROUND(H153*I153,2))</f>
        <v/>
      </c>
      <c r="E153" s="25" t="n">
        <v>20</v>
      </c>
      <c r="F153" s="28">
        <f>IF(D153="","",ROUND(D153*E153,1))</f>
        <v/>
      </c>
      <c r="G153" s="2" t="n"/>
      <c r="H153" s="35" t="n"/>
      <c r="I153" s="35" t="n"/>
    </row>
    <row r="154" ht="62" customHeight="1">
      <c r="A154" s="9" t="n"/>
      <c r="B154" s="34" t="inlineStr">
        <is>
          <t>AISLADAS (    )</t>
        </is>
      </c>
      <c r="C154" s="9">
        <f>IF(COUNT(H154,I154)&lt;2,"",TEXT(H154,"0.00")&amp;" x "&amp;TEXT(I154,"0.00"))</f>
        <v/>
      </c>
      <c r="D154" s="8">
        <f>IF(COUNT(H154,I154)&lt;2,"",ROUND(H154*I154,2))</f>
        <v/>
      </c>
      <c r="E154" s="25" t="n">
        <v>20</v>
      </c>
      <c r="F154" s="28">
        <f>IF(D154="","",ROUND(D154*E154,1))</f>
        <v/>
      </c>
      <c r="G154" s="2" t="n"/>
      <c r="H154" s="35" t="n"/>
      <c r="I154" s="35" t="n"/>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3.5</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3.5</v>
      </c>
      <c r="I156" s="35" t="n">
        <v>3</v>
      </c>
    </row>
    <row r="157" ht="62" customHeight="1">
      <c r="A157" s="9" t="n"/>
      <c r="B157" s="34" t="inlineStr">
        <is>
          <t>INTERIORES (    )</t>
        </is>
      </c>
      <c r="C157" s="9">
        <f>IF(COUNT(H157,I157)&lt;2,"",TEXT(H157,"0.00")&amp;" x "&amp;TEXT(I157,"0.00"))</f>
        <v/>
      </c>
      <c r="D157" s="8">
        <f>IF(COUNT(H157,I157)&lt;2,"",ROUND(H157*I157,2))</f>
        <v/>
      </c>
      <c r="E157" s="25" t="n">
        <v>25</v>
      </c>
      <c r="F157" s="28">
        <f>IF(D157="","",ROUND(D157*E157,1))</f>
        <v/>
      </c>
      <c r="G157" s="2" t="n"/>
      <c r="H157" s="35" t="n">
        <v>3.5</v>
      </c>
      <c r="I157" s="35" t="n">
        <v>3</v>
      </c>
    </row>
    <row r="158" ht="62" customHeight="1">
      <c r="A158" s="9" t="n"/>
      <c r="B158" s="34" t="inlineStr">
        <is>
          <t>INTERIORES (    )</t>
        </is>
      </c>
      <c r="C158" s="9">
        <f>IF(COUNT(H158,I158)&lt;2,"",TEXT(H158,"0.00")&amp;" x "&amp;TEXT(I158,"0.00"))</f>
        <v/>
      </c>
      <c r="D158" s="8">
        <f>IF(COUNT(H158,I158)&lt;2,"",ROUND(H158*I158,2))</f>
        <v/>
      </c>
      <c r="E158" s="25" t="n">
        <v>25</v>
      </c>
      <c r="F158" s="28">
        <f>IF(D158="","",ROUND(D158*E158,1))</f>
        <v/>
      </c>
      <c r="G158" s="2" t="n"/>
      <c r="H158" s="35" t="n">
        <v>3.5</v>
      </c>
      <c r="I158" s="35" t="n">
        <v>3</v>
      </c>
    </row>
    <row r="159" ht="39.7" customHeight="1">
      <c r="A159" s="16" t="inlineStr">
        <is>
          <t>3</t>
        </is>
      </c>
      <c r="B159" s="33" t="inlineStr">
        <is>
          <t>TECHOS O CIELORRASOS</t>
        </is>
      </c>
      <c r="C159" s="9" t="n"/>
      <c r="D159" s="9" t="n"/>
      <c r="E159" s="9" t="n"/>
      <c r="F159" s="9" t="n"/>
      <c r="G159" s="2" t="n"/>
      <c r="H159" s="2" t="n"/>
      <c r="I159" s="2" t="n"/>
    </row>
    <row r="160" ht="62" customHeight="1">
      <c r="A160" s="9" t="n"/>
      <c r="B160" s="34" t="inlineStr">
        <is>
          <t>TECHO NO AISLADO</t>
        </is>
      </c>
      <c r="C160" s="9" t="inlineStr"/>
      <c r="D160" s="8">
        <f>IF(COUNT(H160,I160)&lt;2,"",ROUND(H160*I160,2))</f>
        <v/>
      </c>
      <c r="E160" s="25" t="n">
        <v>30</v>
      </c>
      <c r="F160" s="28">
        <f>IF(D160="","",ROUND(D160*E160,1))</f>
        <v/>
      </c>
      <c r="G160" s="2" t="n"/>
      <c r="H160" s="35" t="n"/>
      <c r="I160" s="35" t="n"/>
    </row>
    <row r="161" ht="62" customHeight="1">
      <c r="A161" s="9" t="n"/>
      <c r="B161" s="34" t="inlineStr">
        <is>
          <t>TECHO AISLADO</t>
        </is>
      </c>
      <c r="C161" s="9" t="inlineStr"/>
      <c r="D161" s="8">
        <f>IF(COUNT(H161,I161)&lt;2,"",ROUND(H161*I161,2))</f>
        <v/>
      </c>
      <c r="E161" s="25" t="n">
        <v>20</v>
      </c>
      <c r="F161" s="28">
        <f>IF(D161="","",ROUND(D161*E161,1))</f>
        <v/>
      </c>
      <c r="G161" s="2" t="n"/>
      <c r="H161" s="35" t="n"/>
      <c r="I161" s="35" t="n"/>
    </row>
    <row r="162" ht="39.7" customHeight="1">
      <c r="A162" s="9" t="n"/>
      <c r="B162" s="34" t="inlineStr">
        <is>
          <t>TECHO ENTREPISO</t>
        </is>
      </c>
      <c r="C162" s="9" t="inlineStr">
        <is>
          <t>por croquis</t>
        </is>
      </c>
      <c r="D162" s="8" t="n">
        <v>12.25</v>
      </c>
      <c r="E162" s="25" t="n">
        <v>15</v>
      </c>
      <c r="F162" s="28">
        <f>IF(D162="","",ROUND(D162*E162,1))</f>
        <v/>
      </c>
      <c r="G162" s="2" t="n"/>
      <c r="H162" s="35" t="n"/>
      <c r="I162" s="35" t="n"/>
    </row>
    <row r="163" ht="39.7" customHeight="1">
      <c r="A163" s="16" t="inlineStr">
        <is>
          <t>4</t>
        </is>
      </c>
      <c r="B163" s="33" t="inlineStr">
        <is>
          <t>PISO</t>
        </is>
      </c>
      <c r="C163" s="9" t="n"/>
      <c r="D163" s="9" t="n"/>
      <c r="E163" s="9" t="n"/>
      <c r="F163" s="9" t="n"/>
      <c r="G163" s="2" t="n"/>
      <c r="H163" s="2" t="n"/>
      <c r="I163" s="2" t="n"/>
    </row>
    <row r="164" ht="39.7" customHeight="1">
      <c r="A164" s="9" t="n"/>
      <c r="B164" s="34" t="inlineStr">
        <is>
          <t>SOBRE TIERRA</t>
        </is>
      </c>
      <c r="C164" s="9" t="inlineStr">
        <is>
          <t>por croquis</t>
        </is>
      </c>
      <c r="D164" s="8" t="n">
        <v>12.25</v>
      </c>
      <c r="E164" s="25" t="n">
        <v>10</v>
      </c>
      <c r="F164" s="28">
        <f>IF(D164="","",ROUND(D164*E164,1))</f>
        <v/>
      </c>
      <c r="G164" s="2" t="n"/>
      <c r="H164" s="35" t="n"/>
      <c r="I164" s="35" t="n"/>
    </row>
    <row r="165" ht="62" customHeight="1">
      <c r="A165" s="9" t="n"/>
      <c r="B165" s="34" t="inlineStr">
        <is>
          <t>SOBRE LOCAL OCUPADO</t>
        </is>
      </c>
      <c r="C165" s="9" t="inlineStr"/>
      <c r="D165" s="8">
        <f>IF(COUNT(H165,I165)&lt;2,"",ROUND(H165*I165,2))</f>
        <v/>
      </c>
      <c r="E165" s="25" t="n">
        <v>15</v>
      </c>
      <c r="F165" s="28">
        <f>IF(D165="","",ROUND(D165*E165,1))</f>
        <v/>
      </c>
      <c r="G165" s="2" t="n"/>
      <c r="H165" s="35" t="n"/>
      <c r="I165" s="35" t="n"/>
    </row>
    <row r="166" ht="39.7" customHeight="1">
      <c r="A166" s="16" t="inlineStr">
        <is>
          <t>5</t>
        </is>
      </c>
      <c r="B166" s="33" t="inlineStr">
        <is>
          <t>INFILTRACION</t>
        </is>
      </c>
      <c r="C166" s="9" t="n"/>
      <c r="D166" s="16" t="inlineStr">
        <is>
          <t>VOLUMEN (m3)</t>
        </is>
      </c>
      <c r="E166" s="9" t="n"/>
      <c r="F166" s="9" t="n"/>
      <c r="G166" s="2" t="n"/>
      <c r="H166" s="2" t="n"/>
      <c r="I166" s="2" t="n"/>
    </row>
    <row r="167" ht="62" customHeight="1">
      <c r="A167" s="9" t="n"/>
      <c r="B167" s="34" t="inlineStr">
        <is>
          <t>UNA PARED EXTERIOR</t>
        </is>
      </c>
      <c r="C167" s="9" t="inlineStr"/>
      <c r="D167" s="8">
        <f>IF(COUNT(H167,I167)&lt;2,"",ROUND(H167*I167,2))</f>
        <v/>
      </c>
      <c r="E167" s="25" t="n">
        <v>6</v>
      </c>
      <c r="F167" s="28">
        <f>IF(D167="","",ROUND(D167*E167,1))</f>
        <v/>
      </c>
      <c r="G167" s="2" t="n"/>
      <c r="H167" s="35" t="n"/>
      <c r="I167" s="35" t="n"/>
    </row>
    <row r="168" ht="39.7" customHeight="1">
      <c r="A168" s="9" t="n"/>
      <c r="B168" s="34" t="inlineStr">
        <is>
          <t>DOS PAREDES EXTERIORES</t>
        </is>
      </c>
      <c r="C168" s="9" t="inlineStr">
        <is>
          <t>12.25 m2 x 3.00</t>
        </is>
      </c>
      <c r="D168" s="8" t="n">
        <v>36.75</v>
      </c>
      <c r="E168" s="25" t="n">
        <v>9</v>
      </c>
      <c r="F168" s="28">
        <f>IF(D168="","",ROUND(D168*E168,1))</f>
        <v/>
      </c>
      <c r="G168" s="2" t="n"/>
      <c r="H168" s="35" t="n"/>
      <c r="I168" s="35" t="n"/>
    </row>
    <row r="169" ht="62" customHeight="1">
      <c r="A169" s="9" t="n"/>
      <c r="B169" s="34" t="inlineStr">
        <is>
          <t>TRES O MAS PAREDES EXTERIORES</t>
        </is>
      </c>
      <c r="C169" s="9" t="inlineStr"/>
      <c r="D169" s="8">
        <f>IF(COUNT(H169,I169)&lt;2,"",ROUND(H169*I169,2))</f>
        <v/>
      </c>
      <c r="E169" s="25" t="n">
        <v>12</v>
      </c>
      <c r="F169" s="28">
        <f>IF(D169="","",ROUND(D169*E169,1))</f>
        <v/>
      </c>
      <c r="G169" s="2" t="n"/>
      <c r="H169" s="35" t="n"/>
      <c r="I169" s="35" t="n"/>
    </row>
    <row r="170" ht="70" customHeight="1">
      <c r="A170" s="16" t="inlineStr">
        <is>
          <t>6</t>
        </is>
      </c>
      <c r="B170" s="33" t="inlineStr">
        <is>
          <t>SUBTOTAL</t>
        </is>
      </c>
      <c r="C170" s="9" t="n"/>
      <c r="D170" s="9" t="n"/>
      <c r="E170" s="9" t="n"/>
      <c r="F170" s="36">
        <f>IF(F148="",0,F148)+IF(F149="",0,F149)+IF(F151="",0,F151)+IF(F152="",0,F152)+IF(F153="",0,F153)+IF(F154="",0,F154)+IF(F155="",0,F155)+IF(F156="",0,F156)+IF(F157="",0,F157)+IF(F158="",0,F158)+IF(F160="",0,F160)+IF(F161="",0,F161)+IF(F162="",0,F162)+IF(F164="",0,F164)+IF(F165="",0,F165)+IF(F167="",0,F167)+IF(F168="",0,F168)+IF(F169="",0,F169)</f>
        <v/>
      </c>
      <c r="G170" s="2" t="n"/>
      <c r="H170" s="2" t="n"/>
      <c r="I170" s="2" t="n"/>
    </row>
    <row r="171" ht="47" customHeight="1">
      <c r="A171" s="16" t="inlineStr">
        <is>
          <t>7</t>
        </is>
      </c>
      <c r="B171" s="33" t="inlineStr">
        <is>
          <t>PERDIDA TOTAL</t>
        </is>
      </c>
      <c r="C171" s="9">
        <f>TEXT(F170,"0.00")&amp;"  X  "&amp;Datos_balance!$B$4&amp;" (FI)  X  "&amp;Datos_balance!$B$5&amp;" (FO)  X  "&amp;Datos_balance!$B$6&amp;" (FZ)"</f>
        <v/>
      </c>
      <c r="D171" s="2" t="n"/>
      <c r="E171" s="2" t="n"/>
      <c r="F171" s="36">
        <f>ROUND(F170*Datos_balance!$B$4*Datos_balance!$B$5*Datos_balance!$B$6,1)</f>
        <v/>
      </c>
      <c r="G171" s="2" t="n"/>
      <c r="H171" s="2" t="n"/>
      <c r="I171" s="2" t="n"/>
    </row>
    <row r="172">
      <c r="A172" s="2" t="n"/>
      <c r="B172" s="2" t="n"/>
      <c r="C172" s="2" t="n"/>
      <c r="D172" s="2" t="n"/>
      <c r="E172" s="2" t="n"/>
      <c r="F172" s="2" t="n"/>
      <c r="G172" s="2" t="n"/>
      <c r="H172" s="2" t="n"/>
      <c r="I172" s="2" t="n"/>
    </row>
    <row r="173" ht="62" customHeight="1">
      <c r="A173" s="9" t="n"/>
      <c r="B173" s="10" t="inlineStr">
        <is>
          <t>Salto termico:  dt = (te+ts)/2 - ti</t>
        </is>
      </c>
      <c r="C173" s="9">
        <f>TEXT((Datos_balance!$B$9+Datos_balance!$B$10)/2,"0")&amp;" - "&amp;TEXT(Datos_balance!$B$11,"0")&amp;" = "&amp;TEXT((Datos_balance!$B$9+Datos_balance!$B$10)/2-Datos_balance!$B$11,"0")&amp;" C"</f>
        <v/>
      </c>
      <c r="D173" s="2" t="n"/>
      <c r="E173" s="2" t="n"/>
      <c r="F173" s="9" t="n"/>
      <c r="G173" s="2" t="n"/>
      <c r="H173" s="2" t="n"/>
      <c r="I173" s="2" t="n"/>
    </row>
    <row r="174" ht="39.7" customHeight="1">
      <c r="A174" s="9" t="n"/>
      <c r="B174" s="10" t="inlineStr">
        <is>
          <t>Kcal/h por elemento</t>
        </is>
      </c>
      <c r="C174" s="8">
        <f>ROUND(Datos_balance!$B$14*Datos_balance!$B$15,2)</f>
        <v/>
      </c>
      <c r="D174" s="2" t="n"/>
      <c r="E174" s="2" t="n"/>
      <c r="F174" s="9" t="n"/>
      <c r="G174" s="2" t="n"/>
      <c r="H174" s="2" t="n"/>
      <c r="I174" s="2" t="n"/>
    </row>
    <row r="175" ht="39.7" customHeight="1">
      <c r="A175" s="9" t="n"/>
      <c r="B175" s="10" t="inlineStr">
        <is>
          <t>Elementos necesarios</t>
        </is>
      </c>
      <c r="C175" s="25">
        <f>ROUNDUP(F171/(Datos_balance!$B$14*Datos_balance!$B$15),0)</f>
        <v/>
      </c>
      <c r="D175" s="2" t="n"/>
      <c r="E175" s="2" t="n"/>
      <c r="F175" s="9" t="n"/>
      <c r="G175" s="2" t="n"/>
      <c r="H175" s="2" t="n"/>
      <c r="I175" s="2" t="n"/>
    </row>
    <row r="176" ht="39.7" customHeight="1">
      <c r="A176" s="9" t="n"/>
      <c r="B176" s="10" t="inlineStr">
        <is>
          <t>Ancho del radiador (cm)</t>
        </is>
      </c>
      <c r="C176" s="25">
        <f>ROUNDUP(F171/(Datos_balance!$B$14*Datos_balance!$B$15),0)*Datos_balance!$B$16</f>
        <v/>
      </c>
      <c r="D176" s="2" t="n"/>
      <c r="E176" s="2" t="n"/>
      <c r="F176" s="9" t="n"/>
      <c r="G176" s="2" t="n"/>
      <c r="H176" s="2" t="n"/>
      <c r="I176" s="2" t="n"/>
    </row>
    <row r="177" ht="39.7" customHeight="1">
      <c r="A177" s="13" t="n"/>
      <c r="B177" s="14" t="inlineStr">
        <is>
          <t>Radiador adoptado</t>
        </is>
      </c>
      <c r="C177" s="13">
        <f>Datos_balance!$B$13</f>
        <v/>
      </c>
      <c r="D177" s="20" t="n"/>
      <c r="E177" s="20" t="n"/>
      <c r="F177" s="13" t="n"/>
      <c r="G177" s="2" t="n"/>
      <c r="H177" s="2" t="n"/>
      <c r="I177" s="2" t="n"/>
    </row>
    <row r="178">
      <c r="A178" s="2" t="n"/>
      <c r="B178" s="2" t="n"/>
      <c r="C178" s="2" t="n"/>
      <c r="D178" s="2" t="n"/>
      <c r="E178" s="2" t="n"/>
      <c r="F178" s="2" t="n"/>
      <c r="G178" s="2" t="n"/>
      <c r="H178" s="2" t="n"/>
      <c r="I178" s="2" t="n"/>
    </row>
    <row r="179">
      <c r="A179" s="2" t="n"/>
      <c r="B179" s="2" t="n"/>
      <c r="C179" s="2" t="n"/>
      <c r="D179" s="2" t="n"/>
      <c r="E179" s="2" t="n"/>
      <c r="F179" s="2" t="n"/>
      <c r="G179" s="2" t="n"/>
      <c r="H179" s="2" t="n"/>
      <c r="I179" s="2" t="n"/>
    </row>
    <row r="180" ht="39.7" customHeight="1">
      <c r="A180" s="5" t="inlineStr">
        <is>
          <t>LOCAL  10 - Bano suite   (PB)</t>
        </is>
      </c>
      <c r="B180" s="2" t="n"/>
      <c r="C180" s="2" t="n"/>
      <c r="D180" s="2" t="n"/>
      <c r="E180" s="2" t="n"/>
      <c r="F180" s="2" t="n"/>
      <c r="G180" s="2" t="n"/>
      <c r="H180" s="2" t="n"/>
      <c r="I180" s="2" t="n"/>
    </row>
    <row r="181" ht="39.7" customHeight="1">
      <c r="A181" s="3" t="inlineStr">
        <is>
          <t>Nro</t>
        </is>
      </c>
      <c r="B181" s="3" t="inlineStr">
        <is>
          <t>DESCRIPCION</t>
        </is>
      </c>
      <c r="C181" s="3" t="inlineStr">
        <is>
          <t>DIMENSIONES (m)</t>
        </is>
      </c>
      <c r="D181" s="3" t="inlineStr">
        <is>
          <t>AREA (m2)</t>
        </is>
      </c>
      <c r="E181" s="3" t="inlineStr">
        <is>
          <t>FACTOR</t>
        </is>
      </c>
      <c r="F181" s="3" t="inlineStr">
        <is>
          <t>PERDIDA CALOR (Kcal/h)</t>
        </is>
      </c>
      <c r="G181" s="2" t="n"/>
      <c r="H181" s="2" t="n"/>
      <c r="I181" s="2" t="n"/>
    </row>
    <row r="182" ht="39.7" customHeight="1">
      <c r="A182" s="16" t="inlineStr">
        <is>
          <t>1</t>
        </is>
      </c>
      <c r="B182" s="33" t="inlineStr">
        <is>
          <t>VENTANA</t>
        </is>
      </c>
      <c r="C182" s="9" t="n"/>
      <c r="D182" s="9" t="n"/>
      <c r="E182" s="9" t="n"/>
      <c r="F182" s="9" t="n"/>
      <c r="G182" s="2" t="n"/>
      <c r="H182" s="2" t="n"/>
      <c r="I182" s="2" t="n"/>
    </row>
    <row r="183" ht="62" customHeight="1">
      <c r="A183" s="9" t="n"/>
      <c r="B183" s="34" t="inlineStr">
        <is>
          <t>VA02</t>
        </is>
      </c>
      <c r="C183" s="9">
        <f>IF(COUNT(H183,I183)&lt;2,"",TEXT(H183,"0.00")&amp;" x "&amp;TEXT(I183,"0.00"))</f>
        <v/>
      </c>
      <c r="D183" s="8">
        <f>IF(COUNT(H183,I183)&lt;2,"",ROUND(H183*I183,2))</f>
        <v/>
      </c>
      <c r="E183" s="25" t="n">
        <v>60</v>
      </c>
      <c r="F183" s="28">
        <f>IF(D183="","",ROUND(D183*E183,1))</f>
        <v/>
      </c>
      <c r="G183" s="2" t="n"/>
      <c r="H183" s="35" t="n">
        <v>0.75</v>
      </c>
      <c r="I183" s="35" t="n">
        <v>2.15</v>
      </c>
    </row>
    <row r="184" ht="39.7" customHeight="1">
      <c r="A184" s="16" t="inlineStr">
        <is>
          <t>2</t>
        </is>
      </c>
      <c r="B184" s="33" t="inlineStr">
        <is>
          <t>PAREDES EXTERIORES</t>
        </is>
      </c>
      <c r="C184" s="9" t="n"/>
      <c r="D184" s="9" t="n"/>
      <c r="E184" s="9" t="n"/>
      <c r="F184" s="9" t="n"/>
      <c r="G184" s="2" t="n"/>
      <c r="H184" s="2" t="n"/>
      <c r="I184" s="2"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AISLADAS (    )</t>
        </is>
      </c>
      <c r="C187" s="9">
        <f>IF(COUNT(H187,I187)&lt;2,"",TEXT(H187,"0.00")&amp;" x "&amp;TEXT(I187,"0.00"))</f>
        <v/>
      </c>
      <c r="D187" s="8">
        <f>IF(COUNT(H187,I187)&lt;2,"",ROUND(H187*I187,2))</f>
        <v/>
      </c>
      <c r="E187" s="25" t="n">
        <v>20</v>
      </c>
      <c r="F187" s="28">
        <f>IF(D187="","",ROUND(D187*E187,1))</f>
        <v/>
      </c>
      <c r="G187" s="2" t="n"/>
      <c r="H187" s="35" t="n"/>
      <c r="I187" s="35" t="n"/>
    </row>
    <row r="188" ht="62" customHeight="1">
      <c r="A188" s="9" t="n"/>
      <c r="B188" s="34" t="inlineStr">
        <is>
          <t>AISLADAS (    )</t>
        </is>
      </c>
      <c r="C188" s="9">
        <f>IF(COUNT(H188,I188)&lt;2,"",TEXT(H188,"0.00")&amp;" x "&amp;TEXT(I188,"0.00"))</f>
        <v/>
      </c>
      <c r="D188" s="8">
        <f>IF(COUNT(H188,I188)&lt;2,"",ROUND(H188*I188,2))</f>
        <v/>
      </c>
      <c r="E188" s="25" t="n">
        <v>20</v>
      </c>
      <c r="F188" s="28">
        <f>IF(D188="","",ROUND(D188*E188,1))</f>
        <v/>
      </c>
      <c r="G188" s="2" t="n"/>
      <c r="H188" s="35" t="n"/>
      <c r="I188" s="35" t="n"/>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3.3</v>
      </c>
      <c r="I189" s="35" t="n">
        <v>3</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1.7</v>
      </c>
      <c r="I190" s="35" t="n">
        <v>3</v>
      </c>
    </row>
    <row r="191" ht="62" customHeight="1">
      <c r="A191" s="9" t="n"/>
      <c r="B191" s="34" t="inlineStr">
        <is>
          <t>INTERIORES (    )</t>
        </is>
      </c>
      <c r="C191" s="9">
        <f>IF(COUNT(H191,I191)&lt;2,"",TEXT(H191,"0.00")&amp;" x "&amp;TEXT(I191,"0.00"))</f>
        <v/>
      </c>
      <c r="D191" s="8">
        <f>IF(COUNT(H191,I191)&lt;2,"",ROUND(H191*I191,2))</f>
        <v/>
      </c>
      <c r="E191" s="25" t="n">
        <v>25</v>
      </c>
      <c r="F191" s="28">
        <f>IF(D191="","",ROUND(D191*E191,1))</f>
        <v/>
      </c>
      <c r="G191" s="2" t="n"/>
      <c r="H191" s="35" t="n">
        <v>3.3</v>
      </c>
      <c r="I191" s="35" t="n">
        <v>3</v>
      </c>
    </row>
    <row r="192" ht="62" customHeight="1">
      <c r="A192" s="9" t="n"/>
      <c r="B192" s="34" t="inlineStr">
        <is>
          <t>INTERIORES (    )</t>
        </is>
      </c>
      <c r="C192" s="9">
        <f>IF(COUNT(H192,I192)&lt;2,"",TEXT(H192,"0.00")&amp;" x "&amp;TEXT(I192,"0.00"))</f>
        <v/>
      </c>
      <c r="D192" s="8">
        <f>IF(COUNT(H192,I192)&lt;2,"",ROUND(H192*I192,2))</f>
        <v/>
      </c>
      <c r="E192" s="25" t="n">
        <v>25</v>
      </c>
      <c r="F192" s="28">
        <f>IF(D192="","",ROUND(D192*E192,1))</f>
        <v/>
      </c>
      <c r="G192" s="2" t="n"/>
      <c r="H192" s="35" t="n">
        <v>1.7</v>
      </c>
      <c r="I192" s="35" t="n">
        <v>3</v>
      </c>
    </row>
    <row r="193" ht="39.7" customHeight="1">
      <c r="A193" s="16" t="inlineStr">
        <is>
          <t>3</t>
        </is>
      </c>
      <c r="B193" s="33" t="inlineStr">
        <is>
          <t>TECHOS O CIELORRASOS</t>
        </is>
      </c>
      <c r="C193" s="9" t="n"/>
      <c r="D193" s="9" t="n"/>
      <c r="E193" s="9" t="n"/>
      <c r="F193" s="9" t="n"/>
      <c r="G193" s="2" t="n"/>
      <c r="H193" s="2" t="n"/>
      <c r="I193" s="2" t="n"/>
    </row>
    <row r="194" ht="62" customHeight="1">
      <c r="A194" s="9" t="n"/>
      <c r="B194" s="34" t="inlineStr">
        <is>
          <t>TECHO NO AISLADO</t>
        </is>
      </c>
      <c r="C194" s="9" t="inlineStr"/>
      <c r="D194" s="8">
        <f>IF(COUNT(H194,I194)&lt;2,"",ROUND(H194*I194,2))</f>
        <v/>
      </c>
      <c r="E194" s="25" t="n">
        <v>30</v>
      </c>
      <c r="F194" s="28">
        <f>IF(D194="","",ROUND(D194*E194,1))</f>
        <v/>
      </c>
      <c r="G194" s="2" t="n"/>
      <c r="H194" s="35" t="n"/>
      <c r="I194" s="35" t="n"/>
    </row>
    <row r="195" ht="62" customHeight="1">
      <c r="A195" s="9" t="n"/>
      <c r="B195" s="34" t="inlineStr">
        <is>
          <t>TECHO AISLADO</t>
        </is>
      </c>
      <c r="C195" s="9" t="inlineStr"/>
      <c r="D195" s="8">
        <f>IF(COUNT(H195,I195)&lt;2,"",ROUND(H195*I195,2))</f>
        <v/>
      </c>
      <c r="E195" s="25" t="n">
        <v>20</v>
      </c>
      <c r="F195" s="28">
        <f>IF(D195="","",ROUND(D195*E195,1))</f>
        <v/>
      </c>
      <c r="G195" s="2" t="n"/>
      <c r="H195" s="35" t="n"/>
      <c r="I195" s="35" t="n"/>
    </row>
    <row r="196" ht="39.7" customHeight="1">
      <c r="A196" s="9" t="n"/>
      <c r="B196" s="34" t="inlineStr">
        <is>
          <t>TECHO ENTREPISO</t>
        </is>
      </c>
      <c r="C196" s="9" t="inlineStr">
        <is>
          <t>por croquis</t>
        </is>
      </c>
      <c r="D196" s="8" t="n">
        <v>5.61</v>
      </c>
      <c r="E196" s="25" t="n">
        <v>15</v>
      </c>
      <c r="F196" s="28">
        <f>IF(D196="","",ROUND(D196*E196,1))</f>
        <v/>
      </c>
      <c r="G196" s="2" t="n"/>
      <c r="H196" s="35" t="n"/>
      <c r="I196" s="35" t="n"/>
    </row>
    <row r="197" ht="39.7" customHeight="1">
      <c r="A197" s="16" t="inlineStr">
        <is>
          <t>4</t>
        </is>
      </c>
      <c r="B197" s="33" t="inlineStr">
        <is>
          <t>PISO</t>
        </is>
      </c>
      <c r="C197" s="9" t="n"/>
      <c r="D197" s="9" t="n"/>
      <c r="E197" s="9" t="n"/>
      <c r="F197" s="9" t="n"/>
      <c r="G197" s="2" t="n"/>
      <c r="H197" s="2" t="n"/>
      <c r="I197" s="2" t="n"/>
    </row>
    <row r="198" ht="39.7" customHeight="1">
      <c r="A198" s="9" t="n"/>
      <c r="B198" s="34" t="inlineStr">
        <is>
          <t>SOBRE TIERRA</t>
        </is>
      </c>
      <c r="C198" s="9" t="inlineStr">
        <is>
          <t>por croquis</t>
        </is>
      </c>
      <c r="D198" s="8" t="n">
        <v>5.61</v>
      </c>
      <c r="E198" s="25" t="n">
        <v>10</v>
      </c>
      <c r="F198" s="28">
        <f>IF(D198="","",ROUND(D198*E198,1))</f>
        <v/>
      </c>
      <c r="G198" s="2" t="n"/>
      <c r="H198" s="35" t="n"/>
      <c r="I198" s="35" t="n"/>
    </row>
    <row r="199" ht="62" customHeight="1">
      <c r="A199" s="9" t="n"/>
      <c r="B199" s="34" t="inlineStr">
        <is>
          <t>SOBRE LOCAL OCUPADO</t>
        </is>
      </c>
      <c r="C199" s="9" t="inlineStr"/>
      <c r="D199" s="8">
        <f>IF(COUNT(H199,I199)&lt;2,"",ROUND(H199*I199,2))</f>
        <v/>
      </c>
      <c r="E199" s="25" t="n">
        <v>15</v>
      </c>
      <c r="F199" s="28">
        <f>IF(D199="","",ROUND(D199*E199,1))</f>
        <v/>
      </c>
      <c r="G199" s="2" t="n"/>
      <c r="H199" s="35" t="n"/>
      <c r="I199" s="35" t="n"/>
    </row>
    <row r="200" ht="39.7" customHeight="1">
      <c r="A200" s="16" t="inlineStr">
        <is>
          <t>5</t>
        </is>
      </c>
      <c r="B200" s="33" t="inlineStr">
        <is>
          <t>INFILTRACION</t>
        </is>
      </c>
      <c r="C200" s="9" t="n"/>
      <c r="D200" s="16" t="inlineStr">
        <is>
          <t>VOLUMEN (m3)</t>
        </is>
      </c>
      <c r="E200" s="9" t="n"/>
      <c r="F200" s="9" t="n"/>
      <c r="G200" s="2" t="n"/>
      <c r="H200" s="2" t="n"/>
      <c r="I200" s="2" t="n"/>
    </row>
    <row r="201" ht="39.7" customHeight="1">
      <c r="A201" s="9" t="n"/>
      <c r="B201" s="34" t="inlineStr">
        <is>
          <t>UNA PARED EXTERIOR</t>
        </is>
      </c>
      <c r="C201" s="9" t="inlineStr">
        <is>
          <t>5.61 m2 x 3.00</t>
        </is>
      </c>
      <c r="D201" s="8" t="n">
        <v>16.83</v>
      </c>
      <c r="E201" s="25" t="n">
        <v>6</v>
      </c>
      <c r="F201" s="28">
        <f>IF(D201="","",ROUND(D201*E201,1))</f>
        <v/>
      </c>
      <c r="G201" s="2" t="n"/>
      <c r="H201" s="35" t="n"/>
      <c r="I201" s="35" t="n"/>
    </row>
    <row r="202" ht="62" customHeight="1">
      <c r="A202" s="9" t="n"/>
      <c r="B202" s="34" t="inlineStr">
        <is>
          <t>DOS PAREDES EXTERIORES</t>
        </is>
      </c>
      <c r="C202" s="9" t="inlineStr"/>
      <c r="D202" s="8">
        <f>IF(COUNT(H202,I202)&lt;2,"",ROUND(H202*I202,2))</f>
        <v/>
      </c>
      <c r="E202" s="25" t="n">
        <v>9</v>
      </c>
      <c r="F202" s="28">
        <f>IF(D202="","",ROUND(D202*E202,1))</f>
        <v/>
      </c>
      <c r="G202" s="2" t="n"/>
      <c r="H202" s="35" t="n"/>
      <c r="I202" s="35" t="n"/>
    </row>
    <row r="203" ht="62" customHeight="1">
      <c r="A203" s="9" t="n"/>
      <c r="B203" s="34" t="inlineStr">
        <is>
          <t>TRES O MAS PAREDES EXTERIORES</t>
        </is>
      </c>
      <c r="C203" s="9" t="inlineStr"/>
      <c r="D203" s="8">
        <f>IF(COUNT(H203,I203)&lt;2,"",ROUND(H203*I203,2))</f>
        <v/>
      </c>
      <c r="E203" s="25" t="n">
        <v>12</v>
      </c>
      <c r="F203" s="28">
        <f>IF(D203="","",ROUND(D203*E203,1))</f>
        <v/>
      </c>
      <c r="G203" s="2" t="n"/>
      <c r="H203" s="35" t="n"/>
      <c r="I203" s="35" t="n"/>
    </row>
    <row r="204" ht="70" customHeight="1">
      <c r="A204" s="16" t="inlineStr">
        <is>
          <t>6</t>
        </is>
      </c>
      <c r="B204" s="33" t="inlineStr">
        <is>
          <t>SUBTOTAL</t>
        </is>
      </c>
      <c r="C204" s="9" t="n"/>
      <c r="D204" s="9" t="n"/>
      <c r="E204" s="9" t="n"/>
      <c r="F204" s="36">
        <f>IF(F183="",0,F183)+IF(F185="",0,F185)+IF(F186="",0,F186)+IF(F187="",0,F187)+IF(F188="",0,F188)+IF(F189="",0,F189)+IF(F190="",0,F190)+IF(F191="",0,F191)+IF(F192="",0,F192)+IF(F194="",0,F194)+IF(F195="",0,F195)+IF(F196="",0,F196)+IF(F198="",0,F198)+IF(F199="",0,F199)+IF(F201="",0,F201)+IF(F202="",0,F202)+IF(F203="",0,F203)</f>
        <v/>
      </c>
      <c r="G204" s="2" t="n"/>
      <c r="H204" s="2" t="n"/>
      <c r="I204" s="2" t="n"/>
    </row>
    <row r="205" ht="47" customHeight="1">
      <c r="A205" s="16" t="inlineStr">
        <is>
          <t>7</t>
        </is>
      </c>
      <c r="B205" s="33" t="inlineStr">
        <is>
          <t>PERDIDA TOTAL</t>
        </is>
      </c>
      <c r="C205" s="9">
        <f>TEXT(F204,"0.00")&amp;"  X  "&amp;Datos_balance!$B$4&amp;" (FI)  X  "&amp;Datos_balance!$B$5&amp;" (FO)  X  "&amp;Datos_balance!$B$6&amp;" (FZ)"</f>
        <v/>
      </c>
      <c r="D205" s="2" t="n"/>
      <c r="E205" s="2" t="n"/>
      <c r="F205" s="36">
        <f>ROUND(F204*Datos_balance!$B$4*Datos_balance!$B$5*Datos_balance!$B$6,1)</f>
        <v/>
      </c>
      <c r="G205" s="2" t="n"/>
      <c r="H205" s="2" t="n"/>
      <c r="I205" s="2" t="n"/>
    </row>
    <row r="206">
      <c r="A206" s="2" t="n"/>
      <c r="B206" s="2" t="n"/>
      <c r="C206" s="2" t="n"/>
      <c r="D206" s="2" t="n"/>
      <c r="E206" s="2" t="n"/>
      <c r="F206" s="2" t="n"/>
      <c r="G206" s="2" t="n"/>
      <c r="H206" s="2" t="n"/>
      <c r="I206" s="2" t="n"/>
    </row>
    <row r="207" ht="62" customHeight="1">
      <c r="A207" s="9" t="n"/>
      <c r="B207" s="10" t="inlineStr">
        <is>
          <t>Salto termico:  dt = (te+ts)/2 - ti</t>
        </is>
      </c>
      <c r="C207" s="9">
        <f>TEXT((Datos_balance!$B$9+Datos_balance!$B$10)/2,"0")&amp;" - "&amp;TEXT(Datos_balance!$B$11,"0")&amp;" = "&amp;TEXT((Datos_balance!$B$9+Datos_balance!$B$10)/2-Datos_balance!$B$11,"0")&amp;" C"</f>
        <v/>
      </c>
      <c r="D207" s="2" t="n"/>
      <c r="E207" s="2" t="n"/>
      <c r="F207" s="9" t="n"/>
      <c r="G207" s="2" t="n"/>
      <c r="H207" s="2" t="n"/>
      <c r="I207" s="2" t="n"/>
    </row>
    <row r="208" ht="39.7" customHeight="1">
      <c r="A208" s="9" t="n"/>
      <c r="B208" s="10" t="inlineStr">
        <is>
          <t>Kcal/h del toallero Scala/Domino 80</t>
        </is>
      </c>
      <c r="C208" s="25">
        <f>ROUND(Datos_balance!$B$18*Datos_balance!$B$15,0)</f>
        <v/>
      </c>
      <c r="D208" s="2" t="n"/>
      <c r="E208" s="2" t="n"/>
      <c r="F208" s="9" t="n"/>
      <c r="G208" s="2" t="n"/>
      <c r="H208" s="2" t="n"/>
      <c r="I208" s="2" t="n"/>
    </row>
    <row r="209" ht="39.7" customHeight="1">
      <c r="A209" s="9" t="n"/>
      <c r="B209" s="10" t="inlineStr">
        <is>
          <t>Kcal/h del toallero Scala/Domino 150</t>
        </is>
      </c>
      <c r="C209" s="25">
        <f>ROUND(Datos_balance!$B$19*Datos_balance!$B$15,0)</f>
        <v/>
      </c>
      <c r="D209" s="2" t="n"/>
      <c r="E209" s="2" t="n"/>
      <c r="F209" s="9" t="n"/>
      <c r="G209" s="2" t="n"/>
      <c r="H209" s="2" t="n"/>
      <c r="I209" s="2" t="n"/>
    </row>
    <row r="210" ht="47" customHeight="1">
      <c r="A210" s="9" t="n"/>
      <c r="B210" s="10" t="inlineStr">
        <is>
          <t>Toalleros necesarios</t>
        </is>
      </c>
      <c r="C210" s="25">
        <f>IF(F205&lt;=Datos_balance!$B$18*Datos_balance!$B$15,1,ROUNDUP(F205/(Datos_balance!$B$19*Datos_balance!$B$15),0))</f>
        <v/>
      </c>
      <c r="D210" s="2" t="n"/>
      <c r="E210" s="2" t="n"/>
      <c r="F210" s="9" t="n"/>
      <c r="G210" s="2" t="n"/>
      <c r="H210" s="2" t="n"/>
      <c r="I210" s="2" t="n"/>
    </row>
    <row r="211" ht="47" customHeight="1">
      <c r="A211" s="13" t="n"/>
      <c r="B211" s="14" t="inlineStr">
        <is>
          <t>Toallero adoptado</t>
        </is>
      </c>
      <c r="C211" s="13">
        <f>IF(F205&lt;=Datos_balance!$B$18*Datos_balance!$B$15,"Peisa Scala / Domino 80  (500 x 800 mm)","Peisa Scala / Domino 150  (500 x 1500 mm)")</f>
        <v/>
      </c>
      <c r="D211" s="20" t="n"/>
      <c r="E211" s="20" t="n"/>
      <c r="F211" s="13" t="n"/>
      <c r="G211" s="2" t="n"/>
      <c r="H211" s="2" t="n"/>
      <c r="I211" s="2" t="n"/>
    </row>
    <row r="212">
      <c r="A212" s="2" t="n"/>
      <c r="B212" s="2" t="n"/>
      <c r="C212" s="2" t="n"/>
      <c r="D212" s="2" t="n"/>
      <c r="E212" s="2" t="n"/>
      <c r="F212" s="2" t="n"/>
      <c r="G212" s="2" t="n"/>
      <c r="H212" s="2" t="n"/>
      <c r="I212" s="2" t="n"/>
    </row>
    <row r="213">
      <c r="A213" s="2" t="n"/>
      <c r="B213" s="2" t="n"/>
      <c r="C213" s="2" t="n"/>
      <c r="D213" s="2" t="n"/>
      <c r="E213" s="2" t="n"/>
      <c r="F213" s="2" t="n"/>
      <c r="G213" s="2" t="n"/>
      <c r="H213" s="2" t="n"/>
      <c r="I213" s="2" t="n"/>
    </row>
    <row r="214" ht="39.7" customHeight="1">
      <c r="A214" s="5" t="inlineStr">
        <is>
          <t>LOCAL  11 - Bano visitas   (PB)</t>
        </is>
      </c>
      <c r="B214" s="2" t="n"/>
      <c r="C214" s="2" t="n"/>
      <c r="D214" s="2" t="n"/>
      <c r="E214" s="2" t="n"/>
      <c r="F214" s="2" t="n"/>
      <c r="G214" s="2" t="n"/>
      <c r="H214" s="2" t="n"/>
      <c r="I214" s="2" t="n"/>
    </row>
    <row r="215" ht="39.7" customHeight="1">
      <c r="A215" s="3" t="inlineStr">
        <is>
          <t>Nro</t>
        </is>
      </c>
      <c r="B215" s="3" t="inlineStr">
        <is>
          <t>DESCRIPCION</t>
        </is>
      </c>
      <c r="C215" s="3" t="inlineStr">
        <is>
          <t>DIMENSIONES (m)</t>
        </is>
      </c>
      <c r="D215" s="3" t="inlineStr">
        <is>
          <t>AREA (m2)</t>
        </is>
      </c>
      <c r="E215" s="3" t="inlineStr">
        <is>
          <t>FACTOR</t>
        </is>
      </c>
      <c r="F215" s="3" t="inlineStr">
        <is>
          <t>PERDIDA CALOR (Kcal/h)</t>
        </is>
      </c>
      <c r="G215" s="2" t="n"/>
      <c r="H215" s="2" t="n"/>
      <c r="I215" s="2" t="n"/>
    </row>
    <row r="216" ht="39.7" customHeight="1">
      <c r="A216" s="16" t="inlineStr">
        <is>
          <t>1</t>
        </is>
      </c>
      <c r="B216" s="33" t="inlineStr">
        <is>
          <t>VENTANA</t>
        </is>
      </c>
      <c r="C216" s="9" t="n"/>
      <c r="D216" s="9" t="n"/>
      <c r="E216" s="9" t="n"/>
      <c r="F216" s="9" t="n"/>
      <c r="G216" s="2" t="n"/>
      <c r="H216" s="2" t="n"/>
      <c r="I216" s="2" t="n"/>
    </row>
    <row r="217" ht="62" customHeight="1">
      <c r="A217" s="9" t="n"/>
      <c r="B217" s="34" t="inlineStr">
        <is>
          <t>(sin aberturas)</t>
        </is>
      </c>
      <c r="C217" s="9">
        <f>IF(COUNT(H217,I217)&lt;2,"",TEXT(H217,"0.00")&amp;" x "&amp;TEXT(I217,"0.00"))</f>
        <v/>
      </c>
      <c r="D217" s="8">
        <f>IF(COUNT(H217,I217)&lt;2,"",ROUND(H217*I217,2))</f>
        <v/>
      </c>
      <c r="E217" s="25" t="n">
        <v>60</v>
      </c>
      <c r="F217" s="28">
        <f>IF(D217="","",ROUND(D217*E217,1))</f>
        <v/>
      </c>
      <c r="G217" s="2" t="n"/>
      <c r="H217" s="35" t="n"/>
      <c r="I217" s="35" t="n"/>
    </row>
    <row r="218" ht="39.7" customHeight="1">
      <c r="A218" s="16" t="inlineStr">
        <is>
          <t>2</t>
        </is>
      </c>
      <c r="B218" s="33" t="inlineStr">
        <is>
          <t>PAREDES EXTERIORES</t>
        </is>
      </c>
      <c r="C218" s="9" t="n"/>
      <c r="D218" s="9" t="n"/>
      <c r="E218" s="9" t="n"/>
      <c r="F218" s="9" t="n"/>
      <c r="G218" s="2" t="n"/>
      <c r="H218" s="2" t="n"/>
      <c r="I218" s="2"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AISLADAS (    )</t>
        </is>
      </c>
      <c r="C221" s="9">
        <f>IF(COUNT(H221,I221)&lt;2,"",TEXT(H221,"0.00")&amp;" x "&amp;TEXT(I221,"0.00"))</f>
        <v/>
      </c>
      <c r="D221" s="8">
        <f>IF(COUNT(H221,I221)&lt;2,"",ROUND(H221*I221,2))</f>
        <v/>
      </c>
      <c r="E221" s="25" t="n">
        <v>20</v>
      </c>
      <c r="F221" s="28">
        <f>IF(D221="","",ROUND(D221*E221,1))</f>
        <v/>
      </c>
      <c r="G221" s="2" t="n"/>
      <c r="H221" s="35" t="n"/>
      <c r="I221" s="35" t="n"/>
    </row>
    <row r="222" ht="62" customHeight="1">
      <c r="A222" s="9" t="n"/>
      <c r="B222" s="34" t="inlineStr">
        <is>
          <t>AISLADAS (    )</t>
        </is>
      </c>
      <c r="C222" s="9">
        <f>IF(COUNT(H222,I222)&lt;2,"",TEXT(H222,"0.00")&amp;" x "&amp;TEXT(I222,"0.00"))</f>
        <v/>
      </c>
      <c r="D222" s="8">
        <f>IF(COUNT(H222,I222)&lt;2,"",ROUND(H222*I222,2))</f>
        <v/>
      </c>
      <c r="E222" s="25" t="n">
        <v>20</v>
      </c>
      <c r="F222" s="28">
        <f>IF(D222="","",ROUND(D222*E222,1))</f>
        <v/>
      </c>
      <c r="G222" s="2" t="n"/>
      <c r="H222" s="35" t="n"/>
      <c r="I222" s="35" t="n"/>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2.4</v>
      </c>
      <c r="I223" s="35" t="n">
        <v>3</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1.3</v>
      </c>
      <c r="I224" s="35" t="n">
        <v>3</v>
      </c>
    </row>
    <row r="225" ht="62" customHeight="1">
      <c r="A225" s="9" t="n"/>
      <c r="B225" s="34" t="inlineStr">
        <is>
          <t>INTERIORES (    )</t>
        </is>
      </c>
      <c r="C225" s="9">
        <f>IF(COUNT(H225,I225)&lt;2,"",TEXT(H225,"0.00")&amp;" x "&amp;TEXT(I225,"0.00"))</f>
        <v/>
      </c>
      <c r="D225" s="8">
        <f>IF(COUNT(H225,I225)&lt;2,"",ROUND(H225*I225,2))</f>
        <v/>
      </c>
      <c r="E225" s="25" t="n">
        <v>25</v>
      </c>
      <c r="F225" s="28">
        <f>IF(D225="","",ROUND(D225*E225,1))</f>
        <v/>
      </c>
      <c r="G225" s="2" t="n"/>
      <c r="H225" s="35" t="n">
        <v>2.4</v>
      </c>
      <c r="I225" s="35" t="n">
        <v>3</v>
      </c>
    </row>
    <row r="226" ht="62" customHeight="1">
      <c r="A226" s="9" t="n"/>
      <c r="B226" s="34" t="inlineStr">
        <is>
          <t>INTERIORES (    )</t>
        </is>
      </c>
      <c r="C226" s="9">
        <f>IF(COUNT(H226,I226)&lt;2,"",TEXT(H226,"0.00")&amp;" x "&amp;TEXT(I226,"0.00"))</f>
        <v/>
      </c>
      <c r="D226" s="8">
        <f>IF(COUNT(H226,I226)&lt;2,"",ROUND(H226*I226,2))</f>
        <v/>
      </c>
      <c r="E226" s="25" t="n">
        <v>25</v>
      </c>
      <c r="F226" s="28">
        <f>IF(D226="","",ROUND(D226*E226,1))</f>
        <v/>
      </c>
      <c r="G226" s="2" t="n"/>
      <c r="H226" s="35" t="n">
        <v>1.3</v>
      </c>
      <c r="I226" s="35" t="n">
        <v>3</v>
      </c>
    </row>
    <row r="227" ht="39.7" customHeight="1">
      <c r="A227" s="16" t="inlineStr">
        <is>
          <t>3</t>
        </is>
      </c>
      <c r="B227" s="33" t="inlineStr">
        <is>
          <t>TECHOS O CIELORRASOS</t>
        </is>
      </c>
      <c r="C227" s="9" t="n"/>
      <c r="D227" s="9" t="n"/>
      <c r="E227" s="9" t="n"/>
      <c r="F227" s="9" t="n"/>
      <c r="G227" s="2" t="n"/>
      <c r="H227" s="2" t="n"/>
      <c r="I227" s="2" t="n"/>
    </row>
    <row r="228" ht="62" customHeight="1">
      <c r="A228" s="9" t="n"/>
      <c r="B228" s="34" t="inlineStr">
        <is>
          <t>TECHO NO AISLADO</t>
        </is>
      </c>
      <c r="C228" s="9" t="inlineStr"/>
      <c r="D228" s="8">
        <f>IF(COUNT(H228,I228)&lt;2,"",ROUND(H228*I228,2))</f>
        <v/>
      </c>
      <c r="E228" s="25" t="n">
        <v>30</v>
      </c>
      <c r="F228" s="28">
        <f>IF(D228="","",ROUND(D228*E228,1))</f>
        <v/>
      </c>
      <c r="G228" s="2" t="n"/>
      <c r="H228" s="35" t="n"/>
      <c r="I228" s="35" t="n"/>
    </row>
    <row r="229" ht="62" customHeight="1">
      <c r="A229" s="9" t="n"/>
      <c r="B229" s="34" t="inlineStr">
        <is>
          <t>TECHO AISLADO</t>
        </is>
      </c>
      <c r="C229" s="9" t="inlineStr"/>
      <c r="D229" s="8">
        <f>IF(COUNT(H229,I229)&lt;2,"",ROUND(H229*I229,2))</f>
        <v/>
      </c>
      <c r="E229" s="25" t="n">
        <v>20</v>
      </c>
      <c r="F229" s="28">
        <f>IF(D229="","",ROUND(D229*E229,1))</f>
        <v/>
      </c>
      <c r="G229" s="2" t="n"/>
      <c r="H229" s="35" t="n"/>
      <c r="I229" s="35" t="n"/>
    </row>
    <row r="230" ht="39.7" customHeight="1">
      <c r="A230" s="9" t="n"/>
      <c r="B230" s="34" t="inlineStr">
        <is>
          <t>TECHO ENTREPISO</t>
        </is>
      </c>
      <c r="C230" s="9" t="inlineStr">
        <is>
          <t>por croquis</t>
        </is>
      </c>
      <c r="D230" s="8" t="n">
        <v>3.12</v>
      </c>
      <c r="E230" s="25" t="n">
        <v>15</v>
      </c>
      <c r="F230" s="28">
        <f>IF(D230="","",ROUND(D230*E230,1))</f>
        <v/>
      </c>
      <c r="G230" s="2" t="n"/>
      <c r="H230" s="35" t="n"/>
      <c r="I230" s="35" t="n"/>
    </row>
    <row r="231" ht="39.7" customHeight="1">
      <c r="A231" s="16" t="inlineStr">
        <is>
          <t>4</t>
        </is>
      </c>
      <c r="B231" s="33" t="inlineStr">
        <is>
          <t>PISO</t>
        </is>
      </c>
      <c r="C231" s="9" t="n"/>
      <c r="D231" s="9" t="n"/>
      <c r="E231" s="9" t="n"/>
      <c r="F231" s="9" t="n"/>
      <c r="G231" s="2" t="n"/>
      <c r="H231" s="2" t="n"/>
      <c r="I231" s="2" t="n"/>
    </row>
    <row r="232" ht="39.7" customHeight="1">
      <c r="A232" s="9" t="n"/>
      <c r="B232" s="34" t="inlineStr">
        <is>
          <t>SOBRE TIERRA</t>
        </is>
      </c>
      <c r="C232" s="9" t="inlineStr">
        <is>
          <t>por croquis</t>
        </is>
      </c>
      <c r="D232" s="8" t="n">
        <v>3.12</v>
      </c>
      <c r="E232" s="25" t="n">
        <v>10</v>
      </c>
      <c r="F232" s="28">
        <f>IF(D232="","",ROUND(D232*E232,1))</f>
        <v/>
      </c>
      <c r="G232" s="2" t="n"/>
      <c r="H232" s="35" t="n"/>
      <c r="I232" s="35" t="n"/>
    </row>
    <row r="233" ht="62" customHeight="1">
      <c r="A233" s="9" t="n"/>
      <c r="B233" s="34" t="inlineStr">
        <is>
          <t>SOBRE LOCAL OCUPADO</t>
        </is>
      </c>
      <c r="C233" s="9" t="inlineStr"/>
      <c r="D233" s="8">
        <f>IF(COUNT(H233,I233)&lt;2,"",ROUND(H233*I233,2))</f>
        <v/>
      </c>
      <c r="E233" s="25" t="n">
        <v>15</v>
      </c>
      <c r="F233" s="28">
        <f>IF(D233="","",ROUND(D233*E233,1))</f>
        <v/>
      </c>
      <c r="G233" s="2" t="n"/>
      <c r="H233" s="35" t="n"/>
      <c r="I233" s="35" t="n"/>
    </row>
    <row r="234" ht="39.7" customHeight="1">
      <c r="A234" s="16" t="inlineStr">
        <is>
          <t>5</t>
        </is>
      </c>
      <c r="B234" s="33" t="inlineStr">
        <is>
          <t>INFILTRACION</t>
        </is>
      </c>
      <c r="C234" s="9" t="n"/>
      <c r="D234" s="16" t="inlineStr">
        <is>
          <t>VOLUMEN (m3)</t>
        </is>
      </c>
      <c r="E234" s="9" t="n"/>
      <c r="F234" s="9" t="n"/>
      <c r="G234" s="2" t="n"/>
      <c r="H234" s="2" t="n"/>
      <c r="I234" s="2" t="n"/>
    </row>
    <row r="235" ht="39.7" customHeight="1">
      <c r="A235" s="9" t="n"/>
      <c r="B235" s="34" t="inlineStr">
        <is>
          <t>UNA PARED EXTERIOR</t>
        </is>
      </c>
      <c r="C235" s="9" t="inlineStr">
        <is>
          <t>3.12 m2 x 3.00</t>
        </is>
      </c>
      <c r="D235" s="8" t="n">
        <v>9.359999999999999</v>
      </c>
      <c r="E235" s="25" t="n">
        <v>6</v>
      </c>
      <c r="F235" s="28">
        <f>IF(D235="","",ROUND(D235*E235,1))</f>
        <v/>
      </c>
      <c r="G235" s="2" t="n"/>
      <c r="H235" s="35" t="n"/>
      <c r="I235" s="35" t="n"/>
    </row>
    <row r="236" ht="62" customHeight="1">
      <c r="A236" s="9" t="n"/>
      <c r="B236" s="34" t="inlineStr">
        <is>
          <t>DOS PAREDES EXTERIORES</t>
        </is>
      </c>
      <c r="C236" s="9" t="inlineStr"/>
      <c r="D236" s="8">
        <f>IF(COUNT(H236,I236)&lt;2,"",ROUND(H236*I236,2))</f>
        <v/>
      </c>
      <c r="E236" s="25" t="n">
        <v>9</v>
      </c>
      <c r="F236" s="28">
        <f>IF(D236="","",ROUND(D236*E236,1))</f>
        <v/>
      </c>
      <c r="G236" s="2" t="n"/>
      <c r="H236" s="35" t="n"/>
      <c r="I236" s="35" t="n"/>
    </row>
    <row r="237" ht="62" customHeight="1">
      <c r="A237" s="9" t="n"/>
      <c r="B237" s="34" t="inlineStr">
        <is>
          <t>TRES O MAS PAREDES EXTERIORES</t>
        </is>
      </c>
      <c r="C237" s="9" t="inlineStr"/>
      <c r="D237" s="8">
        <f>IF(COUNT(H237,I237)&lt;2,"",ROUND(H237*I237,2))</f>
        <v/>
      </c>
      <c r="E237" s="25" t="n">
        <v>12</v>
      </c>
      <c r="F237" s="28">
        <f>IF(D237="","",ROUND(D237*E237,1))</f>
        <v/>
      </c>
      <c r="G237" s="2" t="n"/>
      <c r="H237" s="35" t="n"/>
      <c r="I237" s="35" t="n"/>
    </row>
    <row r="238" ht="70" customHeight="1">
      <c r="A238" s="16" t="inlineStr">
        <is>
          <t>6</t>
        </is>
      </c>
      <c r="B238" s="33" t="inlineStr">
        <is>
          <t>SUBTOTAL</t>
        </is>
      </c>
      <c r="C238" s="9" t="n"/>
      <c r="D238" s="9" t="n"/>
      <c r="E238" s="9" t="n"/>
      <c r="F238" s="36">
        <f>IF(F217="",0,F217)+IF(F219="",0,F219)+IF(F220="",0,F220)+IF(F221="",0,F221)+IF(F222="",0,F222)+IF(F223="",0,F223)+IF(F224="",0,F224)+IF(F225="",0,F225)+IF(F226="",0,F226)+IF(F228="",0,F228)+IF(F229="",0,F229)+IF(F230="",0,F230)+IF(F232="",0,F232)+IF(F233="",0,F233)+IF(F235="",0,F235)+IF(F236="",0,F236)+IF(F237="",0,F237)</f>
        <v/>
      </c>
      <c r="G238" s="2" t="n"/>
      <c r="H238" s="2" t="n"/>
      <c r="I238" s="2" t="n"/>
    </row>
    <row r="239" ht="47" customHeight="1">
      <c r="A239" s="16" t="inlineStr">
        <is>
          <t>7</t>
        </is>
      </c>
      <c r="B239" s="33" t="inlineStr">
        <is>
          <t>PERDIDA TOTAL</t>
        </is>
      </c>
      <c r="C239" s="9">
        <f>TEXT(F238,"0.00")&amp;"  X  "&amp;Datos_balance!$B$4&amp;" (FI)  X  "&amp;Datos_balance!$B$5&amp;" (FO)  X  "&amp;Datos_balance!$B$6&amp;" (FZ)"</f>
        <v/>
      </c>
      <c r="D239" s="2" t="n"/>
      <c r="E239" s="2" t="n"/>
      <c r="F239" s="36">
        <f>ROUND(F238*Datos_balance!$B$4*Datos_balance!$B$5*Datos_balance!$B$6,1)</f>
        <v/>
      </c>
      <c r="G239" s="2" t="n"/>
      <c r="H239" s="2" t="n"/>
      <c r="I239" s="2" t="n"/>
    </row>
    <row r="240">
      <c r="A240" s="2" t="n"/>
      <c r="B240" s="2" t="n"/>
      <c r="C240" s="2" t="n"/>
      <c r="D240" s="2" t="n"/>
      <c r="E240" s="2" t="n"/>
      <c r="F240" s="2" t="n"/>
      <c r="G240" s="2" t="n"/>
      <c r="H240" s="2" t="n"/>
      <c r="I240" s="2" t="n"/>
    </row>
    <row r="241" ht="62" customHeight="1">
      <c r="A241" s="9" t="n"/>
      <c r="B241" s="10" t="inlineStr">
        <is>
          <t>Salto termico:  dt = (te+ts)/2 - ti</t>
        </is>
      </c>
      <c r="C241" s="9">
        <f>TEXT((Datos_balance!$B$9+Datos_balance!$B$10)/2,"0")&amp;" - "&amp;TEXT(Datos_balance!$B$11,"0")&amp;" = "&amp;TEXT((Datos_balance!$B$9+Datos_balance!$B$10)/2-Datos_balance!$B$11,"0")&amp;" C"</f>
        <v/>
      </c>
      <c r="D241" s="2" t="n"/>
      <c r="E241" s="2" t="n"/>
      <c r="F241" s="9" t="n"/>
      <c r="G241" s="2" t="n"/>
      <c r="H241" s="2" t="n"/>
      <c r="I241" s="2" t="n"/>
    </row>
    <row r="242" ht="39.7" customHeight="1">
      <c r="A242" s="9" t="n"/>
      <c r="B242" s="10" t="inlineStr">
        <is>
          <t>Kcal/h del toallero Scala/Domino 80</t>
        </is>
      </c>
      <c r="C242" s="25">
        <f>ROUND(Datos_balance!$B$18*Datos_balance!$B$15,0)</f>
        <v/>
      </c>
      <c r="D242" s="2" t="n"/>
      <c r="E242" s="2" t="n"/>
      <c r="F242" s="9" t="n"/>
      <c r="G242" s="2" t="n"/>
      <c r="H242" s="2" t="n"/>
      <c r="I242" s="2" t="n"/>
    </row>
    <row r="243" ht="39.7" customHeight="1">
      <c r="A243" s="9" t="n"/>
      <c r="B243" s="10" t="inlineStr">
        <is>
          <t>Kcal/h del toallero Scala/Domino 150</t>
        </is>
      </c>
      <c r="C243" s="25">
        <f>ROUND(Datos_balance!$B$19*Datos_balance!$B$15,0)</f>
        <v/>
      </c>
      <c r="D243" s="2" t="n"/>
      <c r="E243" s="2" t="n"/>
      <c r="F243" s="9" t="n"/>
      <c r="G243" s="2" t="n"/>
      <c r="H243" s="2" t="n"/>
      <c r="I243" s="2" t="n"/>
    </row>
    <row r="244" ht="47" customHeight="1">
      <c r="A244" s="9" t="n"/>
      <c r="B244" s="10" t="inlineStr">
        <is>
          <t>Toalleros necesarios</t>
        </is>
      </c>
      <c r="C244" s="25">
        <f>IF(F239&lt;=Datos_balance!$B$18*Datos_balance!$B$15,1,ROUNDUP(F239/(Datos_balance!$B$19*Datos_balance!$B$15),0))</f>
        <v/>
      </c>
      <c r="D244" s="2" t="n"/>
      <c r="E244" s="2" t="n"/>
      <c r="F244" s="9" t="n"/>
      <c r="G244" s="2" t="n"/>
      <c r="H244" s="2" t="n"/>
      <c r="I244" s="2" t="n"/>
    </row>
    <row r="245" ht="47" customHeight="1">
      <c r="A245" s="13" t="n"/>
      <c r="B245" s="14" t="inlineStr">
        <is>
          <t>Toallero adoptado</t>
        </is>
      </c>
      <c r="C245" s="13">
        <f>IF(F239&lt;=Datos_balance!$B$18*Datos_balance!$B$15,"Peisa Scala / Domino 80  (500 x 800 mm)","Peisa Scala / Domino 150  (500 x 1500 mm)")</f>
        <v/>
      </c>
      <c r="D245" s="20" t="n"/>
      <c r="E245" s="20" t="n"/>
      <c r="F245" s="13" t="n"/>
      <c r="G245" s="2" t="n"/>
      <c r="H245" s="2" t="n"/>
      <c r="I245" s="2" t="n"/>
    </row>
    <row r="246">
      <c r="A246" s="2" t="n"/>
      <c r="B246" s="2" t="n"/>
      <c r="C246" s="2" t="n"/>
      <c r="D246" s="2" t="n"/>
      <c r="E246" s="2" t="n"/>
      <c r="F246" s="2" t="n"/>
      <c r="G246" s="2" t="n"/>
      <c r="H246" s="2" t="n"/>
      <c r="I246" s="2" t="n"/>
    </row>
    <row r="247">
      <c r="A247" s="2" t="n"/>
      <c r="B247" s="2" t="n"/>
      <c r="C247" s="2" t="n"/>
      <c r="D247" s="2" t="n"/>
      <c r="E247" s="2" t="n"/>
      <c r="F247" s="2" t="n"/>
      <c r="G247" s="2" t="n"/>
      <c r="H247" s="2" t="n"/>
      <c r="I247" s="2" t="n"/>
    </row>
    <row r="248" ht="39.7" customHeight="1">
      <c r="A248" s="5" t="inlineStr">
        <is>
          <t>LOCAL  13 - Dormitorio Norte   (PA)</t>
        </is>
      </c>
      <c r="B248" s="2" t="n"/>
      <c r="C248" s="2" t="n"/>
      <c r="D248" s="2" t="n"/>
      <c r="E248" s="2" t="n"/>
      <c r="F248" s="2" t="n"/>
      <c r="G248" s="2" t="n"/>
      <c r="H248" s="2" t="n"/>
      <c r="I248" s="2" t="n"/>
    </row>
    <row r="249" ht="39.7" customHeight="1">
      <c r="A249" s="3" t="inlineStr">
        <is>
          <t>Nro</t>
        </is>
      </c>
      <c r="B249" s="3" t="inlineStr">
        <is>
          <t>DESCRIPCION</t>
        </is>
      </c>
      <c r="C249" s="3" t="inlineStr">
        <is>
          <t>DIMENSIONES (m)</t>
        </is>
      </c>
      <c r="D249" s="3" t="inlineStr">
        <is>
          <t>AREA (m2)</t>
        </is>
      </c>
      <c r="E249" s="3" t="inlineStr">
        <is>
          <t>FACTOR</t>
        </is>
      </c>
      <c r="F249" s="3" t="inlineStr">
        <is>
          <t>PERDIDA CALOR (Kcal/h)</t>
        </is>
      </c>
      <c r="G249" s="2" t="n"/>
      <c r="H249" s="2" t="n"/>
      <c r="I249" s="2" t="n"/>
    </row>
    <row r="250" ht="39.7" customHeight="1">
      <c r="A250" s="16" t="inlineStr">
        <is>
          <t>1</t>
        </is>
      </c>
      <c r="B250" s="33" t="inlineStr">
        <is>
          <t>VENTANA</t>
        </is>
      </c>
      <c r="C250" s="9" t="n"/>
      <c r="D250" s="9" t="n"/>
      <c r="E250" s="9" t="n"/>
      <c r="F250" s="9" t="n"/>
      <c r="G250" s="2" t="n"/>
      <c r="H250" s="2" t="n"/>
      <c r="I250" s="2" t="n"/>
    </row>
    <row r="251" ht="62" customHeight="1">
      <c r="A251" s="9" t="n"/>
      <c r="B251" s="34" t="inlineStr">
        <is>
          <t>VA04</t>
        </is>
      </c>
      <c r="C251" s="9">
        <f>IF(COUNT(H251,I251)&lt;2,"",TEXT(H251,"0.00")&amp;" x "&amp;TEXT(I251,"0.00"))</f>
        <v/>
      </c>
      <c r="D251" s="8">
        <f>IF(COUNT(H251,I251)&lt;2,"",ROUND(H251*I251,2))</f>
        <v/>
      </c>
      <c r="E251" s="25" t="n">
        <v>60</v>
      </c>
      <c r="F251" s="28">
        <f>IF(D251="","",ROUND(D251*E251,1))</f>
        <v/>
      </c>
      <c r="G251" s="2" t="n"/>
      <c r="H251" s="35" t="n">
        <v>2</v>
      </c>
      <c r="I251" s="35" t="n">
        <v>2.52</v>
      </c>
    </row>
    <row r="252" ht="62" customHeight="1">
      <c r="A252" s="9" t="n"/>
      <c r="B252" s="34" t="inlineStr">
        <is>
          <t>VA05</t>
        </is>
      </c>
      <c r="C252" s="9">
        <f>IF(COUNT(H252,I252)&lt;2,"",TEXT(H252,"0.00")&amp;" x "&amp;TEXT(I252,"0.00"))</f>
        <v/>
      </c>
      <c r="D252" s="8">
        <f>IF(COUNT(H252,I252)&lt;2,"",ROUND(H252*I252,2))</f>
        <v/>
      </c>
      <c r="E252" s="25" t="n">
        <v>60</v>
      </c>
      <c r="F252" s="28">
        <f>IF(D252="","",ROUND(D252*E252,1))</f>
        <v/>
      </c>
      <c r="G252" s="2" t="n"/>
      <c r="H252" s="35" t="n">
        <v>1.4</v>
      </c>
      <c r="I252" s="35" t="n">
        <v>2.52</v>
      </c>
    </row>
    <row r="253" ht="39.7" customHeight="1">
      <c r="A253" s="16" t="inlineStr">
        <is>
          <t>2</t>
        </is>
      </c>
      <c r="B253" s="33" t="inlineStr">
        <is>
          <t>PAREDES EXTERIORES</t>
        </is>
      </c>
      <c r="C253" s="9" t="n"/>
      <c r="D253" s="9" t="n"/>
      <c r="E253" s="9" t="n"/>
      <c r="F253" s="9" t="n"/>
      <c r="G253" s="2" t="n"/>
      <c r="H253" s="2" t="n"/>
      <c r="I253" s="2" t="n"/>
    </row>
    <row r="254" ht="62" customHeight="1">
      <c r="A254" s="9" t="n"/>
      <c r="B254" s="34" t="inlineStr">
        <is>
          <t>AISLADAS (    )</t>
        </is>
      </c>
      <c r="C254" s="9">
        <f>IF(COUNT(H254,I254)&lt;2,"",TEXT(H254,"0.00")&amp;" x "&amp;TEXT(I254,"0.00"))</f>
        <v/>
      </c>
      <c r="D254" s="8">
        <f>IF(COUNT(H254,I254)&lt;2,"",ROUND(H254*I254,2))</f>
        <v/>
      </c>
      <c r="E254" s="25" t="n">
        <v>20</v>
      </c>
      <c r="F254" s="28">
        <f>IF(D254="","",ROUND(D254*E254,1))</f>
        <v/>
      </c>
      <c r="G254" s="2" t="n"/>
      <c r="H254" s="35" t="n"/>
      <c r="I254" s="35"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AISLADAS (    )</t>
        </is>
      </c>
      <c r="C256" s="9">
        <f>IF(COUNT(H256,I256)&lt;2,"",TEXT(H256,"0.00")&amp;" x "&amp;TEXT(I256,"0.00"))</f>
        <v/>
      </c>
      <c r="D256" s="8">
        <f>IF(COUNT(H256,I256)&lt;2,"",ROUND(H256*I256,2))</f>
        <v/>
      </c>
      <c r="E256" s="25" t="n">
        <v>20</v>
      </c>
      <c r="F256" s="28">
        <f>IF(D256="","",ROUND(D256*E256,1))</f>
        <v/>
      </c>
      <c r="G256" s="2" t="n"/>
      <c r="H256" s="35" t="n"/>
      <c r="I256" s="35" t="n"/>
    </row>
    <row r="257" ht="62" customHeight="1">
      <c r="A257" s="9" t="n"/>
      <c r="B257" s="34" t="inlineStr">
        <is>
          <t>AISLADAS (    )</t>
        </is>
      </c>
      <c r="C257" s="9">
        <f>IF(COUNT(H257,I257)&lt;2,"",TEXT(H257,"0.00")&amp;" x "&amp;TEXT(I257,"0.00"))</f>
        <v/>
      </c>
      <c r="D257" s="8">
        <f>IF(COUNT(H257,I257)&lt;2,"",ROUND(H257*I257,2))</f>
        <v/>
      </c>
      <c r="E257" s="25" t="n">
        <v>20</v>
      </c>
      <c r="F257" s="28">
        <f>IF(D257="","",ROUND(D257*E257,1))</f>
        <v/>
      </c>
      <c r="G257" s="2" t="n"/>
      <c r="H257" s="35" t="n"/>
      <c r="I257" s="35" t="n"/>
    </row>
    <row r="258" ht="62" customHeight="1">
      <c r="A258" s="9" t="n"/>
      <c r="B258" s="34" t="inlineStr">
        <is>
          <t>INTERIORES (    )</t>
        </is>
      </c>
      <c r="C258" s="9">
        <f>IF(COUNT(H258,I258)&lt;2,"",TEXT(H258,"0.00")&amp;" x "&amp;TEXT(I258,"0.00"))</f>
        <v/>
      </c>
      <c r="D258" s="8">
        <f>IF(COUNT(H258,I258)&lt;2,"",ROUND(H258*I258,2))</f>
        <v/>
      </c>
      <c r="E258" s="25" t="n">
        <v>25</v>
      </c>
      <c r="F258" s="28">
        <f>IF(D258="","",ROUND(D258*E258,1))</f>
        <v/>
      </c>
      <c r="G258" s="2" t="n"/>
      <c r="H258" s="35" t="n">
        <v>4.25</v>
      </c>
      <c r="I258" s="35" t="n">
        <v>3</v>
      </c>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4</v>
      </c>
      <c r="I259" s="35" t="n">
        <v>3</v>
      </c>
    </row>
    <row r="260" ht="62" customHeight="1">
      <c r="A260" s="9" t="n"/>
      <c r="B260" s="34" t="inlineStr">
        <is>
          <t>INTERIORES (    )</t>
        </is>
      </c>
      <c r="C260" s="9">
        <f>IF(COUNT(H260,I260)&lt;2,"",TEXT(H260,"0.00")&amp;" x "&amp;TEXT(I260,"0.00"))</f>
        <v/>
      </c>
      <c r="D260" s="8">
        <f>IF(COUNT(H260,I260)&lt;2,"",ROUND(H260*I260,2))</f>
        <v/>
      </c>
      <c r="E260" s="25" t="n">
        <v>25</v>
      </c>
      <c r="F260" s="28">
        <f>IF(D260="","",ROUND(D260*E260,1))</f>
        <v/>
      </c>
      <c r="G260" s="2" t="n"/>
      <c r="H260" s="35" t="n">
        <v>4.25</v>
      </c>
      <c r="I260" s="35" t="n">
        <v>3</v>
      </c>
    </row>
    <row r="261" ht="62" customHeight="1">
      <c r="A261" s="9" t="n"/>
      <c r="B261" s="34" t="inlineStr">
        <is>
          <t>INTERIORES (    )</t>
        </is>
      </c>
      <c r="C261" s="9">
        <f>IF(COUNT(H261,I261)&lt;2,"",TEXT(H261,"0.00")&amp;" x "&amp;TEXT(I261,"0.00"))</f>
        <v/>
      </c>
      <c r="D261" s="8">
        <f>IF(COUNT(H261,I261)&lt;2,"",ROUND(H261*I261,2))</f>
        <v/>
      </c>
      <c r="E261" s="25" t="n">
        <v>25</v>
      </c>
      <c r="F261" s="28">
        <f>IF(D261="","",ROUND(D261*E261,1))</f>
        <v/>
      </c>
      <c r="G261" s="2" t="n"/>
      <c r="H261" s="35" t="n">
        <v>4</v>
      </c>
      <c r="I261" s="35" t="n">
        <v>3</v>
      </c>
    </row>
    <row r="262" ht="39.7" customHeight="1">
      <c r="A262" s="16" t="inlineStr">
        <is>
          <t>3</t>
        </is>
      </c>
      <c r="B262" s="33" t="inlineStr">
        <is>
          <t>TECHOS O CIELORRASOS</t>
        </is>
      </c>
      <c r="C262" s="9" t="n"/>
      <c r="D262" s="9" t="n"/>
      <c r="E262" s="9" t="n"/>
      <c r="F262" s="9" t="n"/>
      <c r="G262" s="2" t="n"/>
      <c r="H262" s="2" t="n"/>
      <c r="I262" s="2" t="n"/>
    </row>
    <row r="263" ht="62" customHeight="1">
      <c r="A263" s="9" t="n"/>
      <c r="B263" s="34" t="inlineStr">
        <is>
          <t>TECHO NO AISLADO</t>
        </is>
      </c>
      <c r="C263" s="9" t="inlineStr"/>
      <c r="D263" s="8">
        <f>IF(COUNT(H263,I263)&lt;2,"",ROUND(H263*I263,2))</f>
        <v/>
      </c>
      <c r="E263" s="25" t="n">
        <v>30</v>
      </c>
      <c r="F263" s="28">
        <f>IF(D263="","",ROUND(D263*E263,1))</f>
        <v/>
      </c>
      <c r="G263" s="2" t="n"/>
      <c r="H263" s="35" t="n"/>
      <c r="I263" s="35" t="n"/>
    </row>
    <row r="264" ht="39.7" customHeight="1">
      <c r="A264" s="9" t="n"/>
      <c r="B264" s="34" t="inlineStr">
        <is>
          <t>TECHO AISLADO</t>
        </is>
      </c>
      <c r="C264" s="9" t="inlineStr">
        <is>
          <t>por croquis</t>
        </is>
      </c>
      <c r="D264" s="8" t="n">
        <v>17</v>
      </c>
      <c r="E264" s="25" t="n">
        <v>20</v>
      </c>
      <c r="F264" s="28">
        <f>IF(D264="","",ROUND(D264*E264,1))</f>
        <v/>
      </c>
      <c r="G264" s="2" t="n"/>
      <c r="H264" s="35" t="n"/>
      <c r="I264" s="35" t="n"/>
    </row>
    <row r="265" ht="62" customHeight="1">
      <c r="A265" s="9" t="n"/>
      <c r="B265" s="34" t="inlineStr">
        <is>
          <t>TECHO ENTREPISO</t>
        </is>
      </c>
      <c r="C265" s="9" t="inlineStr"/>
      <c r="D265" s="8">
        <f>IF(COUNT(H265,I265)&lt;2,"",ROUND(H265*I265,2))</f>
        <v/>
      </c>
      <c r="E265" s="25" t="n">
        <v>15</v>
      </c>
      <c r="F265" s="28">
        <f>IF(D265="","",ROUND(D265*E265,1))</f>
        <v/>
      </c>
      <c r="G265" s="2" t="n"/>
      <c r="H265" s="35" t="n"/>
      <c r="I265" s="35" t="n"/>
    </row>
    <row r="266" ht="39.7" customHeight="1">
      <c r="A266" s="16" t="inlineStr">
        <is>
          <t>4</t>
        </is>
      </c>
      <c r="B266" s="33" t="inlineStr">
        <is>
          <t>PISO</t>
        </is>
      </c>
      <c r="C266" s="9" t="n"/>
      <c r="D266" s="9" t="n"/>
      <c r="E266" s="9" t="n"/>
      <c r="F266" s="9" t="n"/>
      <c r="G266" s="2" t="n"/>
      <c r="H266" s="2" t="n"/>
      <c r="I266" s="2" t="n"/>
    </row>
    <row r="267" ht="62" customHeight="1">
      <c r="A267" s="9" t="n"/>
      <c r="B267" s="34" t="inlineStr">
        <is>
          <t>SOBRE TIERRA</t>
        </is>
      </c>
      <c r="C267" s="9" t="inlineStr"/>
      <c r="D267" s="8">
        <f>IF(COUNT(H267,I267)&lt;2,"",ROUND(H267*I267,2))</f>
        <v/>
      </c>
      <c r="E267" s="25" t="n">
        <v>10</v>
      </c>
      <c r="F267" s="28">
        <f>IF(D267="","",ROUND(D267*E267,1))</f>
        <v/>
      </c>
      <c r="G267" s="2" t="n"/>
      <c r="H267" s="35" t="n"/>
      <c r="I267" s="35" t="n"/>
    </row>
    <row r="268" ht="39.7" customHeight="1">
      <c r="A268" s="9" t="n"/>
      <c r="B268" s="34" t="inlineStr">
        <is>
          <t>SOBRE LOCAL OCUPADO</t>
        </is>
      </c>
      <c r="C268" s="9" t="inlineStr">
        <is>
          <t>por croquis</t>
        </is>
      </c>
      <c r="D268" s="8" t="n">
        <v>17</v>
      </c>
      <c r="E268" s="25" t="n">
        <v>15</v>
      </c>
      <c r="F268" s="28">
        <f>IF(D268="","",ROUND(D268*E268,1))</f>
        <v/>
      </c>
      <c r="G268" s="2" t="n"/>
      <c r="H268" s="35" t="n"/>
      <c r="I268" s="35" t="n"/>
    </row>
    <row r="269" ht="39.7" customHeight="1">
      <c r="A269" s="16" t="inlineStr">
        <is>
          <t>5</t>
        </is>
      </c>
      <c r="B269" s="33" t="inlineStr">
        <is>
          <t>INFILTRACION</t>
        </is>
      </c>
      <c r="C269" s="9" t="n"/>
      <c r="D269" s="16" t="inlineStr">
        <is>
          <t>VOLUMEN (m3)</t>
        </is>
      </c>
      <c r="E269" s="9" t="n"/>
      <c r="F269" s="9" t="n"/>
      <c r="G269" s="2" t="n"/>
      <c r="H269" s="2" t="n"/>
      <c r="I269" s="2" t="n"/>
    </row>
    <row r="270" ht="62" customHeight="1">
      <c r="A270" s="9" t="n"/>
      <c r="B270" s="34" t="inlineStr">
        <is>
          <t>UNA PARED EXTERIOR</t>
        </is>
      </c>
      <c r="C270" s="9" t="inlineStr"/>
      <c r="D270" s="8">
        <f>IF(COUNT(H270,I270)&lt;2,"",ROUND(H270*I270,2))</f>
        <v/>
      </c>
      <c r="E270" s="25" t="n">
        <v>6</v>
      </c>
      <c r="F270" s="28">
        <f>IF(D270="","",ROUND(D270*E270,1))</f>
        <v/>
      </c>
      <c r="G270" s="2" t="n"/>
      <c r="H270" s="35" t="n"/>
      <c r="I270" s="35" t="n"/>
    </row>
    <row r="271" ht="39.7" customHeight="1">
      <c r="A271" s="9" t="n"/>
      <c r="B271" s="34" t="inlineStr">
        <is>
          <t>DOS PAREDES EXTERIORES</t>
        </is>
      </c>
      <c r="C271" s="9" t="inlineStr">
        <is>
          <t>17.00 m2 x 3.00</t>
        </is>
      </c>
      <c r="D271" s="8" t="n">
        <v>51</v>
      </c>
      <c r="E271" s="25" t="n">
        <v>9</v>
      </c>
      <c r="F271" s="28">
        <f>IF(D271="","",ROUND(D271*E271,1))</f>
        <v/>
      </c>
      <c r="G271" s="2" t="n"/>
      <c r="H271" s="35" t="n"/>
      <c r="I271" s="35" t="n"/>
    </row>
    <row r="272" ht="62" customHeight="1">
      <c r="A272" s="9" t="n"/>
      <c r="B272" s="34" t="inlineStr">
        <is>
          <t>TRES O MAS PAREDES EXTERIORES</t>
        </is>
      </c>
      <c r="C272" s="9" t="inlineStr"/>
      <c r="D272" s="8">
        <f>IF(COUNT(H272,I272)&lt;2,"",ROUND(H272*I272,2))</f>
        <v/>
      </c>
      <c r="E272" s="25" t="n">
        <v>12</v>
      </c>
      <c r="F272" s="28">
        <f>IF(D272="","",ROUND(D272*E272,1))</f>
        <v/>
      </c>
      <c r="G272" s="2" t="n"/>
      <c r="H272" s="35" t="n"/>
      <c r="I272" s="35" t="n"/>
    </row>
    <row r="273" ht="70" customHeight="1">
      <c r="A273" s="16" t="inlineStr">
        <is>
          <t>6</t>
        </is>
      </c>
      <c r="B273" s="33" t="inlineStr">
        <is>
          <t>SUBTOTAL</t>
        </is>
      </c>
      <c r="C273" s="9" t="n"/>
      <c r="D273" s="9" t="n"/>
      <c r="E273" s="9" t="n"/>
      <c r="F273" s="36">
        <f>IF(F251="",0,F251)+IF(F252="",0,F252)+IF(F254="",0,F254)+IF(F255="",0,F255)+IF(F256="",0,F256)+IF(F257="",0,F257)+IF(F258="",0,F258)+IF(F259="",0,F259)+IF(F260="",0,F260)+IF(F261="",0,F261)+IF(F263="",0,F263)+IF(F264="",0,F264)+IF(F265="",0,F265)+IF(F267="",0,F267)+IF(F268="",0,F268)+IF(F270="",0,F270)+IF(F271="",0,F271)+IF(F272="",0,F272)</f>
        <v/>
      </c>
      <c r="G273" s="2" t="n"/>
      <c r="H273" s="2" t="n"/>
      <c r="I273" s="2" t="n"/>
    </row>
    <row r="274" ht="47" customHeight="1">
      <c r="A274" s="16" t="inlineStr">
        <is>
          <t>7</t>
        </is>
      </c>
      <c r="B274" s="33" t="inlineStr">
        <is>
          <t>PERDIDA TOTAL</t>
        </is>
      </c>
      <c r="C274" s="9">
        <f>TEXT(F273,"0.00")&amp;"  X  "&amp;Datos_balance!$B$4&amp;" (FI)  X  "&amp;Datos_balance!$B$5&amp;" (FO)  X  "&amp;Datos_balance!$B$6&amp;" (FZ)"</f>
        <v/>
      </c>
      <c r="D274" s="2" t="n"/>
      <c r="E274" s="2" t="n"/>
      <c r="F274" s="36">
        <f>ROUND(F273*Datos_balance!$B$4*Datos_balance!$B$5*Datos_balance!$B$6,1)</f>
        <v/>
      </c>
      <c r="G274" s="2" t="n"/>
      <c r="H274" s="2" t="n"/>
      <c r="I274" s="2" t="n"/>
    </row>
    <row r="275">
      <c r="A275" s="2" t="n"/>
      <c r="B275" s="2" t="n"/>
      <c r="C275" s="2" t="n"/>
      <c r="D275" s="2" t="n"/>
      <c r="E275" s="2" t="n"/>
      <c r="F275" s="2" t="n"/>
      <c r="G275" s="2" t="n"/>
      <c r="H275" s="2" t="n"/>
      <c r="I275" s="2" t="n"/>
    </row>
    <row r="276" ht="62" customHeight="1">
      <c r="A276" s="9" t="n"/>
      <c r="B276" s="10" t="inlineStr">
        <is>
          <t>Salto termico:  dt = (te+ts)/2 - ti</t>
        </is>
      </c>
      <c r="C276" s="9">
        <f>TEXT((Datos_balance!$B$9+Datos_balance!$B$10)/2,"0")&amp;" - "&amp;TEXT(Datos_balance!$B$11,"0")&amp;" = "&amp;TEXT((Datos_balance!$B$9+Datos_balance!$B$10)/2-Datos_balance!$B$11,"0")&amp;" C"</f>
        <v/>
      </c>
      <c r="D276" s="2" t="n"/>
      <c r="E276" s="2" t="n"/>
      <c r="F276" s="9" t="n"/>
      <c r="G276" s="2" t="n"/>
      <c r="H276" s="2" t="n"/>
      <c r="I276" s="2" t="n"/>
    </row>
    <row r="277" ht="39.7" customHeight="1">
      <c r="A277" s="9" t="n"/>
      <c r="B277" s="10" t="inlineStr">
        <is>
          <t>Kcal/h por elemento</t>
        </is>
      </c>
      <c r="C277" s="8">
        <f>ROUND(Datos_balance!$B$14*Datos_balance!$B$15,2)</f>
        <v/>
      </c>
      <c r="D277" s="2" t="n"/>
      <c r="E277" s="2" t="n"/>
      <c r="F277" s="9" t="n"/>
      <c r="G277" s="2" t="n"/>
      <c r="H277" s="2" t="n"/>
      <c r="I277" s="2" t="n"/>
    </row>
    <row r="278" ht="39.7" customHeight="1">
      <c r="A278" s="9" t="n"/>
      <c r="B278" s="10" t="inlineStr">
        <is>
          <t>Elementos necesarios</t>
        </is>
      </c>
      <c r="C278" s="25">
        <f>ROUNDUP(F274/(Datos_balance!$B$14*Datos_balance!$B$15),0)</f>
        <v/>
      </c>
      <c r="D278" s="2" t="n"/>
      <c r="E278" s="2" t="n"/>
      <c r="F278" s="9" t="n"/>
      <c r="G278" s="2" t="n"/>
      <c r="H278" s="2" t="n"/>
      <c r="I278" s="2" t="n"/>
    </row>
    <row r="279" ht="39.7" customHeight="1">
      <c r="A279" s="9" t="n"/>
      <c r="B279" s="10" t="inlineStr">
        <is>
          <t>Ancho del radiador (cm)</t>
        </is>
      </c>
      <c r="C279" s="25">
        <f>ROUNDUP(F274/(Datos_balance!$B$14*Datos_balance!$B$15),0)*Datos_balance!$B$16</f>
        <v/>
      </c>
      <c r="D279" s="2" t="n"/>
      <c r="E279" s="2" t="n"/>
      <c r="F279" s="9" t="n"/>
      <c r="G279" s="2" t="n"/>
      <c r="H279" s="2" t="n"/>
      <c r="I279" s="2" t="n"/>
    </row>
    <row r="280" ht="39.7" customHeight="1">
      <c r="A280" s="13" t="n"/>
      <c r="B280" s="14" t="inlineStr">
        <is>
          <t>Radiador adoptado</t>
        </is>
      </c>
      <c r="C280" s="13">
        <f>Datos_balance!$B$13</f>
        <v/>
      </c>
      <c r="D280" s="20" t="n"/>
      <c r="E280" s="20" t="n"/>
      <c r="F280" s="13" t="n"/>
      <c r="G280" s="2" t="n"/>
      <c r="H280" s="2" t="n"/>
      <c r="I280" s="2" t="n"/>
    </row>
    <row r="281">
      <c r="A281" s="2" t="n"/>
      <c r="B281" s="2" t="n"/>
      <c r="C281" s="2" t="n"/>
      <c r="D281" s="2" t="n"/>
      <c r="E281" s="2" t="n"/>
      <c r="F281" s="2" t="n"/>
      <c r="G281" s="2" t="n"/>
      <c r="H281" s="2" t="n"/>
      <c r="I281" s="2" t="n"/>
    </row>
    <row r="282">
      <c r="A282" s="2" t="n"/>
      <c r="B282" s="2" t="n"/>
      <c r="C282" s="2" t="n"/>
      <c r="D282" s="2" t="n"/>
      <c r="E282" s="2" t="n"/>
      <c r="F282" s="2" t="n"/>
      <c r="G282" s="2" t="n"/>
      <c r="H282" s="2" t="n"/>
      <c r="I282" s="2" t="n"/>
    </row>
    <row r="283" ht="39.7" customHeight="1">
      <c r="A283" s="5" t="inlineStr">
        <is>
          <t>LOCAL  14 - Play room   (PA)</t>
        </is>
      </c>
      <c r="B283" s="2" t="n"/>
      <c r="C283" s="2" t="n"/>
      <c r="D283" s="2" t="n"/>
      <c r="E283" s="2" t="n"/>
      <c r="F283" s="2" t="n"/>
      <c r="G283" s="2" t="n"/>
      <c r="H283" s="2" t="n"/>
      <c r="I283" s="2" t="n"/>
    </row>
    <row r="284" ht="39.7" customHeight="1">
      <c r="A284" s="3" t="inlineStr">
        <is>
          <t>Nro</t>
        </is>
      </c>
      <c r="B284" s="3" t="inlineStr">
        <is>
          <t>DESCRIPCION</t>
        </is>
      </c>
      <c r="C284" s="3" t="inlineStr">
        <is>
          <t>DIMENSIONES (m)</t>
        </is>
      </c>
      <c r="D284" s="3" t="inlineStr">
        <is>
          <t>AREA (m2)</t>
        </is>
      </c>
      <c r="E284" s="3" t="inlineStr">
        <is>
          <t>FACTOR</t>
        </is>
      </c>
      <c r="F284" s="3" t="inlineStr">
        <is>
          <t>PERDIDA CALOR (Kcal/h)</t>
        </is>
      </c>
      <c r="G284" s="2" t="n"/>
      <c r="H284" s="2" t="n"/>
      <c r="I284" s="2" t="n"/>
    </row>
    <row r="285" ht="39.7" customHeight="1">
      <c r="A285" s="16" t="inlineStr">
        <is>
          <t>1</t>
        </is>
      </c>
      <c r="B285" s="33" t="inlineStr">
        <is>
          <t>VENTANA</t>
        </is>
      </c>
      <c r="C285" s="9" t="n"/>
      <c r="D285" s="9" t="n"/>
      <c r="E285" s="9" t="n"/>
      <c r="F285" s="9" t="n"/>
      <c r="G285" s="2" t="n"/>
      <c r="H285" s="2" t="n"/>
      <c r="I285" s="2" t="n"/>
    </row>
    <row r="286" ht="62" customHeight="1">
      <c r="A286" s="9" t="n"/>
      <c r="B286" s="34" t="inlineStr">
        <is>
          <t>VA04 (2)</t>
        </is>
      </c>
      <c r="C286" s="9">
        <f>IF(COUNT(H286,I286)&lt;2,"",TEXT(H286,"0.00")&amp;" x "&amp;TEXT(I286,"0.00"))</f>
        <v/>
      </c>
      <c r="D286" s="8">
        <f>IF(COUNT(H286,I286)&lt;2,"",ROUND(H286*I286,2))</f>
        <v/>
      </c>
      <c r="E286" s="25" t="n">
        <v>60</v>
      </c>
      <c r="F286" s="28">
        <f>IF(D286="","",ROUND(D286*E286,1))</f>
        <v/>
      </c>
      <c r="G286" s="2" t="n"/>
      <c r="H286" s="35" t="n">
        <v>2</v>
      </c>
      <c r="I286" s="35" t="n">
        <v>2.52</v>
      </c>
    </row>
    <row r="287" ht="39.7" customHeight="1">
      <c r="A287" s="16" t="inlineStr">
        <is>
          <t>2</t>
        </is>
      </c>
      <c r="B287" s="33" t="inlineStr">
        <is>
          <t>PAREDES EXTERIORES</t>
        </is>
      </c>
      <c r="C287" s="9" t="n"/>
      <c r="D287" s="9" t="n"/>
      <c r="E287" s="9" t="n"/>
      <c r="F287" s="9" t="n"/>
      <c r="G287" s="2" t="n"/>
      <c r="H287" s="2" t="n"/>
      <c r="I287" s="2" t="n"/>
    </row>
    <row r="288" ht="62" customHeight="1">
      <c r="A288" s="9" t="n"/>
      <c r="B288" s="34" t="inlineStr">
        <is>
          <t>AISLADAS (    )</t>
        </is>
      </c>
      <c r="C288" s="9">
        <f>IF(COUNT(H288,I288)&lt;2,"",TEXT(H288,"0.00")&amp;" x "&amp;TEXT(I288,"0.00"))</f>
        <v/>
      </c>
      <c r="D288" s="8">
        <f>IF(COUNT(H288,I288)&lt;2,"",ROUND(H288*I288,2))</f>
        <v/>
      </c>
      <c r="E288" s="25" t="n">
        <v>20</v>
      </c>
      <c r="F288" s="28">
        <f>IF(D288="","",ROUND(D288*E288,1))</f>
        <v/>
      </c>
      <c r="G288" s="2" t="n"/>
      <c r="H288" s="35" t="n"/>
      <c r="I288" s="35" t="n"/>
    </row>
    <row r="289" ht="62" customHeight="1">
      <c r="A289" s="9" t="n"/>
      <c r="B289" s="34" t="inlineStr">
        <is>
          <t>AISLADAS (    )</t>
        </is>
      </c>
      <c r="C289" s="9">
        <f>IF(COUNT(H289,I289)&lt;2,"",TEXT(H289,"0.00")&amp;" x "&amp;TEXT(I289,"0.00"))</f>
        <v/>
      </c>
      <c r="D289" s="8">
        <f>IF(COUNT(H289,I289)&lt;2,"",ROUND(H289*I289,2))</f>
        <v/>
      </c>
      <c r="E289" s="25" t="n">
        <v>20</v>
      </c>
      <c r="F289" s="28">
        <f>IF(D289="","",ROUND(D289*E289,1))</f>
        <v/>
      </c>
      <c r="G289" s="2" t="n"/>
      <c r="H289" s="35" t="n"/>
      <c r="I289" s="35" t="n"/>
    </row>
    <row r="290" ht="62" customHeight="1">
      <c r="A290" s="9" t="n"/>
      <c r="B290" s="34" t="inlineStr">
        <is>
          <t>AISLADAS (    )</t>
        </is>
      </c>
      <c r="C290" s="9">
        <f>IF(COUNT(H290,I290)&lt;2,"",TEXT(H290,"0.00")&amp;" x "&amp;TEXT(I290,"0.00"))</f>
        <v/>
      </c>
      <c r="D290" s="8">
        <f>IF(COUNT(H290,I290)&lt;2,"",ROUND(H290*I290,2))</f>
        <v/>
      </c>
      <c r="E290" s="25" t="n">
        <v>20</v>
      </c>
      <c r="F290" s="28">
        <f>IF(D290="","",ROUND(D290*E290,1))</f>
        <v/>
      </c>
      <c r="G290" s="2" t="n"/>
      <c r="H290" s="35" t="n"/>
      <c r="I290" s="35" t="n"/>
    </row>
    <row r="291" ht="62" customHeight="1">
      <c r="A291" s="9" t="n"/>
      <c r="B291" s="34" t="inlineStr">
        <is>
          <t>AISLADAS (    )</t>
        </is>
      </c>
      <c r="C291" s="9">
        <f>IF(COUNT(H291,I291)&lt;2,"",TEXT(H291,"0.00")&amp;" x "&amp;TEXT(I291,"0.00"))</f>
        <v/>
      </c>
      <c r="D291" s="8">
        <f>IF(COUNT(H291,I291)&lt;2,"",ROUND(H291*I291,2))</f>
        <v/>
      </c>
      <c r="E291" s="25" t="n">
        <v>20</v>
      </c>
      <c r="F291" s="28">
        <f>IF(D291="","",ROUND(D291*E291,1))</f>
        <v/>
      </c>
      <c r="G291" s="2" t="n"/>
      <c r="H291" s="35" t="n"/>
      <c r="I291" s="35" t="n"/>
    </row>
    <row r="292" ht="62" customHeight="1">
      <c r="A292" s="9" t="n"/>
      <c r="B292" s="34" t="inlineStr">
        <is>
          <t>INTERIORES (    )</t>
        </is>
      </c>
      <c r="C292" s="9">
        <f>IF(COUNT(H292,I292)&lt;2,"",TEXT(H292,"0.00")&amp;" x "&amp;TEXT(I292,"0.00"))</f>
        <v/>
      </c>
      <c r="D292" s="8">
        <f>IF(COUNT(H292,I292)&lt;2,"",ROUND(H292*I292,2))</f>
        <v/>
      </c>
      <c r="E292" s="25" t="n">
        <v>25</v>
      </c>
      <c r="F292" s="28">
        <f>IF(D292="","",ROUND(D292*E292,1))</f>
        <v/>
      </c>
      <c r="G292" s="2" t="n"/>
      <c r="H292" s="35" t="n">
        <v>4</v>
      </c>
      <c r="I292" s="35" t="n">
        <v>3</v>
      </c>
    </row>
    <row r="293" ht="62" customHeight="1">
      <c r="A293" s="9" t="n"/>
      <c r="B293" s="34" t="inlineStr">
        <is>
          <t>INTERIORES (    )</t>
        </is>
      </c>
      <c r="C293" s="9">
        <f>IF(COUNT(H293,I293)&lt;2,"",TEXT(H293,"0.00")&amp;" x "&amp;TEXT(I293,"0.00"))</f>
        <v/>
      </c>
      <c r="D293" s="8">
        <f>IF(COUNT(H293,I293)&lt;2,"",ROUND(H293*I293,2))</f>
        <v/>
      </c>
      <c r="E293" s="25" t="n">
        <v>25</v>
      </c>
      <c r="F293" s="28">
        <f>IF(D293="","",ROUND(D293*E293,1))</f>
        <v/>
      </c>
      <c r="G293" s="2" t="n"/>
      <c r="H293" s="35" t="n">
        <v>4.1</v>
      </c>
      <c r="I293" s="35" t="n">
        <v>3</v>
      </c>
    </row>
    <row r="294" ht="62" customHeight="1">
      <c r="A294" s="9" t="n"/>
      <c r="B294" s="34" t="inlineStr">
        <is>
          <t>INTERIORES (    )</t>
        </is>
      </c>
      <c r="C294" s="9">
        <f>IF(COUNT(H294,I294)&lt;2,"",TEXT(H294,"0.00")&amp;" x "&amp;TEXT(I294,"0.00"))</f>
        <v/>
      </c>
      <c r="D294" s="8">
        <f>IF(COUNT(H294,I294)&lt;2,"",ROUND(H294*I294,2))</f>
        <v/>
      </c>
      <c r="E294" s="25" t="n">
        <v>25</v>
      </c>
      <c r="F294" s="28">
        <f>IF(D294="","",ROUND(D294*E294,1))</f>
        <v/>
      </c>
      <c r="G294" s="2" t="n"/>
      <c r="H294" s="35" t="n">
        <v>4</v>
      </c>
      <c r="I294" s="35" t="n">
        <v>3</v>
      </c>
    </row>
    <row r="295" ht="62" customHeight="1">
      <c r="A295" s="9" t="n"/>
      <c r="B295" s="34" t="inlineStr">
        <is>
          <t>INTERIORES (    )</t>
        </is>
      </c>
      <c r="C295" s="9">
        <f>IF(COUNT(H295,I295)&lt;2,"",TEXT(H295,"0.00")&amp;" x "&amp;TEXT(I295,"0.00"))</f>
        <v/>
      </c>
      <c r="D295" s="8">
        <f>IF(COUNT(H295,I295)&lt;2,"",ROUND(H295*I295,2))</f>
        <v/>
      </c>
      <c r="E295" s="25" t="n">
        <v>25</v>
      </c>
      <c r="F295" s="28">
        <f>IF(D295="","",ROUND(D295*E295,1))</f>
        <v/>
      </c>
      <c r="G295" s="2" t="n"/>
      <c r="H295" s="35" t="n">
        <v>4.1</v>
      </c>
      <c r="I295" s="35" t="n">
        <v>3</v>
      </c>
    </row>
    <row r="296" ht="39.7" customHeight="1">
      <c r="A296" s="16" t="inlineStr">
        <is>
          <t>3</t>
        </is>
      </c>
      <c r="B296" s="33" t="inlineStr">
        <is>
          <t>TECHOS O CIELORRASOS</t>
        </is>
      </c>
      <c r="C296" s="9" t="n"/>
      <c r="D296" s="9" t="n"/>
      <c r="E296" s="9" t="n"/>
      <c r="F296" s="9" t="n"/>
      <c r="G296" s="2" t="n"/>
      <c r="H296" s="2" t="n"/>
      <c r="I296" s="2" t="n"/>
    </row>
    <row r="297" ht="62" customHeight="1">
      <c r="A297" s="9" t="n"/>
      <c r="B297" s="34" t="inlineStr">
        <is>
          <t>TECHO NO AISLADO</t>
        </is>
      </c>
      <c r="C297" s="9" t="inlineStr"/>
      <c r="D297" s="8">
        <f>IF(COUNT(H297,I297)&lt;2,"",ROUND(H297*I297,2))</f>
        <v/>
      </c>
      <c r="E297" s="25" t="n">
        <v>30</v>
      </c>
      <c r="F297" s="28">
        <f>IF(D297="","",ROUND(D297*E297,1))</f>
        <v/>
      </c>
      <c r="G297" s="2" t="n"/>
      <c r="H297" s="35" t="n"/>
      <c r="I297" s="35" t="n"/>
    </row>
    <row r="298" ht="39.7" customHeight="1">
      <c r="A298" s="9" t="n"/>
      <c r="B298" s="34" t="inlineStr">
        <is>
          <t>TECHO AISLADO</t>
        </is>
      </c>
      <c r="C298" s="9" t="inlineStr">
        <is>
          <t>por croquis</t>
        </is>
      </c>
      <c r="D298" s="8" t="n">
        <v>16.4</v>
      </c>
      <c r="E298" s="25" t="n">
        <v>20</v>
      </c>
      <c r="F298" s="28">
        <f>IF(D298="","",ROUND(D298*E298,1))</f>
        <v/>
      </c>
      <c r="G298" s="2" t="n"/>
      <c r="H298" s="35" t="n"/>
      <c r="I298" s="35" t="n"/>
    </row>
    <row r="299" ht="62" customHeight="1">
      <c r="A299" s="9" t="n"/>
      <c r="B299" s="34" t="inlineStr">
        <is>
          <t>TECHO ENTREPISO</t>
        </is>
      </c>
      <c r="C299" s="9" t="inlineStr"/>
      <c r="D299" s="8">
        <f>IF(COUNT(H299,I299)&lt;2,"",ROUND(H299*I299,2))</f>
        <v/>
      </c>
      <c r="E299" s="25" t="n">
        <v>15</v>
      </c>
      <c r="F299" s="28">
        <f>IF(D299="","",ROUND(D299*E299,1))</f>
        <v/>
      </c>
      <c r="G299" s="2" t="n"/>
      <c r="H299" s="35" t="n"/>
      <c r="I299" s="35" t="n"/>
    </row>
    <row r="300" ht="39.7" customHeight="1">
      <c r="A300" s="16" t="inlineStr">
        <is>
          <t>4</t>
        </is>
      </c>
      <c r="B300" s="33" t="inlineStr">
        <is>
          <t>PISO</t>
        </is>
      </c>
      <c r="C300" s="9" t="n"/>
      <c r="D300" s="9" t="n"/>
      <c r="E300" s="9" t="n"/>
      <c r="F300" s="9" t="n"/>
      <c r="G300" s="2" t="n"/>
      <c r="H300" s="2" t="n"/>
      <c r="I300" s="2" t="n"/>
    </row>
    <row r="301" ht="62" customHeight="1">
      <c r="A301" s="9" t="n"/>
      <c r="B301" s="34" t="inlineStr">
        <is>
          <t>SOBRE TIERRA</t>
        </is>
      </c>
      <c r="C301" s="9" t="inlineStr"/>
      <c r="D301" s="8">
        <f>IF(COUNT(H301,I301)&lt;2,"",ROUND(H301*I301,2))</f>
        <v/>
      </c>
      <c r="E301" s="25" t="n">
        <v>10</v>
      </c>
      <c r="F301" s="28">
        <f>IF(D301="","",ROUND(D301*E301,1))</f>
        <v/>
      </c>
      <c r="G301" s="2" t="n"/>
      <c r="H301" s="35" t="n"/>
      <c r="I301" s="35" t="n"/>
    </row>
    <row r="302" ht="39.7" customHeight="1">
      <c r="A302" s="9" t="n"/>
      <c r="B302" s="34" t="inlineStr">
        <is>
          <t>SOBRE LOCAL OCUPADO</t>
        </is>
      </c>
      <c r="C302" s="9" t="inlineStr">
        <is>
          <t>por croquis</t>
        </is>
      </c>
      <c r="D302" s="8" t="n">
        <v>16.4</v>
      </c>
      <c r="E302" s="25" t="n">
        <v>15</v>
      </c>
      <c r="F302" s="28">
        <f>IF(D302="","",ROUND(D302*E302,1))</f>
        <v/>
      </c>
      <c r="G302" s="2" t="n"/>
      <c r="H302" s="35" t="n"/>
      <c r="I302" s="35" t="n"/>
    </row>
    <row r="303" ht="39.7" customHeight="1">
      <c r="A303" s="16" t="inlineStr">
        <is>
          <t>5</t>
        </is>
      </c>
      <c r="B303" s="33" t="inlineStr">
        <is>
          <t>INFILTRACION</t>
        </is>
      </c>
      <c r="C303" s="9" t="n"/>
      <c r="D303" s="16" t="inlineStr">
        <is>
          <t>VOLUMEN (m3)</t>
        </is>
      </c>
      <c r="E303" s="9" t="n"/>
      <c r="F303" s="9" t="n"/>
      <c r="G303" s="2" t="n"/>
      <c r="H303" s="2" t="n"/>
      <c r="I303" s="2" t="n"/>
    </row>
    <row r="304" ht="62" customHeight="1">
      <c r="A304" s="9" t="n"/>
      <c r="B304" s="34" t="inlineStr">
        <is>
          <t>UNA PARED EXTERIOR</t>
        </is>
      </c>
      <c r="C304" s="9" t="inlineStr"/>
      <c r="D304" s="8">
        <f>IF(COUNT(H304,I304)&lt;2,"",ROUND(H304*I304,2))</f>
        <v/>
      </c>
      <c r="E304" s="25" t="n">
        <v>6</v>
      </c>
      <c r="F304" s="28">
        <f>IF(D304="","",ROUND(D304*E304,1))</f>
        <v/>
      </c>
      <c r="G304" s="2" t="n"/>
      <c r="H304" s="35" t="n"/>
      <c r="I304" s="35" t="n"/>
    </row>
    <row r="305" ht="39.7" customHeight="1">
      <c r="A305" s="9" t="n"/>
      <c r="B305" s="34" t="inlineStr">
        <is>
          <t>DOS PAREDES EXTERIORES</t>
        </is>
      </c>
      <c r="C305" s="9" t="inlineStr">
        <is>
          <t>16.40 m2 x 3.00</t>
        </is>
      </c>
      <c r="D305" s="8" t="n">
        <v>49.2</v>
      </c>
      <c r="E305" s="25" t="n">
        <v>9</v>
      </c>
      <c r="F305" s="28">
        <f>IF(D305="","",ROUND(D305*E305,1))</f>
        <v/>
      </c>
      <c r="G305" s="2" t="n"/>
      <c r="H305" s="35" t="n"/>
      <c r="I305" s="35" t="n"/>
    </row>
    <row r="306" ht="62" customHeight="1">
      <c r="A306" s="9" t="n"/>
      <c r="B306" s="34" t="inlineStr">
        <is>
          <t>TRES O MAS PAREDES EXTERIORES</t>
        </is>
      </c>
      <c r="C306" s="9" t="inlineStr"/>
      <c r="D306" s="8">
        <f>IF(COUNT(H306,I306)&lt;2,"",ROUND(H306*I306,2))</f>
        <v/>
      </c>
      <c r="E306" s="25" t="n">
        <v>12</v>
      </c>
      <c r="F306" s="28">
        <f>IF(D306="","",ROUND(D306*E306,1))</f>
        <v/>
      </c>
      <c r="G306" s="2" t="n"/>
      <c r="H306" s="35" t="n"/>
      <c r="I306" s="35" t="n"/>
    </row>
    <row r="307" ht="70" customHeight="1">
      <c r="A307" s="16" t="inlineStr">
        <is>
          <t>6</t>
        </is>
      </c>
      <c r="B307" s="33" t="inlineStr">
        <is>
          <t>SUBTOTAL</t>
        </is>
      </c>
      <c r="C307" s="9" t="n"/>
      <c r="D307" s="9" t="n"/>
      <c r="E307" s="9" t="n"/>
      <c r="F307" s="36">
        <f>IF(F286="",0,F286)+IF(F288="",0,F288)+IF(F289="",0,F289)+IF(F290="",0,F290)+IF(F291="",0,F291)+IF(F292="",0,F292)+IF(F293="",0,F293)+IF(F294="",0,F294)+IF(F295="",0,F295)+IF(F297="",0,F297)+IF(F298="",0,F298)+IF(F299="",0,F299)+IF(F301="",0,F301)+IF(F302="",0,F302)+IF(F304="",0,F304)+IF(F305="",0,F305)+IF(F306="",0,F306)</f>
        <v/>
      </c>
      <c r="G307" s="2" t="n"/>
      <c r="H307" s="2" t="n"/>
      <c r="I307" s="2" t="n"/>
    </row>
    <row r="308" ht="47" customHeight="1">
      <c r="A308" s="16" t="inlineStr">
        <is>
          <t>7</t>
        </is>
      </c>
      <c r="B308" s="33" t="inlineStr">
        <is>
          <t>PERDIDA TOTAL</t>
        </is>
      </c>
      <c r="C308" s="9">
        <f>TEXT(F307,"0.00")&amp;"  X  "&amp;Datos_balance!$B$4&amp;" (FI)  X  "&amp;Datos_balance!$B$5&amp;" (FO)  X  "&amp;Datos_balance!$B$6&amp;" (FZ)"</f>
        <v/>
      </c>
      <c r="D308" s="2" t="n"/>
      <c r="E308" s="2" t="n"/>
      <c r="F308" s="36">
        <f>ROUND(F307*Datos_balance!$B$4*Datos_balance!$B$5*Datos_balance!$B$6,1)</f>
        <v/>
      </c>
      <c r="G308" s="2" t="n"/>
      <c r="H308" s="2" t="n"/>
      <c r="I308" s="2" t="n"/>
    </row>
    <row r="309">
      <c r="A309" s="2" t="n"/>
      <c r="B309" s="2" t="n"/>
      <c r="C309" s="2" t="n"/>
      <c r="D309" s="2" t="n"/>
      <c r="E309" s="2" t="n"/>
      <c r="F309" s="2" t="n"/>
      <c r="G309" s="2" t="n"/>
      <c r="H309" s="2" t="n"/>
      <c r="I309" s="2" t="n"/>
    </row>
    <row r="310" ht="62" customHeight="1">
      <c r="A310" s="9" t="n"/>
      <c r="B310" s="10" t="inlineStr">
        <is>
          <t>Salto termico:  dt = (te+ts)/2 - ti</t>
        </is>
      </c>
      <c r="C310" s="9">
        <f>TEXT((Datos_balance!$B$9+Datos_balance!$B$10)/2,"0")&amp;" - "&amp;TEXT(Datos_balance!$B$11,"0")&amp;" = "&amp;TEXT((Datos_balance!$B$9+Datos_balance!$B$10)/2-Datos_balance!$B$11,"0")&amp;" C"</f>
        <v/>
      </c>
      <c r="D310" s="2" t="n"/>
      <c r="E310" s="2" t="n"/>
      <c r="F310" s="9" t="n"/>
      <c r="G310" s="2" t="n"/>
      <c r="H310" s="2" t="n"/>
      <c r="I310" s="2" t="n"/>
    </row>
    <row r="311" ht="39.7" customHeight="1">
      <c r="A311" s="9" t="n"/>
      <c r="B311" s="10" t="inlineStr">
        <is>
          <t>Kcal/h por elemento</t>
        </is>
      </c>
      <c r="C311" s="8">
        <f>ROUND(Datos_balance!$B$14*Datos_balance!$B$15,2)</f>
        <v/>
      </c>
      <c r="D311" s="2" t="n"/>
      <c r="E311" s="2" t="n"/>
      <c r="F311" s="9" t="n"/>
      <c r="G311" s="2" t="n"/>
      <c r="H311" s="2" t="n"/>
      <c r="I311" s="2" t="n"/>
    </row>
    <row r="312" ht="39.7" customHeight="1">
      <c r="A312" s="9" t="n"/>
      <c r="B312" s="10" t="inlineStr">
        <is>
          <t>Elementos necesarios</t>
        </is>
      </c>
      <c r="C312" s="25">
        <f>ROUNDUP(F308/(Datos_balance!$B$14*Datos_balance!$B$15),0)</f>
        <v/>
      </c>
      <c r="D312" s="2" t="n"/>
      <c r="E312" s="2" t="n"/>
      <c r="F312" s="9" t="n"/>
      <c r="G312" s="2" t="n"/>
      <c r="H312" s="2" t="n"/>
      <c r="I312" s="2" t="n"/>
    </row>
    <row r="313" ht="39.7" customHeight="1">
      <c r="A313" s="9" t="n"/>
      <c r="B313" s="10" t="inlineStr">
        <is>
          <t>Ancho del radiador (cm)</t>
        </is>
      </c>
      <c r="C313" s="25">
        <f>ROUNDUP(F308/(Datos_balance!$B$14*Datos_balance!$B$15),0)*Datos_balance!$B$16</f>
        <v/>
      </c>
      <c r="D313" s="2" t="n"/>
      <c r="E313" s="2" t="n"/>
      <c r="F313" s="9" t="n"/>
      <c r="G313" s="2" t="n"/>
      <c r="H313" s="2" t="n"/>
      <c r="I313" s="2" t="n"/>
    </row>
    <row r="314" ht="39.7" customHeight="1">
      <c r="A314" s="13" t="n"/>
      <c r="B314" s="14" t="inlineStr">
        <is>
          <t>Radiador adoptado</t>
        </is>
      </c>
      <c r="C314" s="13">
        <f>Datos_balance!$B$13</f>
        <v/>
      </c>
      <c r="D314" s="20" t="n"/>
      <c r="E314" s="20" t="n"/>
      <c r="F314" s="13" t="n"/>
      <c r="G314" s="2" t="n"/>
      <c r="H314" s="2" t="n"/>
      <c r="I314" s="2" t="n"/>
    </row>
    <row r="315">
      <c r="A315" s="2" t="n"/>
      <c r="B315" s="2" t="n"/>
      <c r="C315" s="2" t="n"/>
      <c r="D315" s="2" t="n"/>
      <c r="E315" s="2" t="n"/>
      <c r="F315" s="2" t="n"/>
      <c r="G315" s="2" t="n"/>
      <c r="H315" s="2" t="n"/>
      <c r="I315" s="2" t="n"/>
    </row>
    <row r="316">
      <c r="A316" s="2" t="n"/>
      <c r="B316" s="2" t="n"/>
      <c r="C316" s="2" t="n"/>
      <c r="D316" s="2" t="n"/>
      <c r="E316" s="2" t="n"/>
      <c r="F316" s="2" t="n"/>
      <c r="G316" s="2" t="n"/>
      <c r="H316" s="2" t="n"/>
      <c r="I316" s="2" t="n"/>
    </row>
    <row r="317" ht="39.7" customHeight="1">
      <c r="A317" s="5" t="inlineStr">
        <is>
          <t>LOCAL  15 - Dormitorio Sur   (PA)</t>
        </is>
      </c>
      <c r="B317" s="2" t="n"/>
      <c r="C317" s="2" t="n"/>
      <c r="D317" s="2" t="n"/>
      <c r="E317" s="2" t="n"/>
      <c r="F317" s="2" t="n"/>
      <c r="G317" s="2" t="n"/>
      <c r="H317" s="2" t="n"/>
      <c r="I317" s="2" t="n"/>
    </row>
    <row r="318" ht="39.7" customHeight="1">
      <c r="A318" s="3" t="inlineStr">
        <is>
          <t>Nro</t>
        </is>
      </c>
      <c r="B318" s="3" t="inlineStr">
        <is>
          <t>DESCRIPCION</t>
        </is>
      </c>
      <c r="C318" s="3" t="inlineStr">
        <is>
          <t>DIMENSIONES (m)</t>
        </is>
      </c>
      <c r="D318" s="3" t="inlineStr">
        <is>
          <t>AREA (m2)</t>
        </is>
      </c>
      <c r="E318" s="3" t="inlineStr">
        <is>
          <t>FACTOR</t>
        </is>
      </c>
      <c r="F318" s="3" t="inlineStr">
        <is>
          <t>PERDIDA CALOR (Kcal/h)</t>
        </is>
      </c>
      <c r="G318" s="2" t="n"/>
      <c r="H318" s="2" t="n"/>
      <c r="I318" s="2" t="n"/>
    </row>
    <row r="319" ht="39.7" customHeight="1">
      <c r="A319" s="16" t="inlineStr">
        <is>
          <t>1</t>
        </is>
      </c>
      <c r="B319" s="33" t="inlineStr">
        <is>
          <t>VENTANA</t>
        </is>
      </c>
      <c r="C319" s="9" t="n"/>
      <c r="D319" s="9" t="n"/>
      <c r="E319" s="9" t="n"/>
      <c r="F319" s="9" t="n"/>
      <c r="G319" s="2" t="n"/>
      <c r="H319" s="2" t="n"/>
      <c r="I319" s="2" t="n"/>
    </row>
    <row r="320" ht="62" customHeight="1">
      <c r="A320" s="9" t="n"/>
      <c r="B320" s="34" t="inlineStr">
        <is>
          <t>PV04</t>
        </is>
      </c>
      <c r="C320" s="9">
        <f>IF(COUNT(H320,I320)&lt;2,"",TEXT(H320,"0.00")&amp;" x "&amp;TEXT(I320,"0.00"))</f>
        <v/>
      </c>
      <c r="D320" s="8">
        <f>IF(COUNT(H320,I320)&lt;2,"",ROUND(H320*I320,2))</f>
        <v/>
      </c>
      <c r="E320" s="25" t="n">
        <v>60</v>
      </c>
      <c r="F320" s="28">
        <f>IF(D320="","",ROUND(D320*E320,1))</f>
        <v/>
      </c>
      <c r="G320" s="2" t="n"/>
      <c r="H320" s="35" t="n">
        <v>2.06</v>
      </c>
      <c r="I320" s="35" t="n">
        <v>3</v>
      </c>
    </row>
    <row r="321" ht="62" customHeight="1">
      <c r="A321" s="9" t="n"/>
      <c r="B321" s="34" t="inlineStr">
        <is>
          <t>PV04 (2)</t>
        </is>
      </c>
      <c r="C321" s="9">
        <f>IF(COUNT(H321,I321)&lt;2,"",TEXT(H321,"0.00")&amp;" x "&amp;TEXT(I321,"0.00"))</f>
        <v/>
      </c>
      <c r="D321" s="8">
        <f>IF(COUNT(H321,I321)&lt;2,"",ROUND(H321*I321,2))</f>
        <v/>
      </c>
      <c r="E321" s="25" t="n">
        <v>60</v>
      </c>
      <c r="F321" s="28">
        <f>IF(D321="","",ROUND(D321*E321,1))</f>
        <v/>
      </c>
      <c r="G321" s="2" t="n"/>
      <c r="H321" s="35" t="n">
        <v>1.5</v>
      </c>
      <c r="I321" s="35" t="n">
        <v>2.95</v>
      </c>
    </row>
    <row r="322" ht="39.7" customHeight="1">
      <c r="A322" s="16" t="inlineStr">
        <is>
          <t>2</t>
        </is>
      </c>
      <c r="B322" s="33" t="inlineStr">
        <is>
          <t>PAREDES EXTERIORES</t>
        </is>
      </c>
      <c r="C322" s="9" t="n"/>
      <c r="D322" s="9" t="n"/>
      <c r="E322" s="9" t="n"/>
      <c r="F322" s="9" t="n"/>
      <c r="G322" s="2" t="n"/>
      <c r="H322" s="2" t="n"/>
      <c r="I322" s="2" t="n"/>
    </row>
    <row r="323" ht="62" customHeight="1">
      <c r="A323" s="9" t="n"/>
      <c r="B323" s="34" t="inlineStr">
        <is>
          <t>AISLADAS (    )</t>
        </is>
      </c>
      <c r="C323" s="9">
        <f>IF(COUNT(H323,I323)&lt;2,"",TEXT(H323,"0.00")&amp;" x "&amp;TEXT(I323,"0.00"))</f>
        <v/>
      </c>
      <c r="D323" s="8">
        <f>IF(COUNT(H323,I323)&lt;2,"",ROUND(H323*I323,2))</f>
        <v/>
      </c>
      <c r="E323" s="25" t="n">
        <v>20</v>
      </c>
      <c r="F323" s="28">
        <f>IF(D323="","",ROUND(D323*E323,1))</f>
        <v/>
      </c>
      <c r="G323" s="2" t="n"/>
      <c r="H323" s="35" t="n"/>
      <c r="I323" s="35" t="n"/>
    </row>
    <row r="324" ht="62" customHeight="1">
      <c r="A324" s="9" t="n"/>
      <c r="B324" s="34" t="inlineStr">
        <is>
          <t>AISLADAS (    )</t>
        </is>
      </c>
      <c r="C324" s="9">
        <f>IF(COUNT(H324,I324)&lt;2,"",TEXT(H324,"0.00")&amp;" x "&amp;TEXT(I324,"0.00"))</f>
        <v/>
      </c>
      <c r="D324" s="8">
        <f>IF(COUNT(H324,I324)&lt;2,"",ROUND(H324*I324,2))</f>
        <v/>
      </c>
      <c r="E324" s="25" t="n">
        <v>20</v>
      </c>
      <c r="F324" s="28">
        <f>IF(D324="","",ROUND(D324*E324,1))</f>
        <v/>
      </c>
      <c r="G324" s="2" t="n"/>
      <c r="H324" s="35" t="n"/>
      <c r="I324" s="35" t="n"/>
    </row>
    <row r="325" ht="62" customHeight="1">
      <c r="A325" s="9" t="n"/>
      <c r="B325" s="34" t="inlineStr">
        <is>
          <t>AISLADAS (    )</t>
        </is>
      </c>
      <c r="C325" s="9">
        <f>IF(COUNT(H325,I325)&lt;2,"",TEXT(H325,"0.00")&amp;" x "&amp;TEXT(I325,"0.00"))</f>
        <v/>
      </c>
      <c r="D325" s="8">
        <f>IF(COUNT(H325,I325)&lt;2,"",ROUND(H325*I325,2))</f>
        <v/>
      </c>
      <c r="E325" s="25" t="n">
        <v>20</v>
      </c>
      <c r="F325" s="28">
        <f>IF(D325="","",ROUND(D325*E325,1))</f>
        <v/>
      </c>
      <c r="G325" s="2" t="n"/>
      <c r="H325" s="35" t="n"/>
      <c r="I325" s="35" t="n"/>
    </row>
    <row r="326" ht="62" customHeight="1">
      <c r="A326" s="9" t="n"/>
      <c r="B326" s="34" t="inlineStr">
        <is>
          <t>AISLADAS (    )</t>
        </is>
      </c>
      <c r="C326" s="9">
        <f>IF(COUNT(H326,I326)&lt;2,"",TEXT(H326,"0.00")&amp;" x "&amp;TEXT(I326,"0.00"))</f>
        <v/>
      </c>
      <c r="D326" s="8">
        <f>IF(COUNT(H326,I326)&lt;2,"",ROUND(H326*I326,2))</f>
        <v/>
      </c>
      <c r="E326" s="25" t="n">
        <v>20</v>
      </c>
      <c r="F326" s="28">
        <f>IF(D326="","",ROUND(D326*E326,1))</f>
        <v/>
      </c>
      <c r="G326" s="2" t="n"/>
      <c r="H326" s="35" t="n"/>
      <c r="I326" s="35" t="n"/>
    </row>
    <row r="327" ht="62" customHeight="1">
      <c r="A327" s="9" t="n"/>
      <c r="B327" s="34" t="inlineStr">
        <is>
          <t>INTERIORES (    )</t>
        </is>
      </c>
      <c r="C327" s="9">
        <f>IF(COUNT(H327,I327)&lt;2,"",TEXT(H327,"0.00")&amp;" x "&amp;TEXT(I327,"0.00"))</f>
        <v/>
      </c>
      <c r="D327" s="8">
        <f>IF(COUNT(H327,I327)&lt;2,"",ROUND(H327*I327,2))</f>
        <v/>
      </c>
      <c r="E327" s="25" t="n">
        <v>25</v>
      </c>
      <c r="F327" s="28">
        <f>IF(D327="","",ROUND(D327*E327,1))</f>
        <v/>
      </c>
      <c r="G327" s="2" t="n"/>
      <c r="H327" s="35" t="n">
        <v>3.5</v>
      </c>
      <c r="I327" s="35" t="n">
        <v>3</v>
      </c>
    </row>
    <row r="328" ht="62" customHeight="1">
      <c r="A328" s="9" t="n"/>
      <c r="B328" s="34" t="inlineStr">
        <is>
          <t>INTERIORES (    )</t>
        </is>
      </c>
      <c r="C328" s="9">
        <f>IF(COUNT(H328,I328)&lt;2,"",TEXT(H328,"0.00")&amp;" x "&amp;TEXT(I328,"0.00"))</f>
        <v/>
      </c>
      <c r="D328" s="8">
        <f>IF(COUNT(H328,I328)&lt;2,"",ROUND(H328*I328,2))</f>
        <v/>
      </c>
      <c r="E328" s="25" t="n">
        <v>25</v>
      </c>
      <c r="F328" s="28">
        <f>IF(D328="","",ROUND(D328*E328,1))</f>
        <v/>
      </c>
      <c r="G328" s="2" t="n"/>
      <c r="H328" s="35" t="n">
        <v>4.05</v>
      </c>
      <c r="I328" s="35" t="n">
        <v>3</v>
      </c>
    </row>
    <row r="329" ht="62" customHeight="1">
      <c r="A329" s="9" t="n"/>
      <c r="B329" s="34" t="inlineStr">
        <is>
          <t>INTERIORES (    )</t>
        </is>
      </c>
      <c r="C329" s="9">
        <f>IF(COUNT(H329,I329)&lt;2,"",TEXT(H329,"0.00")&amp;" x "&amp;TEXT(I329,"0.00"))</f>
        <v/>
      </c>
      <c r="D329" s="8">
        <f>IF(COUNT(H329,I329)&lt;2,"",ROUND(H329*I329,2))</f>
        <v/>
      </c>
      <c r="E329" s="25" t="n">
        <v>25</v>
      </c>
      <c r="F329" s="28">
        <f>IF(D329="","",ROUND(D329*E329,1))</f>
        <v/>
      </c>
      <c r="G329" s="2" t="n"/>
      <c r="H329" s="35" t="n">
        <v>3.5</v>
      </c>
      <c r="I329" s="35" t="n">
        <v>3</v>
      </c>
    </row>
    <row r="330" ht="62" customHeight="1">
      <c r="A330" s="9" t="n"/>
      <c r="B330" s="34" t="inlineStr">
        <is>
          <t>INTERIORES (    )</t>
        </is>
      </c>
      <c r="C330" s="9">
        <f>IF(COUNT(H330,I330)&lt;2,"",TEXT(H330,"0.00")&amp;" x "&amp;TEXT(I330,"0.00"))</f>
        <v/>
      </c>
      <c r="D330" s="8">
        <f>IF(COUNT(H330,I330)&lt;2,"",ROUND(H330*I330,2))</f>
        <v/>
      </c>
      <c r="E330" s="25" t="n">
        <v>25</v>
      </c>
      <c r="F330" s="28">
        <f>IF(D330="","",ROUND(D330*E330,1))</f>
        <v/>
      </c>
      <c r="G330" s="2" t="n"/>
      <c r="H330" s="35" t="n">
        <v>4.05</v>
      </c>
      <c r="I330" s="35" t="n">
        <v>3</v>
      </c>
    </row>
    <row r="331" ht="39.7" customHeight="1">
      <c r="A331" s="16" t="inlineStr">
        <is>
          <t>3</t>
        </is>
      </c>
      <c r="B331" s="33" t="inlineStr">
        <is>
          <t>TECHOS O CIELORRASOS</t>
        </is>
      </c>
      <c r="C331" s="9" t="n"/>
      <c r="D331" s="9" t="n"/>
      <c r="E331" s="9" t="n"/>
      <c r="F331" s="9" t="n"/>
      <c r="G331" s="2" t="n"/>
      <c r="H331" s="2" t="n"/>
      <c r="I331" s="2" t="n"/>
    </row>
    <row r="332" ht="62" customHeight="1">
      <c r="A332" s="9" t="n"/>
      <c r="B332" s="34" t="inlineStr">
        <is>
          <t>TECHO NO AISLADO</t>
        </is>
      </c>
      <c r="C332" s="9" t="inlineStr"/>
      <c r="D332" s="8">
        <f>IF(COUNT(H332,I332)&lt;2,"",ROUND(H332*I332,2))</f>
        <v/>
      </c>
      <c r="E332" s="25" t="n">
        <v>30</v>
      </c>
      <c r="F332" s="28">
        <f>IF(D332="","",ROUND(D332*E332,1))</f>
        <v/>
      </c>
      <c r="G332" s="2" t="n"/>
      <c r="H332" s="35" t="n"/>
      <c r="I332" s="35" t="n"/>
    </row>
    <row r="333" ht="39.7" customHeight="1">
      <c r="A333" s="9" t="n"/>
      <c r="B333" s="34" t="inlineStr">
        <is>
          <t>TECHO AISLADO</t>
        </is>
      </c>
      <c r="C333" s="9" t="inlineStr">
        <is>
          <t>por croquis</t>
        </is>
      </c>
      <c r="D333" s="8" t="n">
        <v>14.17</v>
      </c>
      <c r="E333" s="25" t="n">
        <v>20</v>
      </c>
      <c r="F333" s="28">
        <f>IF(D333="","",ROUND(D333*E333,1))</f>
        <v/>
      </c>
      <c r="G333" s="2" t="n"/>
      <c r="H333" s="35" t="n"/>
      <c r="I333" s="35" t="n"/>
    </row>
    <row r="334" ht="62" customHeight="1">
      <c r="A334" s="9" t="n"/>
      <c r="B334" s="34" t="inlineStr">
        <is>
          <t>TECHO ENTREPISO</t>
        </is>
      </c>
      <c r="C334" s="9" t="inlineStr"/>
      <c r="D334" s="8">
        <f>IF(COUNT(H334,I334)&lt;2,"",ROUND(H334*I334,2))</f>
        <v/>
      </c>
      <c r="E334" s="25" t="n">
        <v>15</v>
      </c>
      <c r="F334" s="28">
        <f>IF(D334="","",ROUND(D334*E334,1))</f>
        <v/>
      </c>
      <c r="G334" s="2" t="n"/>
      <c r="H334" s="35" t="n"/>
      <c r="I334" s="35" t="n"/>
    </row>
    <row r="335" ht="39.7" customHeight="1">
      <c r="A335" s="16" t="inlineStr">
        <is>
          <t>4</t>
        </is>
      </c>
      <c r="B335" s="33" t="inlineStr">
        <is>
          <t>PISO</t>
        </is>
      </c>
      <c r="C335" s="9" t="n"/>
      <c r="D335" s="9" t="n"/>
      <c r="E335" s="9" t="n"/>
      <c r="F335" s="9" t="n"/>
      <c r="G335" s="2" t="n"/>
      <c r="H335" s="2" t="n"/>
      <c r="I335" s="2" t="n"/>
    </row>
    <row r="336" ht="62" customHeight="1">
      <c r="A336" s="9" t="n"/>
      <c r="B336" s="34" t="inlineStr">
        <is>
          <t>SOBRE TIERRA</t>
        </is>
      </c>
      <c r="C336" s="9" t="inlineStr"/>
      <c r="D336" s="8">
        <f>IF(COUNT(H336,I336)&lt;2,"",ROUND(H336*I336,2))</f>
        <v/>
      </c>
      <c r="E336" s="25" t="n">
        <v>10</v>
      </c>
      <c r="F336" s="28">
        <f>IF(D336="","",ROUND(D336*E336,1))</f>
        <v/>
      </c>
      <c r="G336" s="2" t="n"/>
      <c r="H336" s="35" t="n"/>
      <c r="I336" s="35" t="n"/>
    </row>
    <row r="337" ht="39.7" customHeight="1">
      <c r="A337" s="9" t="n"/>
      <c r="B337" s="34" t="inlineStr">
        <is>
          <t>SOBRE LOCAL OCUPADO</t>
        </is>
      </c>
      <c r="C337" s="9" t="inlineStr">
        <is>
          <t>por croquis</t>
        </is>
      </c>
      <c r="D337" s="8" t="n">
        <v>14.17</v>
      </c>
      <c r="E337" s="25" t="n">
        <v>15</v>
      </c>
      <c r="F337" s="28">
        <f>IF(D337="","",ROUND(D337*E337,1))</f>
        <v/>
      </c>
      <c r="G337" s="2" t="n"/>
      <c r="H337" s="35" t="n"/>
      <c r="I337" s="35" t="n"/>
    </row>
    <row r="338" ht="39.7" customHeight="1">
      <c r="A338" s="16" t="inlineStr">
        <is>
          <t>5</t>
        </is>
      </c>
      <c r="B338" s="33" t="inlineStr">
        <is>
          <t>INFILTRACION</t>
        </is>
      </c>
      <c r="C338" s="9" t="n"/>
      <c r="D338" s="16" t="inlineStr">
        <is>
          <t>VOLUMEN (m3)</t>
        </is>
      </c>
      <c r="E338" s="9" t="n"/>
      <c r="F338" s="9" t="n"/>
      <c r="G338" s="2" t="n"/>
      <c r="H338" s="2" t="n"/>
      <c r="I338" s="2" t="n"/>
    </row>
    <row r="339" ht="62" customHeight="1">
      <c r="A339" s="9" t="n"/>
      <c r="B339" s="34" t="inlineStr">
        <is>
          <t>UNA PARED EXTERIOR</t>
        </is>
      </c>
      <c r="C339" s="9" t="inlineStr"/>
      <c r="D339" s="8">
        <f>IF(COUNT(H339,I339)&lt;2,"",ROUND(H339*I339,2))</f>
        <v/>
      </c>
      <c r="E339" s="25" t="n">
        <v>6</v>
      </c>
      <c r="F339" s="28">
        <f>IF(D339="","",ROUND(D339*E339,1))</f>
        <v/>
      </c>
      <c r="G339" s="2" t="n"/>
      <c r="H339" s="35" t="n"/>
      <c r="I339" s="35" t="n"/>
    </row>
    <row r="340" ht="39.7" customHeight="1">
      <c r="A340" s="9" t="n"/>
      <c r="B340" s="34" t="inlineStr">
        <is>
          <t>DOS PAREDES EXTERIORES</t>
        </is>
      </c>
      <c r="C340" s="9" t="inlineStr">
        <is>
          <t>14.17 m2 x 3.00</t>
        </is>
      </c>
      <c r="D340" s="8" t="n">
        <v>42.51</v>
      </c>
      <c r="E340" s="25" t="n">
        <v>9</v>
      </c>
      <c r="F340" s="28">
        <f>IF(D340="","",ROUND(D340*E340,1))</f>
        <v/>
      </c>
      <c r="G340" s="2" t="n"/>
      <c r="H340" s="35" t="n"/>
      <c r="I340" s="35" t="n"/>
    </row>
    <row r="341" ht="62" customHeight="1">
      <c r="A341" s="9" t="n"/>
      <c r="B341" s="34" t="inlineStr">
        <is>
          <t>TRES O MAS PAREDES EXTERIORES</t>
        </is>
      </c>
      <c r="C341" s="9" t="inlineStr"/>
      <c r="D341" s="8">
        <f>IF(COUNT(H341,I341)&lt;2,"",ROUND(H341*I341,2))</f>
        <v/>
      </c>
      <c r="E341" s="25" t="n">
        <v>12</v>
      </c>
      <c r="F341" s="28">
        <f>IF(D341="","",ROUND(D341*E341,1))</f>
        <v/>
      </c>
      <c r="G341" s="2" t="n"/>
      <c r="H341" s="35" t="n"/>
      <c r="I341" s="35" t="n"/>
    </row>
    <row r="342" ht="70" customHeight="1">
      <c r="A342" s="16" t="inlineStr">
        <is>
          <t>6</t>
        </is>
      </c>
      <c r="B342" s="33" t="inlineStr">
        <is>
          <t>SUBTOTAL</t>
        </is>
      </c>
      <c r="C342" s="9" t="n"/>
      <c r="D342" s="9" t="n"/>
      <c r="E342" s="9" t="n"/>
      <c r="F342" s="36">
        <f>IF(F320="",0,F320)+IF(F321="",0,F321)+IF(F323="",0,F323)+IF(F324="",0,F324)+IF(F325="",0,F325)+IF(F326="",0,F326)+IF(F327="",0,F327)+IF(F328="",0,F328)+IF(F329="",0,F329)+IF(F330="",0,F330)+IF(F332="",0,F332)+IF(F333="",0,F333)+IF(F334="",0,F334)+IF(F336="",0,F336)+IF(F337="",0,F337)+IF(F339="",0,F339)+IF(F340="",0,F340)+IF(F341="",0,F341)</f>
        <v/>
      </c>
      <c r="G342" s="2" t="n"/>
      <c r="H342" s="2" t="n"/>
      <c r="I342" s="2" t="n"/>
    </row>
    <row r="343" ht="47" customHeight="1">
      <c r="A343" s="16" t="inlineStr">
        <is>
          <t>7</t>
        </is>
      </c>
      <c r="B343" s="33" t="inlineStr">
        <is>
          <t>PERDIDA TOTAL</t>
        </is>
      </c>
      <c r="C343" s="9">
        <f>TEXT(F342,"0.00")&amp;"  X  "&amp;Datos_balance!$B$4&amp;" (FI)  X  "&amp;Datos_balance!$B$5&amp;" (FO)  X  "&amp;Datos_balance!$B$6&amp;" (FZ)"</f>
        <v/>
      </c>
      <c r="D343" s="2" t="n"/>
      <c r="E343" s="2" t="n"/>
      <c r="F343" s="36">
        <f>ROUND(F342*Datos_balance!$B$4*Datos_balance!$B$5*Datos_balance!$B$6,1)</f>
        <v/>
      </c>
      <c r="G343" s="2" t="n"/>
      <c r="H343" s="2" t="n"/>
      <c r="I343" s="2" t="n"/>
    </row>
    <row r="344">
      <c r="A344" s="2" t="n"/>
      <c r="B344" s="2" t="n"/>
      <c r="C344" s="2" t="n"/>
      <c r="D344" s="2" t="n"/>
      <c r="E344" s="2" t="n"/>
      <c r="F344" s="2" t="n"/>
      <c r="G344" s="2" t="n"/>
      <c r="H344" s="2" t="n"/>
      <c r="I344" s="2" t="n"/>
    </row>
    <row r="345" ht="62" customHeight="1">
      <c r="A345" s="9" t="n"/>
      <c r="B345" s="10" t="inlineStr">
        <is>
          <t>Salto termico:  dt = (te+ts)/2 - ti</t>
        </is>
      </c>
      <c r="C345" s="9">
        <f>TEXT((Datos_balance!$B$9+Datos_balance!$B$10)/2,"0")&amp;" - "&amp;TEXT(Datos_balance!$B$11,"0")&amp;" = "&amp;TEXT((Datos_balance!$B$9+Datos_balance!$B$10)/2-Datos_balance!$B$11,"0")&amp;" C"</f>
        <v/>
      </c>
      <c r="D345" s="2" t="n"/>
      <c r="E345" s="2" t="n"/>
      <c r="F345" s="9" t="n"/>
      <c r="G345" s="2" t="n"/>
      <c r="H345" s="2" t="n"/>
      <c r="I345" s="2" t="n"/>
    </row>
    <row r="346" ht="39.7" customHeight="1">
      <c r="A346" s="9" t="n"/>
      <c r="B346" s="10" t="inlineStr">
        <is>
          <t>Kcal/h por elemento</t>
        </is>
      </c>
      <c r="C346" s="8">
        <f>ROUND(Datos_balance!$B$14*Datos_balance!$B$15,2)</f>
        <v/>
      </c>
      <c r="D346" s="2" t="n"/>
      <c r="E346" s="2" t="n"/>
      <c r="F346" s="9" t="n"/>
      <c r="G346" s="2" t="n"/>
      <c r="H346" s="2" t="n"/>
      <c r="I346" s="2" t="n"/>
    </row>
    <row r="347" ht="39.7" customHeight="1">
      <c r="A347" s="9" t="n"/>
      <c r="B347" s="10" t="inlineStr">
        <is>
          <t>Elementos necesarios</t>
        </is>
      </c>
      <c r="C347" s="25">
        <f>ROUNDUP(F343/(Datos_balance!$B$14*Datos_balance!$B$15),0)</f>
        <v/>
      </c>
      <c r="D347" s="2" t="n"/>
      <c r="E347" s="2" t="n"/>
      <c r="F347" s="9" t="n"/>
      <c r="G347" s="2" t="n"/>
      <c r="H347" s="2" t="n"/>
      <c r="I347" s="2" t="n"/>
    </row>
    <row r="348" ht="39.7" customHeight="1">
      <c r="A348" s="9" t="n"/>
      <c r="B348" s="10" t="inlineStr">
        <is>
          <t>Ancho del radiador (cm)</t>
        </is>
      </c>
      <c r="C348" s="25">
        <f>ROUNDUP(F343/(Datos_balance!$B$14*Datos_balance!$B$15),0)*Datos_balance!$B$16</f>
        <v/>
      </c>
      <c r="D348" s="2" t="n"/>
      <c r="E348" s="2" t="n"/>
      <c r="F348" s="9" t="n"/>
      <c r="G348" s="2" t="n"/>
      <c r="H348" s="2" t="n"/>
      <c r="I348" s="2" t="n"/>
    </row>
    <row r="349" ht="39.7" customHeight="1">
      <c r="A349" s="13" t="n"/>
      <c r="B349" s="14" t="inlineStr">
        <is>
          <t>Radiador adoptado</t>
        </is>
      </c>
      <c r="C349" s="13">
        <f>Datos_balance!$B$13</f>
        <v/>
      </c>
      <c r="D349" s="20" t="n"/>
      <c r="E349" s="20" t="n"/>
      <c r="F349" s="13" t="n"/>
      <c r="G349" s="2" t="n"/>
      <c r="H349" s="2" t="n"/>
      <c r="I349" s="2" t="n"/>
    </row>
    <row r="350">
      <c r="A350" s="2" t="n"/>
      <c r="B350" s="2" t="n"/>
      <c r="C350" s="2" t="n"/>
      <c r="D350" s="2" t="n"/>
      <c r="E350" s="2" t="n"/>
      <c r="F350" s="2" t="n"/>
      <c r="G350" s="2" t="n"/>
      <c r="H350" s="2" t="n"/>
      <c r="I350" s="2" t="n"/>
    </row>
    <row r="351">
      <c r="A351" s="2" t="n"/>
      <c r="B351" s="2" t="n"/>
      <c r="C351" s="2" t="n"/>
      <c r="D351" s="2" t="n"/>
      <c r="E351" s="2" t="n"/>
      <c r="F351" s="2" t="n"/>
      <c r="G351" s="2" t="n"/>
      <c r="H351" s="2" t="n"/>
      <c r="I351" s="2" t="n"/>
    </row>
    <row r="352" ht="39.7" customHeight="1">
      <c r="A352" s="5" t="inlineStr">
        <is>
          <t>LOCAL  16 - Antebano   (PA)</t>
        </is>
      </c>
      <c r="B352" s="2" t="n"/>
      <c r="C352" s="2" t="n"/>
      <c r="D352" s="2" t="n"/>
      <c r="E352" s="2" t="n"/>
      <c r="F352" s="2" t="n"/>
      <c r="G352" s="2" t="n"/>
      <c r="H352" s="2" t="n"/>
      <c r="I352" s="2" t="n"/>
    </row>
    <row r="353" ht="39.7" customHeight="1">
      <c r="A353" s="3" t="inlineStr">
        <is>
          <t>Nro</t>
        </is>
      </c>
      <c r="B353" s="3" t="inlineStr">
        <is>
          <t>DESCRIPCION</t>
        </is>
      </c>
      <c r="C353" s="3" t="inlineStr">
        <is>
          <t>DIMENSIONES (m)</t>
        </is>
      </c>
      <c r="D353" s="3" t="inlineStr">
        <is>
          <t>AREA (m2)</t>
        </is>
      </c>
      <c r="E353" s="3" t="inlineStr">
        <is>
          <t>FACTOR</t>
        </is>
      </c>
      <c r="F353" s="3" t="inlineStr">
        <is>
          <t>PERDIDA CALOR (Kcal/h)</t>
        </is>
      </c>
      <c r="G353" s="2" t="n"/>
      <c r="H353" s="2" t="n"/>
      <c r="I353" s="2" t="n"/>
    </row>
    <row r="354" ht="39.7" customHeight="1">
      <c r="A354" s="16" t="inlineStr">
        <is>
          <t>1</t>
        </is>
      </c>
      <c r="B354" s="33" t="inlineStr">
        <is>
          <t>VENTANA</t>
        </is>
      </c>
      <c r="C354" s="9" t="n"/>
      <c r="D354" s="9" t="n"/>
      <c r="E354" s="9" t="n"/>
      <c r="F354" s="9" t="n"/>
      <c r="G354" s="2" t="n"/>
      <c r="H354" s="2" t="n"/>
      <c r="I354" s="2" t="n"/>
    </row>
    <row r="355" ht="62" customHeight="1">
      <c r="A355" s="9" t="n"/>
      <c r="B355" s="34" t="inlineStr">
        <is>
          <t>(sin aberturas)</t>
        </is>
      </c>
      <c r="C355" s="9">
        <f>IF(COUNT(H355,I355)&lt;2,"",TEXT(H355,"0.00")&amp;" x "&amp;TEXT(I355,"0.00"))</f>
        <v/>
      </c>
      <c r="D355" s="8">
        <f>IF(COUNT(H355,I355)&lt;2,"",ROUND(H355*I355,2))</f>
        <v/>
      </c>
      <c r="E355" s="25" t="n">
        <v>60</v>
      </c>
      <c r="F355" s="28">
        <f>IF(D355="","",ROUND(D355*E355,1))</f>
        <v/>
      </c>
      <c r="G355" s="2" t="n"/>
      <c r="H355" s="35" t="n"/>
      <c r="I355" s="35" t="n"/>
    </row>
    <row r="356" ht="39.7" customHeight="1">
      <c r="A356" s="16" t="inlineStr">
        <is>
          <t>2</t>
        </is>
      </c>
      <c r="B356" s="33" t="inlineStr">
        <is>
          <t>PAREDES EXTERIORES</t>
        </is>
      </c>
      <c r="C356" s="9" t="n"/>
      <c r="D356" s="9" t="n"/>
      <c r="E356" s="9" t="n"/>
      <c r="F356" s="9" t="n"/>
      <c r="G356" s="2" t="n"/>
      <c r="H356" s="2" t="n"/>
      <c r="I356" s="2" t="n"/>
    </row>
    <row r="357" ht="62" customHeight="1">
      <c r="A357" s="9" t="n"/>
      <c r="B357" s="34" t="inlineStr">
        <is>
          <t>AISLADAS (    )</t>
        </is>
      </c>
      <c r="C357" s="9">
        <f>IF(COUNT(H357,I357)&lt;2,"",TEXT(H357,"0.00")&amp;" x "&amp;TEXT(I357,"0.00"))</f>
        <v/>
      </c>
      <c r="D357" s="8">
        <f>IF(COUNT(H357,I357)&lt;2,"",ROUND(H357*I357,2))</f>
        <v/>
      </c>
      <c r="E357" s="25" t="n">
        <v>20</v>
      </c>
      <c r="F357" s="28">
        <f>IF(D357="","",ROUND(D357*E357,1))</f>
        <v/>
      </c>
      <c r="G357" s="2" t="n"/>
      <c r="H357" s="35" t="n"/>
      <c r="I357" s="35" t="n"/>
    </row>
    <row r="358" ht="62" customHeight="1">
      <c r="A358" s="9" t="n"/>
      <c r="B358" s="34" t="inlineStr">
        <is>
          <t>AISLADAS (    )</t>
        </is>
      </c>
      <c r="C358" s="9">
        <f>IF(COUNT(H358,I358)&lt;2,"",TEXT(H358,"0.00")&amp;" x "&amp;TEXT(I358,"0.00"))</f>
        <v/>
      </c>
      <c r="D358" s="8">
        <f>IF(COUNT(H358,I358)&lt;2,"",ROUND(H358*I358,2))</f>
        <v/>
      </c>
      <c r="E358" s="25" t="n">
        <v>20</v>
      </c>
      <c r="F358" s="28">
        <f>IF(D358="","",ROUND(D358*E358,1))</f>
        <v/>
      </c>
      <c r="G358" s="2" t="n"/>
      <c r="H358" s="35" t="n"/>
      <c r="I358" s="35" t="n"/>
    </row>
    <row r="359" ht="62" customHeight="1">
      <c r="A359" s="9" t="n"/>
      <c r="B359" s="34" t="inlineStr">
        <is>
          <t>AISLADAS (    )</t>
        </is>
      </c>
      <c r="C359" s="9">
        <f>IF(COUNT(H359,I359)&lt;2,"",TEXT(H359,"0.00")&amp;" x "&amp;TEXT(I359,"0.00"))</f>
        <v/>
      </c>
      <c r="D359" s="8">
        <f>IF(COUNT(H359,I359)&lt;2,"",ROUND(H359*I359,2))</f>
        <v/>
      </c>
      <c r="E359" s="25" t="n">
        <v>20</v>
      </c>
      <c r="F359" s="28">
        <f>IF(D359="","",ROUND(D359*E359,1))</f>
        <v/>
      </c>
      <c r="G359" s="2" t="n"/>
      <c r="H359" s="35" t="n"/>
      <c r="I359" s="35" t="n"/>
    </row>
    <row r="360" ht="62" customHeight="1">
      <c r="A360" s="9" t="n"/>
      <c r="B360" s="34" t="inlineStr">
        <is>
          <t>AISLADAS (    )</t>
        </is>
      </c>
      <c r="C360" s="9">
        <f>IF(COUNT(H360,I360)&lt;2,"",TEXT(H360,"0.00")&amp;" x "&amp;TEXT(I360,"0.00"))</f>
        <v/>
      </c>
      <c r="D360" s="8">
        <f>IF(COUNT(H360,I360)&lt;2,"",ROUND(H360*I360,2))</f>
        <v/>
      </c>
      <c r="E360" s="25" t="n">
        <v>20</v>
      </c>
      <c r="F360" s="28">
        <f>IF(D360="","",ROUND(D360*E360,1))</f>
        <v/>
      </c>
      <c r="G360" s="2" t="n"/>
      <c r="H360" s="35" t="n"/>
      <c r="I360" s="35" t="n"/>
    </row>
    <row r="361" ht="62" customHeight="1">
      <c r="A361" s="9" t="n"/>
      <c r="B361" s="34" t="inlineStr">
        <is>
          <t>INTERIORES (    )</t>
        </is>
      </c>
      <c r="C361" s="9">
        <f>IF(COUNT(H361,I361)&lt;2,"",TEXT(H361,"0.00")&amp;" x "&amp;TEXT(I361,"0.00"))</f>
        <v/>
      </c>
      <c r="D361" s="8">
        <f>IF(COUNT(H361,I361)&lt;2,"",ROUND(H361*I361,2))</f>
        <v/>
      </c>
      <c r="E361" s="25" t="n">
        <v>25</v>
      </c>
      <c r="F361" s="28">
        <f>IF(D361="","",ROUND(D361*E361,1))</f>
        <v/>
      </c>
      <c r="G361" s="2" t="n"/>
      <c r="H361" s="35" t="n">
        <v>3.9</v>
      </c>
      <c r="I361" s="35" t="n">
        <v>3</v>
      </c>
    </row>
    <row r="362" ht="62" customHeight="1">
      <c r="A362" s="9" t="n"/>
      <c r="B362" s="34" t="inlineStr">
        <is>
          <t>INTERIORES (    )</t>
        </is>
      </c>
      <c r="C362" s="9">
        <f>IF(COUNT(H362,I362)&lt;2,"",TEXT(H362,"0.00")&amp;" x "&amp;TEXT(I362,"0.00"))</f>
        <v/>
      </c>
      <c r="D362" s="8">
        <f>IF(COUNT(H362,I362)&lt;2,"",ROUND(H362*I362,2))</f>
        <v/>
      </c>
      <c r="E362" s="25" t="n">
        <v>25</v>
      </c>
      <c r="F362" s="28">
        <f>IF(D362="","",ROUND(D362*E362,1))</f>
        <v/>
      </c>
      <c r="G362" s="2" t="n"/>
      <c r="H362" s="35" t="n">
        <v>1.5</v>
      </c>
      <c r="I362" s="35" t="n">
        <v>3</v>
      </c>
    </row>
    <row r="363" ht="62" customHeight="1">
      <c r="A363" s="9" t="n"/>
      <c r="B363" s="34" t="inlineStr">
        <is>
          <t>INTERIORES (    )</t>
        </is>
      </c>
      <c r="C363" s="9">
        <f>IF(COUNT(H363,I363)&lt;2,"",TEXT(H363,"0.00")&amp;" x "&amp;TEXT(I363,"0.00"))</f>
        <v/>
      </c>
      <c r="D363" s="8">
        <f>IF(COUNT(H363,I363)&lt;2,"",ROUND(H363*I363,2))</f>
        <v/>
      </c>
      <c r="E363" s="25" t="n">
        <v>25</v>
      </c>
      <c r="F363" s="28">
        <f>IF(D363="","",ROUND(D363*E363,1))</f>
        <v/>
      </c>
      <c r="G363" s="2" t="n"/>
      <c r="H363" s="35" t="n">
        <v>3.9</v>
      </c>
      <c r="I363" s="35" t="n">
        <v>3</v>
      </c>
    </row>
    <row r="364" ht="62" customHeight="1">
      <c r="A364" s="9" t="n"/>
      <c r="B364" s="34" t="inlineStr">
        <is>
          <t>INTERIORES (    )</t>
        </is>
      </c>
      <c r="C364" s="9">
        <f>IF(COUNT(H364,I364)&lt;2,"",TEXT(H364,"0.00")&amp;" x "&amp;TEXT(I364,"0.00"))</f>
        <v/>
      </c>
      <c r="D364" s="8">
        <f>IF(COUNT(H364,I364)&lt;2,"",ROUND(H364*I364,2))</f>
        <v/>
      </c>
      <c r="E364" s="25" t="n">
        <v>25</v>
      </c>
      <c r="F364" s="28">
        <f>IF(D364="","",ROUND(D364*E364,1))</f>
        <v/>
      </c>
      <c r="G364" s="2" t="n"/>
      <c r="H364" s="35" t="n">
        <v>1.5</v>
      </c>
      <c r="I364" s="35" t="n">
        <v>3</v>
      </c>
    </row>
    <row r="365" ht="39.7" customHeight="1">
      <c r="A365" s="16" t="inlineStr">
        <is>
          <t>3</t>
        </is>
      </c>
      <c r="B365" s="33" t="inlineStr">
        <is>
          <t>TECHOS O CIELORRASOS</t>
        </is>
      </c>
      <c r="C365" s="9" t="n"/>
      <c r="D365" s="9" t="n"/>
      <c r="E365" s="9" t="n"/>
      <c r="F365" s="9" t="n"/>
      <c r="G365" s="2" t="n"/>
      <c r="H365" s="2" t="n"/>
      <c r="I365" s="2" t="n"/>
    </row>
    <row r="366" ht="62" customHeight="1">
      <c r="A366" s="9" t="n"/>
      <c r="B366" s="34" t="inlineStr">
        <is>
          <t>TECHO NO AISLADO</t>
        </is>
      </c>
      <c r="C366" s="9" t="inlineStr"/>
      <c r="D366" s="8">
        <f>IF(COUNT(H366,I366)&lt;2,"",ROUND(H366*I366,2))</f>
        <v/>
      </c>
      <c r="E366" s="25" t="n">
        <v>30</v>
      </c>
      <c r="F366" s="28">
        <f>IF(D366="","",ROUND(D366*E366,1))</f>
        <v/>
      </c>
      <c r="G366" s="2" t="n"/>
      <c r="H366" s="35" t="n"/>
      <c r="I366" s="35" t="n"/>
    </row>
    <row r="367" ht="39.7" customHeight="1">
      <c r="A367" s="9" t="n"/>
      <c r="B367" s="34" t="inlineStr">
        <is>
          <t>TECHO AISLADO</t>
        </is>
      </c>
      <c r="C367" s="9" t="inlineStr">
        <is>
          <t>por croquis</t>
        </is>
      </c>
      <c r="D367" s="8" t="n">
        <v>5.85</v>
      </c>
      <c r="E367" s="25" t="n">
        <v>20</v>
      </c>
      <c r="F367" s="28">
        <f>IF(D367="","",ROUND(D367*E367,1))</f>
        <v/>
      </c>
      <c r="G367" s="2" t="n"/>
      <c r="H367" s="35" t="n"/>
      <c r="I367" s="35" t="n"/>
    </row>
    <row r="368" ht="62" customHeight="1">
      <c r="A368" s="9" t="n"/>
      <c r="B368" s="34" t="inlineStr">
        <is>
          <t>TECHO ENTREPISO</t>
        </is>
      </c>
      <c r="C368" s="9" t="inlineStr"/>
      <c r="D368" s="8">
        <f>IF(COUNT(H368,I368)&lt;2,"",ROUND(H368*I368,2))</f>
        <v/>
      </c>
      <c r="E368" s="25" t="n">
        <v>15</v>
      </c>
      <c r="F368" s="28">
        <f>IF(D368="","",ROUND(D368*E368,1))</f>
        <v/>
      </c>
      <c r="G368" s="2" t="n"/>
      <c r="H368" s="35" t="n"/>
      <c r="I368" s="35" t="n"/>
    </row>
    <row r="369" ht="39.7" customHeight="1">
      <c r="A369" s="16" t="inlineStr">
        <is>
          <t>4</t>
        </is>
      </c>
      <c r="B369" s="33" t="inlineStr">
        <is>
          <t>PISO</t>
        </is>
      </c>
      <c r="C369" s="9" t="n"/>
      <c r="D369" s="9" t="n"/>
      <c r="E369" s="9" t="n"/>
      <c r="F369" s="9" t="n"/>
      <c r="G369" s="2" t="n"/>
      <c r="H369" s="2" t="n"/>
      <c r="I369" s="2" t="n"/>
    </row>
    <row r="370" ht="62" customHeight="1">
      <c r="A370" s="9" t="n"/>
      <c r="B370" s="34" t="inlineStr">
        <is>
          <t>SOBRE TIERRA</t>
        </is>
      </c>
      <c r="C370" s="9" t="inlineStr"/>
      <c r="D370" s="8">
        <f>IF(COUNT(H370,I370)&lt;2,"",ROUND(H370*I370,2))</f>
        <v/>
      </c>
      <c r="E370" s="25" t="n">
        <v>10</v>
      </c>
      <c r="F370" s="28">
        <f>IF(D370="","",ROUND(D370*E370,1))</f>
        <v/>
      </c>
      <c r="G370" s="2" t="n"/>
      <c r="H370" s="35" t="n"/>
      <c r="I370" s="35" t="n"/>
    </row>
    <row r="371" ht="39.7" customHeight="1">
      <c r="A371" s="9" t="n"/>
      <c r="B371" s="34" t="inlineStr">
        <is>
          <t>SOBRE LOCAL OCUPADO</t>
        </is>
      </c>
      <c r="C371" s="9" t="inlineStr">
        <is>
          <t>por croquis</t>
        </is>
      </c>
      <c r="D371" s="8" t="n">
        <v>5.85</v>
      </c>
      <c r="E371" s="25" t="n">
        <v>15</v>
      </c>
      <c r="F371" s="28">
        <f>IF(D371="","",ROUND(D371*E371,1))</f>
        <v/>
      </c>
      <c r="G371" s="2" t="n"/>
      <c r="H371" s="35" t="n"/>
      <c r="I371" s="35" t="n"/>
    </row>
    <row r="372" ht="39.7" customHeight="1">
      <c r="A372" s="16" t="inlineStr">
        <is>
          <t>5</t>
        </is>
      </c>
      <c r="B372" s="33" t="inlineStr">
        <is>
          <t>INFILTRACION</t>
        </is>
      </c>
      <c r="C372" s="9" t="n"/>
      <c r="D372" s="16" t="inlineStr">
        <is>
          <t>VOLUMEN (m3)</t>
        </is>
      </c>
      <c r="E372" s="9" t="n"/>
      <c r="F372" s="9" t="n"/>
      <c r="G372" s="2" t="n"/>
      <c r="H372" s="2" t="n"/>
      <c r="I372" s="2" t="n"/>
    </row>
    <row r="373" ht="39.7" customHeight="1">
      <c r="A373" s="9" t="n"/>
      <c r="B373" s="34" t="inlineStr">
        <is>
          <t>UNA PARED EXTERIOR</t>
        </is>
      </c>
      <c r="C373" s="9" t="inlineStr">
        <is>
          <t>5.85 m2 x 3.00</t>
        </is>
      </c>
      <c r="D373" s="8" t="n">
        <v>17.55</v>
      </c>
      <c r="E373" s="25" t="n">
        <v>6</v>
      </c>
      <c r="F373" s="28">
        <f>IF(D373="","",ROUND(D373*E373,1))</f>
        <v/>
      </c>
      <c r="G373" s="2" t="n"/>
      <c r="H373" s="35" t="n"/>
      <c r="I373" s="35" t="n"/>
    </row>
    <row r="374" ht="62" customHeight="1">
      <c r="A374" s="9" t="n"/>
      <c r="B374" s="34" t="inlineStr">
        <is>
          <t>DOS PAREDES EXTERIORES</t>
        </is>
      </c>
      <c r="C374" s="9" t="inlineStr"/>
      <c r="D374" s="8">
        <f>IF(COUNT(H374,I374)&lt;2,"",ROUND(H374*I374,2))</f>
        <v/>
      </c>
      <c r="E374" s="25" t="n">
        <v>9</v>
      </c>
      <c r="F374" s="28">
        <f>IF(D374="","",ROUND(D374*E374,1))</f>
        <v/>
      </c>
      <c r="G374" s="2" t="n"/>
      <c r="H374" s="35" t="n"/>
      <c r="I374" s="35" t="n"/>
    </row>
    <row r="375" ht="62" customHeight="1">
      <c r="A375" s="9" t="n"/>
      <c r="B375" s="34" t="inlineStr">
        <is>
          <t>TRES O MAS PAREDES EXTERIORES</t>
        </is>
      </c>
      <c r="C375" s="9" t="inlineStr"/>
      <c r="D375" s="8">
        <f>IF(COUNT(H375,I375)&lt;2,"",ROUND(H375*I375,2))</f>
        <v/>
      </c>
      <c r="E375" s="25" t="n">
        <v>12</v>
      </c>
      <c r="F375" s="28">
        <f>IF(D375="","",ROUND(D375*E375,1))</f>
        <v/>
      </c>
      <c r="G375" s="2" t="n"/>
      <c r="H375" s="35" t="n"/>
      <c r="I375" s="35" t="n"/>
    </row>
    <row r="376" ht="70" customHeight="1">
      <c r="A376" s="16" t="inlineStr">
        <is>
          <t>6</t>
        </is>
      </c>
      <c r="B376" s="33" t="inlineStr">
        <is>
          <t>SUBTOTAL</t>
        </is>
      </c>
      <c r="C376" s="9" t="n"/>
      <c r="D376" s="9" t="n"/>
      <c r="E376" s="9" t="n"/>
      <c r="F376" s="36">
        <f>IF(F355="",0,F355)+IF(F357="",0,F357)+IF(F358="",0,F358)+IF(F359="",0,F359)+IF(F360="",0,F360)+IF(F361="",0,F361)+IF(F362="",0,F362)+IF(F363="",0,F363)+IF(F364="",0,F364)+IF(F366="",0,F366)+IF(F367="",0,F367)+IF(F368="",0,F368)+IF(F370="",0,F370)+IF(F371="",0,F371)+IF(F373="",0,F373)+IF(F374="",0,F374)+IF(F375="",0,F375)</f>
        <v/>
      </c>
      <c r="G376" s="2" t="n"/>
      <c r="H376" s="2" t="n"/>
      <c r="I376" s="2" t="n"/>
    </row>
    <row r="377" ht="47" customHeight="1">
      <c r="A377" s="16" t="inlineStr">
        <is>
          <t>7</t>
        </is>
      </c>
      <c r="B377" s="33" t="inlineStr">
        <is>
          <t>PERDIDA TOTAL</t>
        </is>
      </c>
      <c r="C377" s="9">
        <f>TEXT(F376,"0.00")&amp;"  X  "&amp;Datos_balance!$B$4&amp;" (FI)  X  "&amp;Datos_balance!$B$5&amp;" (FO)  X  "&amp;Datos_balance!$B$6&amp;" (FZ)"</f>
        <v/>
      </c>
      <c r="D377" s="2" t="n"/>
      <c r="E377" s="2" t="n"/>
      <c r="F377" s="36">
        <f>ROUND(F376*Datos_balance!$B$4*Datos_balance!$B$5*Datos_balance!$B$6,1)</f>
        <v/>
      </c>
      <c r="G377" s="2" t="n"/>
      <c r="H377" s="2" t="n"/>
      <c r="I377" s="2" t="n"/>
    </row>
    <row r="378">
      <c r="A378" s="2" t="n"/>
      <c r="B378" s="2" t="n"/>
      <c r="C378" s="2" t="n"/>
      <c r="D378" s="2" t="n"/>
      <c r="E378" s="2" t="n"/>
      <c r="F378" s="2" t="n"/>
      <c r="G378" s="2" t="n"/>
      <c r="H378" s="2" t="n"/>
      <c r="I378" s="2" t="n"/>
    </row>
    <row r="379" ht="62" customHeight="1">
      <c r="A379" s="9" t="n"/>
      <c r="B379" s="10" t="inlineStr">
        <is>
          <t>Salto termico:  dt = (te+ts)/2 - ti</t>
        </is>
      </c>
      <c r="C379" s="9">
        <f>TEXT((Datos_balance!$B$9+Datos_balance!$B$10)/2,"0")&amp;" - "&amp;TEXT(Datos_balance!$B$11,"0")&amp;" = "&amp;TEXT((Datos_balance!$B$9+Datos_balance!$B$10)/2-Datos_balance!$B$11,"0")&amp;" C"</f>
        <v/>
      </c>
      <c r="D379" s="2" t="n"/>
      <c r="E379" s="2" t="n"/>
      <c r="F379" s="9" t="n"/>
      <c r="G379" s="2" t="n"/>
      <c r="H379" s="2" t="n"/>
      <c r="I379" s="2" t="n"/>
    </row>
    <row r="380" ht="39.7" customHeight="1">
      <c r="A380" s="9" t="n"/>
      <c r="B380" s="10" t="inlineStr">
        <is>
          <t>Kcal/h por elemento</t>
        </is>
      </c>
      <c r="C380" s="8">
        <f>ROUND(Datos_balance!$B$14*Datos_balance!$B$15,2)</f>
        <v/>
      </c>
      <c r="D380" s="2" t="n"/>
      <c r="E380" s="2" t="n"/>
      <c r="F380" s="9" t="n"/>
      <c r="G380" s="2" t="n"/>
      <c r="H380" s="2" t="n"/>
      <c r="I380" s="2" t="n"/>
    </row>
    <row r="381" ht="39.7" customHeight="1">
      <c r="A381" s="9" t="n"/>
      <c r="B381" s="10" t="inlineStr">
        <is>
          <t>Elementos necesarios</t>
        </is>
      </c>
      <c r="C381" s="25">
        <f>ROUNDUP(F377/(Datos_balance!$B$14*Datos_balance!$B$15),0)</f>
        <v/>
      </c>
      <c r="D381" s="2" t="n"/>
      <c r="E381" s="2" t="n"/>
      <c r="F381" s="9" t="n"/>
      <c r="G381" s="2" t="n"/>
      <c r="H381" s="2" t="n"/>
      <c r="I381" s="2" t="n"/>
    </row>
    <row r="382" ht="39.7" customHeight="1">
      <c r="A382" s="9" t="n"/>
      <c r="B382" s="10" t="inlineStr">
        <is>
          <t>Ancho del radiador (cm)</t>
        </is>
      </c>
      <c r="C382" s="25">
        <f>ROUNDUP(F377/(Datos_balance!$B$14*Datos_balance!$B$15),0)*Datos_balance!$B$16</f>
        <v/>
      </c>
      <c r="D382" s="2" t="n"/>
      <c r="E382" s="2" t="n"/>
      <c r="F382" s="9" t="n"/>
      <c r="G382" s="2" t="n"/>
      <c r="H382" s="2" t="n"/>
      <c r="I382" s="2" t="n"/>
    </row>
    <row r="383" ht="39.7" customHeight="1">
      <c r="A383" s="13" t="n"/>
      <c r="B383" s="14" t="inlineStr">
        <is>
          <t>Radiador adoptado</t>
        </is>
      </c>
      <c r="C383" s="13">
        <f>Datos_balance!$B$13</f>
        <v/>
      </c>
      <c r="D383" s="20" t="n"/>
      <c r="E383" s="20" t="n"/>
      <c r="F383" s="13" t="n"/>
      <c r="G383" s="2" t="n"/>
      <c r="H383" s="2" t="n"/>
      <c r="I383" s="2" t="n"/>
    </row>
    <row r="384">
      <c r="A384" s="2" t="n"/>
      <c r="B384" s="2" t="n"/>
      <c r="C384" s="2" t="n"/>
      <c r="D384" s="2" t="n"/>
      <c r="E384" s="2" t="n"/>
      <c r="F384" s="2" t="n"/>
      <c r="G384" s="2" t="n"/>
      <c r="H384" s="2" t="n"/>
      <c r="I384" s="2" t="n"/>
    </row>
    <row r="385">
      <c r="A385" s="2" t="n"/>
      <c r="B385" s="2" t="n"/>
      <c r="C385" s="2" t="n"/>
      <c r="D385" s="2" t="n"/>
      <c r="E385" s="2" t="n"/>
      <c r="F385" s="2" t="n"/>
      <c r="G385" s="2" t="n"/>
      <c r="H385" s="2" t="n"/>
      <c r="I385" s="2" t="n"/>
    </row>
    <row r="386" ht="39.7" customHeight="1">
      <c r="A386" s="5" t="inlineStr">
        <is>
          <t>LOCAL  17 - Bano   (PA)</t>
        </is>
      </c>
      <c r="B386" s="2" t="n"/>
      <c r="C386" s="2" t="n"/>
      <c r="D386" s="2" t="n"/>
      <c r="E386" s="2" t="n"/>
      <c r="F386" s="2" t="n"/>
      <c r="G386" s="2" t="n"/>
      <c r="H386" s="2" t="n"/>
      <c r="I386" s="2" t="n"/>
    </row>
    <row r="387" ht="39.7" customHeight="1">
      <c r="A387" s="3" t="inlineStr">
        <is>
          <t>Nro</t>
        </is>
      </c>
      <c r="B387" s="3" t="inlineStr">
        <is>
          <t>DESCRIPCION</t>
        </is>
      </c>
      <c r="C387" s="3" t="inlineStr">
        <is>
          <t>DIMENSIONES (m)</t>
        </is>
      </c>
      <c r="D387" s="3" t="inlineStr">
        <is>
          <t>AREA (m2)</t>
        </is>
      </c>
      <c r="E387" s="3" t="inlineStr">
        <is>
          <t>FACTOR</t>
        </is>
      </c>
      <c r="F387" s="3" t="inlineStr">
        <is>
          <t>PERDIDA CALOR (Kcal/h)</t>
        </is>
      </c>
      <c r="G387" s="2" t="n"/>
      <c r="H387" s="2" t="n"/>
      <c r="I387" s="2" t="n"/>
    </row>
    <row r="388" ht="39.7" customHeight="1">
      <c r="A388" s="16" t="inlineStr">
        <is>
          <t>1</t>
        </is>
      </c>
      <c r="B388" s="33" t="inlineStr">
        <is>
          <t>VENTANA</t>
        </is>
      </c>
      <c r="C388" s="9" t="n"/>
      <c r="D388" s="9" t="n"/>
      <c r="E388" s="9" t="n"/>
      <c r="F388" s="9" t="n"/>
      <c r="G388" s="2" t="n"/>
      <c r="H388" s="2" t="n"/>
      <c r="I388" s="2" t="n"/>
    </row>
    <row r="389" ht="62" customHeight="1">
      <c r="A389" s="9" t="n"/>
      <c r="B389" s="34" t="inlineStr">
        <is>
          <t>VA03</t>
        </is>
      </c>
      <c r="C389" s="9">
        <f>IF(COUNT(H389,I389)&lt;2,"",TEXT(H389,"0.00")&amp;" x "&amp;TEXT(I389,"0.00"))</f>
        <v/>
      </c>
      <c r="D389" s="8">
        <f>IF(COUNT(H389,I389)&lt;2,"",ROUND(H389*I389,2))</f>
        <v/>
      </c>
      <c r="E389" s="25" t="n">
        <v>60</v>
      </c>
      <c r="F389" s="28">
        <f>IF(D389="","",ROUND(D389*E389,1))</f>
        <v/>
      </c>
      <c r="G389" s="2" t="n"/>
      <c r="H389" s="35" t="n">
        <v>0.75</v>
      </c>
      <c r="I389" s="35" t="n">
        <v>2.52</v>
      </c>
    </row>
    <row r="390" ht="39.7" customHeight="1">
      <c r="A390" s="16" t="inlineStr">
        <is>
          <t>2</t>
        </is>
      </c>
      <c r="B390" s="33" t="inlineStr">
        <is>
          <t>PAREDES EXTERIORES</t>
        </is>
      </c>
      <c r="C390" s="9" t="n"/>
      <c r="D390" s="9" t="n"/>
      <c r="E390" s="9" t="n"/>
      <c r="F390" s="9" t="n"/>
      <c r="G390" s="2" t="n"/>
      <c r="H390" s="2" t="n"/>
      <c r="I390" s="2" t="n"/>
    </row>
    <row r="391" ht="62" customHeight="1">
      <c r="A391" s="9" t="n"/>
      <c r="B391" s="34" t="inlineStr">
        <is>
          <t>AISLADAS (    )</t>
        </is>
      </c>
      <c r="C391" s="9">
        <f>IF(COUNT(H391,I391)&lt;2,"",TEXT(H391,"0.00")&amp;" x "&amp;TEXT(I391,"0.00"))</f>
        <v/>
      </c>
      <c r="D391" s="8">
        <f>IF(COUNT(H391,I391)&lt;2,"",ROUND(H391*I391,2))</f>
        <v/>
      </c>
      <c r="E391" s="25" t="n">
        <v>20</v>
      </c>
      <c r="F391" s="28">
        <f>IF(D391="","",ROUND(D391*E391,1))</f>
        <v/>
      </c>
      <c r="G391" s="2" t="n"/>
      <c r="H391" s="35" t="n"/>
      <c r="I391" s="35" t="n"/>
    </row>
    <row r="392" ht="62" customHeight="1">
      <c r="A392" s="9" t="n"/>
      <c r="B392" s="34" t="inlineStr">
        <is>
          <t>AISLADAS (    )</t>
        </is>
      </c>
      <c r="C392" s="9">
        <f>IF(COUNT(H392,I392)&lt;2,"",TEXT(H392,"0.00")&amp;" x "&amp;TEXT(I392,"0.00"))</f>
        <v/>
      </c>
      <c r="D392" s="8">
        <f>IF(COUNT(H392,I392)&lt;2,"",ROUND(H392*I392,2))</f>
        <v/>
      </c>
      <c r="E392" s="25" t="n">
        <v>20</v>
      </c>
      <c r="F392" s="28">
        <f>IF(D392="","",ROUND(D392*E392,1))</f>
        <v/>
      </c>
      <c r="G392" s="2" t="n"/>
      <c r="H392" s="35" t="n"/>
      <c r="I392" s="35" t="n"/>
    </row>
    <row r="393" ht="62" customHeight="1">
      <c r="A393" s="9" t="n"/>
      <c r="B393" s="34" t="inlineStr">
        <is>
          <t>AISLADAS (    )</t>
        </is>
      </c>
      <c r="C393" s="9">
        <f>IF(COUNT(H393,I393)&lt;2,"",TEXT(H393,"0.00")&amp;" x "&amp;TEXT(I393,"0.00"))</f>
        <v/>
      </c>
      <c r="D393" s="8">
        <f>IF(COUNT(H393,I393)&lt;2,"",ROUND(H393*I393,2))</f>
        <v/>
      </c>
      <c r="E393" s="25" t="n">
        <v>20</v>
      </c>
      <c r="F393" s="28">
        <f>IF(D393="","",ROUND(D393*E393,1))</f>
        <v/>
      </c>
      <c r="G393" s="2" t="n"/>
      <c r="H393" s="35" t="n"/>
      <c r="I393" s="35" t="n"/>
    </row>
    <row r="394" ht="62" customHeight="1">
      <c r="A394" s="9" t="n"/>
      <c r="B394" s="34" t="inlineStr">
        <is>
          <t>AISLADAS (    )</t>
        </is>
      </c>
      <c r="C394" s="9">
        <f>IF(COUNT(H394,I394)&lt;2,"",TEXT(H394,"0.00")&amp;" x "&amp;TEXT(I394,"0.00"))</f>
        <v/>
      </c>
      <c r="D394" s="8">
        <f>IF(COUNT(H394,I394)&lt;2,"",ROUND(H394*I394,2))</f>
        <v/>
      </c>
      <c r="E394" s="25" t="n">
        <v>20</v>
      </c>
      <c r="F394" s="28">
        <f>IF(D394="","",ROUND(D394*E394,1))</f>
        <v/>
      </c>
      <c r="G394" s="2" t="n"/>
      <c r="H394" s="35" t="n"/>
      <c r="I394" s="35" t="n"/>
    </row>
    <row r="395" ht="62" customHeight="1">
      <c r="A395" s="9" t="n"/>
      <c r="B395" s="34" t="inlineStr">
        <is>
          <t>INTERIORES (    )</t>
        </is>
      </c>
      <c r="C395" s="9">
        <f>IF(COUNT(H395,I395)&lt;2,"",TEXT(H395,"0.00")&amp;" x "&amp;TEXT(I395,"0.00"))</f>
        <v/>
      </c>
      <c r="D395" s="8">
        <f>IF(COUNT(H395,I395)&lt;2,"",ROUND(H395*I395,2))</f>
        <v/>
      </c>
      <c r="E395" s="25" t="n">
        <v>25</v>
      </c>
      <c r="F395" s="28">
        <f>IF(D395="","",ROUND(D395*E395,1))</f>
        <v/>
      </c>
      <c r="G395" s="2" t="n"/>
      <c r="H395" s="35" t="n">
        <v>2.2</v>
      </c>
      <c r="I395" s="35" t="n">
        <v>3</v>
      </c>
    </row>
    <row r="396" ht="62" customHeight="1">
      <c r="A396" s="9" t="n"/>
      <c r="B396" s="34" t="inlineStr">
        <is>
          <t>INTERIORES (    )</t>
        </is>
      </c>
      <c r="C396" s="9">
        <f>IF(COUNT(H396,I396)&lt;2,"",TEXT(H396,"0.00")&amp;" x "&amp;TEXT(I396,"0.00"))</f>
        <v/>
      </c>
      <c r="D396" s="8">
        <f>IF(COUNT(H396,I396)&lt;2,"",ROUND(H396*I396,2))</f>
        <v/>
      </c>
      <c r="E396" s="25" t="n">
        <v>25</v>
      </c>
      <c r="F396" s="28">
        <f>IF(D396="","",ROUND(D396*E396,1))</f>
        <v/>
      </c>
      <c r="G396" s="2" t="n"/>
      <c r="H396" s="35" t="n">
        <v>1.6</v>
      </c>
      <c r="I396" s="35" t="n">
        <v>3</v>
      </c>
    </row>
    <row r="397" ht="62" customHeight="1">
      <c r="A397" s="9" t="n"/>
      <c r="B397" s="34" t="inlineStr">
        <is>
          <t>INTERIORES (    )</t>
        </is>
      </c>
      <c r="C397" s="9">
        <f>IF(COUNT(H397,I397)&lt;2,"",TEXT(H397,"0.00")&amp;" x "&amp;TEXT(I397,"0.00"))</f>
        <v/>
      </c>
      <c r="D397" s="8">
        <f>IF(COUNT(H397,I397)&lt;2,"",ROUND(H397*I397,2))</f>
        <v/>
      </c>
      <c r="E397" s="25" t="n">
        <v>25</v>
      </c>
      <c r="F397" s="28">
        <f>IF(D397="","",ROUND(D397*E397,1))</f>
        <v/>
      </c>
      <c r="G397" s="2" t="n"/>
      <c r="H397" s="35" t="n">
        <v>2.2</v>
      </c>
      <c r="I397" s="35" t="n">
        <v>3</v>
      </c>
    </row>
    <row r="398" ht="62" customHeight="1">
      <c r="A398" s="9" t="n"/>
      <c r="B398" s="34" t="inlineStr">
        <is>
          <t>INTERIORES (    )</t>
        </is>
      </c>
      <c r="C398" s="9">
        <f>IF(COUNT(H398,I398)&lt;2,"",TEXT(H398,"0.00")&amp;" x "&amp;TEXT(I398,"0.00"))</f>
        <v/>
      </c>
      <c r="D398" s="8">
        <f>IF(COUNT(H398,I398)&lt;2,"",ROUND(H398*I398,2))</f>
        <v/>
      </c>
      <c r="E398" s="25" t="n">
        <v>25</v>
      </c>
      <c r="F398" s="28">
        <f>IF(D398="","",ROUND(D398*E398,1))</f>
        <v/>
      </c>
      <c r="G398" s="2" t="n"/>
      <c r="H398" s="35" t="n">
        <v>1.6</v>
      </c>
      <c r="I398" s="35" t="n">
        <v>3</v>
      </c>
    </row>
    <row r="399" ht="39.7" customHeight="1">
      <c r="A399" s="16" t="inlineStr">
        <is>
          <t>3</t>
        </is>
      </c>
      <c r="B399" s="33" t="inlineStr">
        <is>
          <t>TECHOS O CIELORRASOS</t>
        </is>
      </c>
      <c r="C399" s="9" t="n"/>
      <c r="D399" s="9" t="n"/>
      <c r="E399" s="9" t="n"/>
      <c r="F399" s="9" t="n"/>
      <c r="G399" s="2" t="n"/>
      <c r="H399" s="2" t="n"/>
      <c r="I399" s="2" t="n"/>
    </row>
    <row r="400" ht="62" customHeight="1">
      <c r="A400" s="9" t="n"/>
      <c r="B400" s="34" t="inlineStr">
        <is>
          <t>TECHO NO AISLADO</t>
        </is>
      </c>
      <c r="C400" s="9" t="inlineStr"/>
      <c r="D400" s="8">
        <f>IF(COUNT(H400,I400)&lt;2,"",ROUND(H400*I400,2))</f>
        <v/>
      </c>
      <c r="E400" s="25" t="n">
        <v>30</v>
      </c>
      <c r="F400" s="28">
        <f>IF(D400="","",ROUND(D400*E400,1))</f>
        <v/>
      </c>
      <c r="G400" s="2" t="n"/>
      <c r="H400" s="35" t="n"/>
      <c r="I400" s="35" t="n"/>
    </row>
    <row r="401" ht="39.7" customHeight="1">
      <c r="A401" s="9" t="n"/>
      <c r="B401" s="34" t="inlineStr">
        <is>
          <t>TECHO AISLADO</t>
        </is>
      </c>
      <c r="C401" s="9" t="inlineStr">
        <is>
          <t>por croquis</t>
        </is>
      </c>
      <c r="D401" s="8" t="n">
        <v>3.52</v>
      </c>
      <c r="E401" s="25" t="n">
        <v>20</v>
      </c>
      <c r="F401" s="28">
        <f>IF(D401="","",ROUND(D401*E401,1))</f>
        <v/>
      </c>
      <c r="G401" s="2" t="n"/>
      <c r="H401" s="35" t="n"/>
      <c r="I401" s="35" t="n"/>
    </row>
    <row r="402" ht="62" customHeight="1">
      <c r="A402" s="9" t="n"/>
      <c r="B402" s="34" t="inlineStr">
        <is>
          <t>TECHO ENTREPISO</t>
        </is>
      </c>
      <c r="C402" s="9" t="inlineStr"/>
      <c r="D402" s="8">
        <f>IF(COUNT(H402,I402)&lt;2,"",ROUND(H402*I402,2))</f>
        <v/>
      </c>
      <c r="E402" s="25" t="n">
        <v>15</v>
      </c>
      <c r="F402" s="28">
        <f>IF(D402="","",ROUND(D402*E402,1))</f>
        <v/>
      </c>
      <c r="G402" s="2" t="n"/>
      <c r="H402" s="35" t="n"/>
      <c r="I402" s="35" t="n"/>
    </row>
    <row r="403" ht="39.7" customHeight="1">
      <c r="A403" s="16" t="inlineStr">
        <is>
          <t>4</t>
        </is>
      </c>
      <c r="B403" s="33" t="inlineStr">
        <is>
          <t>PISO</t>
        </is>
      </c>
      <c r="C403" s="9" t="n"/>
      <c r="D403" s="9" t="n"/>
      <c r="E403" s="9" t="n"/>
      <c r="F403" s="9" t="n"/>
      <c r="G403" s="2" t="n"/>
      <c r="H403" s="2" t="n"/>
      <c r="I403" s="2" t="n"/>
    </row>
    <row r="404" ht="62" customHeight="1">
      <c r="A404" s="9" t="n"/>
      <c r="B404" s="34" t="inlineStr">
        <is>
          <t>SOBRE TIERRA</t>
        </is>
      </c>
      <c r="C404" s="9" t="inlineStr"/>
      <c r="D404" s="8">
        <f>IF(COUNT(H404,I404)&lt;2,"",ROUND(H404*I404,2))</f>
        <v/>
      </c>
      <c r="E404" s="25" t="n">
        <v>10</v>
      </c>
      <c r="F404" s="28">
        <f>IF(D404="","",ROUND(D404*E404,1))</f>
        <v/>
      </c>
      <c r="G404" s="2" t="n"/>
      <c r="H404" s="35" t="n"/>
      <c r="I404" s="35" t="n"/>
    </row>
    <row r="405" ht="39.7" customHeight="1">
      <c r="A405" s="9" t="n"/>
      <c r="B405" s="34" t="inlineStr">
        <is>
          <t>SOBRE LOCAL OCUPADO</t>
        </is>
      </c>
      <c r="C405" s="9" t="inlineStr">
        <is>
          <t>por croquis</t>
        </is>
      </c>
      <c r="D405" s="8" t="n">
        <v>3.52</v>
      </c>
      <c r="E405" s="25" t="n">
        <v>15</v>
      </c>
      <c r="F405" s="28">
        <f>IF(D405="","",ROUND(D405*E405,1))</f>
        <v/>
      </c>
      <c r="G405" s="2" t="n"/>
      <c r="H405" s="35" t="n"/>
      <c r="I405" s="35" t="n"/>
    </row>
    <row r="406" ht="39.7" customHeight="1">
      <c r="A406" s="16" t="inlineStr">
        <is>
          <t>5</t>
        </is>
      </c>
      <c r="B406" s="33" t="inlineStr">
        <is>
          <t>INFILTRACION</t>
        </is>
      </c>
      <c r="C406" s="9" t="n"/>
      <c r="D406" s="16" t="inlineStr">
        <is>
          <t>VOLUMEN (m3)</t>
        </is>
      </c>
      <c r="E406" s="9" t="n"/>
      <c r="F406" s="9" t="n"/>
      <c r="G406" s="2" t="n"/>
      <c r="H406" s="2" t="n"/>
      <c r="I406" s="2" t="n"/>
    </row>
    <row r="407" ht="39.7" customHeight="1">
      <c r="A407" s="9" t="n"/>
      <c r="B407" s="34" t="inlineStr">
        <is>
          <t>UNA PARED EXTERIOR</t>
        </is>
      </c>
      <c r="C407" s="9" t="inlineStr">
        <is>
          <t>3.52 m2 x 3.00</t>
        </is>
      </c>
      <c r="D407" s="8" t="n">
        <v>10.56</v>
      </c>
      <c r="E407" s="25" t="n">
        <v>6</v>
      </c>
      <c r="F407" s="28">
        <f>IF(D407="","",ROUND(D407*E407,1))</f>
        <v/>
      </c>
      <c r="G407" s="2" t="n"/>
      <c r="H407" s="35" t="n"/>
      <c r="I407" s="35" t="n"/>
    </row>
    <row r="408" ht="62" customHeight="1">
      <c r="A408" s="9" t="n"/>
      <c r="B408" s="34" t="inlineStr">
        <is>
          <t>DOS PAREDES EXTERIORES</t>
        </is>
      </c>
      <c r="C408" s="9" t="inlineStr"/>
      <c r="D408" s="8">
        <f>IF(COUNT(H408,I408)&lt;2,"",ROUND(H408*I408,2))</f>
        <v/>
      </c>
      <c r="E408" s="25" t="n">
        <v>9</v>
      </c>
      <c r="F408" s="28">
        <f>IF(D408="","",ROUND(D408*E408,1))</f>
        <v/>
      </c>
      <c r="G408" s="2" t="n"/>
      <c r="H408" s="35" t="n"/>
      <c r="I408" s="35" t="n"/>
    </row>
    <row r="409" ht="62" customHeight="1">
      <c r="A409" s="9" t="n"/>
      <c r="B409" s="34" t="inlineStr">
        <is>
          <t>TRES O MAS PAREDES EXTERIORES</t>
        </is>
      </c>
      <c r="C409" s="9" t="inlineStr"/>
      <c r="D409" s="8">
        <f>IF(COUNT(H409,I409)&lt;2,"",ROUND(H409*I409,2))</f>
        <v/>
      </c>
      <c r="E409" s="25" t="n">
        <v>12</v>
      </c>
      <c r="F409" s="28">
        <f>IF(D409="","",ROUND(D409*E409,1))</f>
        <v/>
      </c>
      <c r="G409" s="2" t="n"/>
      <c r="H409" s="35" t="n"/>
      <c r="I409" s="35" t="n"/>
    </row>
    <row r="410" ht="70" customHeight="1">
      <c r="A410" s="16" t="inlineStr">
        <is>
          <t>6</t>
        </is>
      </c>
      <c r="B410" s="33" t="inlineStr">
        <is>
          <t>SUBTOTAL</t>
        </is>
      </c>
      <c r="C410" s="9" t="n"/>
      <c r="D410" s="9" t="n"/>
      <c r="E410" s="9" t="n"/>
      <c r="F410" s="36">
        <f>IF(F389="",0,F389)+IF(F391="",0,F391)+IF(F392="",0,F392)+IF(F393="",0,F393)+IF(F394="",0,F394)+IF(F395="",0,F395)+IF(F396="",0,F396)+IF(F397="",0,F397)+IF(F398="",0,F398)+IF(F400="",0,F400)+IF(F401="",0,F401)+IF(F402="",0,F402)+IF(F404="",0,F404)+IF(F405="",0,F405)+IF(F407="",0,F407)+IF(F408="",0,F408)+IF(F409="",0,F409)</f>
        <v/>
      </c>
      <c r="G410" s="2" t="n"/>
      <c r="H410" s="2" t="n"/>
      <c r="I410" s="2" t="n"/>
    </row>
    <row r="411" ht="47" customHeight="1">
      <c r="A411" s="16" t="inlineStr">
        <is>
          <t>7</t>
        </is>
      </c>
      <c r="B411" s="33" t="inlineStr">
        <is>
          <t>PERDIDA TOTAL</t>
        </is>
      </c>
      <c r="C411" s="9">
        <f>TEXT(F410,"0.00")&amp;"  X  "&amp;Datos_balance!$B$4&amp;" (FI)  X  "&amp;Datos_balance!$B$5&amp;" (FO)  X  "&amp;Datos_balance!$B$6&amp;" (FZ)"</f>
        <v/>
      </c>
      <c r="D411" s="2" t="n"/>
      <c r="E411" s="2" t="n"/>
      <c r="F411" s="36">
        <f>ROUND(F410*Datos_balance!$B$4*Datos_balance!$B$5*Datos_balance!$B$6,1)</f>
        <v/>
      </c>
      <c r="G411" s="2" t="n"/>
      <c r="H411" s="2" t="n"/>
      <c r="I411" s="2" t="n"/>
    </row>
    <row r="412">
      <c r="A412" s="2" t="n"/>
      <c r="B412" s="2" t="n"/>
      <c r="C412" s="2" t="n"/>
      <c r="D412" s="2" t="n"/>
      <c r="E412" s="2" t="n"/>
      <c r="F412" s="2" t="n"/>
      <c r="G412" s="2" t="n"/>
      <c r="H412" s="2" t="n"/>
      <c r="I412" s="2" t="n"/>
    </row>
    <row r="413" ht="62" customHeight="1">
      <c r="A413" s="9" t="n"/>
      <c r="B413" s="10" t="inlineStr">
        <is>
          <t>Salto termico:  dt = (te+ts)/2 - ti</t>
        </is>
      </c>
      <c r="C413" s="9">
        <f>TEXT((Datos_balance!$B$9+Datos_balance!$B$10)/2,"0")&amp;" - "&amp;TEXT(Datos_balance!$B$11,"0")&amp;" = "&amp;TEXT((Datos_balance!$B$9+Datos_balance!$B$10)/2-Datos_balance!$B$11,"0")&amp;" C"</f>
        <v/>
      </c>
      <c r="D413" s="2" t="n"/>
      <c r="E413" s="2" t="n"/>
      <c r="F413" s="9" t="n"/>
      <c r="G413" s="2" t="n"/>
      <c r="H413" s="2" t="n"/>
      <c r="I413" s="2" t="n"/>
    </row>
    <row r="414" ht="39.7" customHeight="1">
      <c r="A414" s="9" t="n"/>
      <c r="B414" s="10" t="inlineStr">
        <is>
          <t>Kcal/h del toallero Scala/Domino 80</t>
        </is>
      </c>
      <c r="C414" s="25">
        <f>ROUND(Datos_balance!$B$18*Datos_balance!$B$15,0)</f>
        <v/>
      </c>
      <c r="D414" s="2" t="n"/>
      <c r="E414" s="2" t="n"/>
      <c r="F414" s="9" t="n"/>
      <c r="G414" s="2" t="n"/>
      <c r="H414" s="2" t="n"/>
      <c r="I414" s="2" t="n"/>
    </row>
    <row r="415" ht="39.7" customHeight="1">
      <c r="A415" s="9" t="n"/>
      <c r="B415" s="10" t="inlineStr">
        <is>
          <t>Kcal/h del toallero Scala/Domino 150</t>
        </is>
      </c>
      <c r="C415" s="25">
        <f>ROUND(Datos_balance!$B$19*Datos_balance!$B$15,0)</f>
        <v/>
      </c>
      <c r="D415" s="2" t="n"/>
      <c r="E415" s="2" t="n"/>
      <c r="F415" s="9" t="n"/>
      <c r="G415" s="2" t="n"/>
      <c r="H415" s="2" t="n"/>
      <c r="I415" s="2" t="n"/>
    </row>
    <row r="416" ht="47" customHeight="1">
      <c r="A416" s="9" t="n"/>
      <c r="B416" s="10" t="inlineStr">
        <is>
          <t>Toalleros necesarios</t>
        </is>
      </c>
      <c r="C416" s="25">
        <f>IF(F411&lt;=Datos_balance!$B$18*Datos_balance!$B$15,1,ROUNDUP(F411/(Datos_balance!$B$19*Datos_balance!$B$15),0))</f>
        <v/>
      </c>
      <c r="D416" s="2" t="n"/>
      <c r="E416" s="2" t="n"/>
      <c r="F416" s="9" t="n"/>
      <c r="G416" s="2" t="n"/>
      <c r="H416" s="2" t="n"/>
      <c r="I416" s="2" t="n"/>
    </row>
    <row r="417" ht="47" customHeight="1">
      <c r="A417" s="13" t="n"/>
      <c r="B417" s="14" t="inlineStr">
        <is>
          <t>Toallero adoptado</t>
        </is>
      </c>
      <c r="C417" s="13">
        <f>IF(F411&lt;=Datos_balance!$B$18*Datos_balance!$B$15,"Peisa Scala / Domino 80  (500 x 800 mm)","Peisa Scala / Domino 150  (500 x 1500 mm)")</f>
        <v/>
      </c>
      <c r="D417" s="20" t="n"/>
      <c r="E417" s="20" t="n"/>
      <c r="F417" s="13" t="n"/>
      <c r="G417" s="2" t="n"/>
      <c r="H417" s="2" t="n"/>
      <c r="I417" s="2" t="n"/>
    </row>
  </sheetData>
  <mergeCells count="85">
    <mergeCell ref="C274:E274"/>
    <mergeCell ref="C345:E345"/>
    <mergeCell ref="C142:E142"/>
    <mergeCell ref="C31:E31"/>
    <mergeCell ref="A75:F75"/>
    <mergeCell ref="C242:E242"/>
    <mergeCell ref="A317:F317"/>
    <mergeCell ref="C413:E413"/>
    <mergeCell ref="A3:F3"/>
    <mergeCell ref="C379:E379"/>
    <mergeCell ref="C244:E244"/>
    <mergeCell ref="C415:E415"/>
    <mergeCell ref="C71:E71"/>
    <mergeCell ref="C241:E241"/>
    <mergeCell ref="C347:E347"/>
    <mergeCell ref="A386:F386"/>
    <mergeCell ref="C243:E243"/>
    <mergeCell ref="C140:E140"/>
    <mergeCell ref="A40:F40"/>
    <mergeCell ref="C34:E34"/>
    <mergeCell ref="C141:E141"/>
    <mergeCell ref="C377:E377"/>
    <mergeCell ref="C417:E417"/>
    <mergeCell ref="C103:E103"/>
    <mergeCell ref="C205:E205"/>
    <mergeCell ref="A283:F283"/>
    <mergeCell ref="C383:E383"/>
    <mergeCell ref="C311:E311"/>
    <mergeCell ref="C176:E176"/>
    <mergeCell ref="A214:F214"/>
    <mergeCell ref="C380:E380"/>
    <mergeCell ref="C70:E70"/>
    <mergeCell ref="C312:E312"/>
    <mergeCell ref="C346:E346"/>
    <mergeCell ref="C106:E106"/>
    <mergeCell ref="C414:E414"/>
    <mergeCell ref="C209:E209"/>
    <mergeCell ref="C348:E348"/>
    <mergeCell ref="C381:E381"/>
    <mergeCell ref="C245:E245"/>
    <mergeCell ref="C313:E313"/>
    <mergeCell ref="C33:E33"/>
    <mergeCell ref="C104:E104"/>
    <mergeCell ref="C35:E35"/>
    <mergeCell ref="C416:E416"/>
    <mergeCell ref="C173:E173"/>
    <mergeCell ref="C276:E276"/>
    <mergeCell ref="A145:F145"/>
    <mergeCell ref="C36:E36"/>
    <mergeCell ref="C207:E207"/>
    <mergeCell ref="C278:E278"/>
    <mergeCell ref="C411:E411"/>
    <mergeCell ref="A109:F109"/>
    <mergeCell ref="A180:F180"/>
    <mergeCell ref="C72:E72"/>
    <mergeCell ref="C37:E37"/>
    <mergeCell ref="C208:E208"/>
    <mergeCell ref="C69:E69"/>
    <mergeCell ref="C136:E136"/>
    <mergeCell ref="C314:E314"/>
    <mergeCell ref="C210:E210"/>
    <mergeCell ref="A1:F1"/>
    <mergeCell ref="C171:E171"/>
    <mergeCell ref="C349:E349"/>
    <mergeCell ref="C177:E177"/>
    <mergeCell ref="C211:E211"/>
    <mergeCell ref="C382:E382"/>
    <mergeCell ref="C277:E277"/>
    <mergeCell ref="C139:E139"/>
    <mergeCell ref="C105:E105"/>
    <mergeCell ref="A248:F248"/>
    <mergeCell ref="C138:E138"/>
    <mergeCell ref="C174:E174"/>
    <mergeCell ref="C66:E66"/>
    <mergeCell ref="C308:E308"/>
    <mergeCell ref="C102:E102"/>
    <mergeCell ref="C68:E68"/>
    <mergeCell ref="C239:E239"/>
    <mergeCell ref="C310:E310"/>
    <mergeCell ref="A352:F352"/>
    <mergeCell ref="C279:E279"/>
    <mergeCell ref="C175:E175"/>
    <mergeCell ref="C343:E343"/>
    <mergeCell ref="C100:E100"/>
    <mergeCell ref="C280:E28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ht="39.7" customHeight="1">
      <c r="A17" s="22" t="inlineStr">
        <is>
          <t>TOALLEROS (banos)</t>
        </is>
      </c>
      <c r="B17" s="2" t="n"/>
      <c r="C17" s="2" t="n"/>
      <c r="D17" s="2" t="n"/>
    </row>
    <row r="18" ht="39.7" customHeight="1">
      <c r="A18" s="38" t="inlineStr">
        <is>
          <t>Toallero Scala / Domino 80</t>
        </is>
      </c>
      <c r="B18" s="9" t="n">
        <v>632</v>
      </c>
      <c r="C18" s="9" t="inlineStr">
        <is>
          <t>Kcal/h</t>
        </is>
      </c>
      <c r="D18" s="38" t="inlineStr">
        <is>
          <t>500 x 800 mm. Valor de catalogo a 60 C.</t>
        </is>
      </c>
    </row>
    <row r="19" ht="39.7" customHeight="1">
      <c r="A19" s="38" t="inlineStr">
        <is>
          <t>Toallero Scala / Domino 150</t>
        </is>
      </c>
      <c r="B19" s="9" t="n">
        <v>1174</v>
      </c>
      <c r="C19" s="9" t="inlineStr">
        <is>
          <t>Kcal/h</t>
        </is>
      </c>
      <c r="D19" s="38"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7" t="inlineStr">
        <is>
          <t>elemento</t>
        </is>
      </c>
      <c r="B22" s="3" t="inlineStr">
        <is>
          <t>factor</t>
        </is>
      </c>
      <c r="C22" s="2" t="n"/>
      <c r="D22" s="2" t="n"/>
    </row>
    <row r="23" ht="39.7" customHeight="1">
      <c r="A23" s="38" t="inlineStr">
        <is>
          <t>Ventana</t>
        </is>
      </c>
      <c r="B23" s="9" t="n">
        <v>60</v>
      </c>
      <c r="C23" s="2" t="n"/>
      <c r="D23" s="2" t="n"/>
    </row>
    <row r="24" ht="39.7" customHeight="1">
      <c r="A24" s="38" t="inlineStr">
        <is>
          <t>Pared exterior aislada</t>
        </is>
      </c>
      <c r="B24" s="9" t="n">
        <v>20</v>
      </c>
      <c r="C24" s="2" t="n"/>
      <c r="D24" s="2" t="n"/>
    </row>
    <row r="25" ht="39.7" customHeight="1">
      <c r="A25" s="38" t="inlineStr">
        <is>
          <t>Pared interior</t>
        </is>
      </c>
      <c r="B25" s="9" t="n">
        <v>25</v>
      </c>
      <c r="C25" s="2" t="n"/>
      <c r="D25" s="2" t="n"/>
    </row>
    <row r="26" ht="39.7" customHeight="1">
      <c r="A26" s="38" t="inlineStr">
        <is>
          <t>Techo no aislado</t>
        </is>
      </c>
      <c r="B26" s="9" t="n">
        <v>30</v>
      </c>
      <c r="C26" s="2" t="n"/>
      <c r="D26" s="2" t="n"/>
    </row>
    <row r="27" ht="39.7" customHeight="1">
      <c r="A27" s="38" t="inlineStr">
        <is>
          <t>Techo aislado</t>
        </is>
      </c>
      <c r="B27" s="9" t="n">
        <v>20</v>
      </c>
      <c r="C27" s="2" t="n"/>
      <c r="D27" s="2" t="n"/>
    </row>
    <row r="28" ht="39.7" customHeight="1">
      <c r="A28" s="38" t="inlineStr">
        <is>
          <t>Techo entrepiso</t>
        </is>
      </c>
      <c r="B28" s="9" t="n">
        <v>15</v>
      </c>
      <c r="C28" s="2" t="n"/>
      <c r="D28" s="2" t="n"/>
    </row>
    <row r="29" ht="39.7" customHeight="1">
      <c r="A29" s="38" t="inlineStr">
        <is>
          <t>Piso sobre tierra</t>
        </is>
      </c>
      <c r="B29" s="9" t="n">
        <v>10</v>
      </c>
      <c r="C29" s="2" t="n"/>
      <c r="D29" s="2" t="n"/>
    </row>
    <row r="30" ht="39.7" customHeight="1">
      <c r="A30" s="38" t="inlineStr">
        <is>
          <t>Piso sobre local ocupado</t>
        </is>
      </c>
      <c r="B30" s="9" t="n">
        <v>15</v>
      </c>
      <c r="C30" s="2" t="n"/>
      <c r="D30" s="2" t="n"/>
    </row>
    <row r="31" ht="39.7" customHeight="1">
      <c r="A31" s="38" t="inlineStr">
        <is>
          <t>Infiltracion, una pared exterior</t>
        </is>
      </c>
      <c r="B31" s="9" t="n">
        <v>6</v>
      </c>
      <c r="C31" s="2" t="n"/>
      <c r="D31" s="2" t="n"/>
    </row>
    <row r="32" ht="39.7" customHeight="1">
      <c r="A32" s="38" t="inlineStr">
        <is>
          <t>Infiltracion, dos paredes exteriores</t>
        </is>
      </c>
      <c r="B32" s="9" t="n">
        <v>9</v>
      </c>
      <c r="C32" s="2" t="n"/>
      <c r="D32" s="2" t="n"/>
    </row>
    <row r="33" ht="39.7" customHeight="1">
      <c r="A33" s="38"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2026-10-25T23:31:41Z</dcterms:created>
  <dcterms:modified xmlns:dcterms="http://purl.org/dc/terms/" xmlns:xsi="http://www.w3.org/2001/XMLSchema-instance" xsi:type="dcterms:W3CDTF">2026-10-25T23:31:42Z</dcterms:modified>
</cp:coreProperties>
</file>