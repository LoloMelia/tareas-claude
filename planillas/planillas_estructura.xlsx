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termico'!$A$1:$F$418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5"/>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seccion</t>
        </is>
      </c>
      <c r="C34" s="8">
        <f>ROUND(Datos_balance!$B$14*Datos_balance!$B$15,2)</f>
        <v/>
      </c>
      <c r="D34" s="2" t="n"/>
      <c r="E34" s="2" t="n"/>
      <c r="F34" s="9" t="n"/>
      <c r="G34" s="2" t="n"/>
      <c r="H34" s="2" t="n"/>
      <c r="I34" s="2" t="n"/>
    </row>
    <row r="35" ht="39.7" customHeight="1">
      <c r="A35" s="9" t="n"/>
      <c r="B35" s="10" t="inlineStr">
        <is>
          <t>Secciones necesarias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seccion</t>
        </is>
      </c>
      <c r="C69" s="8">
        <f>ROUND(Datos_balance!$B$14*Datos_balance!$B$15,2)</f>
        <v/>
      </c>
      <c r="D69" s="2" t="n"/>
      <c r="E69" s="2" t="n"/>
      <c r="F69" s="9" t="n"/>
      <c r="G69" s="2" t="n"/>
      <c r="H69" s="2" t="n"/>
      <c r="I69" s="2" t="n"/>
    </row>
    <row r="70" ht="39.7" customHeight="1">
      <c r="A70" s="9" t="n"/>
      <c r="B70" s="10" t="inlineStr">
        <is>
          <t>Secciones necesarias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seccion</t>
        </is>
      </c>
      <c r="C103" s="8">
        <f>ROUND(Datos_balance!$B$14*Datos_balance!$B$15,2)</f>
        <v/>
      </c>
      <c r="D103" s="2" t="n"/>
      <c r="E103" s="2" t="n"/>
      <c r="F103" s="9" t="n"/>
      <c r="G103" s="2" t="n"/>
      <c r="H103" s="2" t="n"/>
      <c r="I103" s="2" t="n"/>
    </row>
    <row r="104" ht="39.7" customHeight="1">
      <c r="A104" s="9" t="n"/>
      <c r="B104" s="10" t="inlineStr">
        <is>
          <t>Secciones necesarias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3.38</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1.74</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3.38</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1.74</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5.88</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5.88</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5.88 m2 x 3.00</t>
        </is>
      </c>
      <c r="D130" s="8" t="n">
        <v>17.64</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112="",0,F112)+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c r="A135" s="2" t="n"/>
      <c r="B135" s="2" t="n"/>
      <c r="C135" s="2" t="n"/>
      <c r="D135" s="2" t="n"/>
      <c r="E135" s="2" t="n"/>
      <c r="F135" s="2" t="n"/>
      <c r="G135" s="2" t="n"/>
      <c r="H135" s="2" t="n"/>
      <c r="I135" s="2" t="n"/>
    </row>
    <row r="136" ht="62" customHeight="1">
      <c r="A136" s="9" t="n"/>
      <c r="B136" s="10" t="inlineStr">
        <is>
          <t>Salto termico:  dt = (te+ts)/2 - ti</t>
        </is>
      </c>
      <c r="C136" s="9">
        <f>TEXT((Datos_balance!$B$9+Datos_balance!$B$10)/2,"0")&amp;" - "&amp;TEXT(Datos_balance!$B$11,"0")&amp;" = "&amp;TEXT((Datos_balance!$B$9+Datos_balance!$B$10)/2-Datos_balance!$B$11,"0")&amp;" C"</f>
        <v/>
      </c>
      <c r="D136" s="2" t="n"/>
      <c r="E136" s="2" t="n"/>
      <c r="F136" s="9" t="n"/>
      <c r="G136" s="2" t="n"/>
      <c r="H136" s="2" t="n"/>
      <c r="I136" s="2" t="n"/>
    </row>
    <row r="137" ht="39.7" customHeight="1">
      <c r="A137" s="9" t="n"/>
      <c r="B137" s="10" t="inlineStr">
        <is>
          <t>Kcal/h por seccion</t>
        </is>
      </c>
      <c r="C137" s="8">
        <f>ROUND(Datos_balance!$B$14*Datos_balance!$B$15,2)</f>
        <v/>
      </c>
      <c r="D137" s="2" t="n"/>
      <c r="E137" s="2" t="n"/>
      <c r="F137" s="9" t="n"/>
      <c r="G137" s="2" t="n"/>
      <c r="H137" s="2" t="n"/>
      <c r="I137" s="2" t="n"/>
    </row>
    <row r="138" ht="39.7" customHeight="1">
      <c r="A138" s="9" t="n"/>
      <c r="B138" s="10" t="inlineStr">
        <is>
          <t>Secciones necesarias</t>
        </is>
      </c>
      <c r="C138" s="25">
        <f>ROUNDUP(F134/(Datos_balance!$B$14*Datos_balance!$B$15),0)</f>
        <v/>
      </c>
      <c r="D138" s="2" t="n"/>
      <c r="E138" s="2" t="n"/>
      <c r="F138" s="9" t="n"/>
      <c r="G138" s="2" t="n"/>
      <c r="H138" s="2" t="n"/>
      <c r="I138" s="2" t="n"/>
    </row>
    <row r="139" ht="39.7" customHeight="1">
      <c r="A139" s="9" t="n"/>
      <c r="B139" s="10" t="inlineStr">
        <is>
          <t>Ancho del radiador (cm)</t>
        </is>
      </c>
      <c r="C139" s="25">
        <f>ROUNDUP(F134/(Datos_balance!$B$14*Datos_balance!$B$15),0)*Datos_balance!$B$16</f>
        <v/>
      </c>
      <c r="D139" s="2" t="n"/>
      <c r="E139" s="2" t="n"/>
      <c r="F139" s="9" t="n"/>
      <c r="G139" s="2" t="n"/>
      <c r="H139" s="2" t="n"/>
      <c r="I139" s="2" t="n"/>
    </row>
    <row r="140" ht="39.7" customHeight="1">
      <c r="A140" s="13" t="n"/>
      <c r="B140" s="14" t="inlineStr">
        <is>
          <t>Radiador adoptado</t>
        </is>
      </c>
      <c r="C140" s="13">
        <f>Datos_balance!$B$13</f>
        <v/>
      </c>
      <c r="D140" s="20" t="n"/>
      <c r="E140" s="20" t="n"/>
      <c r="F140" s="13" t="n"/>
      <c r="G140" s="2" t="n"/>
      <c r="H140" s="2" t="n"/>
      <c r="I140" s="2" t="n"/>
    </row>
    <row r="141">
      <c r="A141" s="2" t="n"/>
      <c r="B141" s="2" t="n"/>
      <c r="C141" s="2" t="n"/>
      <c r="D141" s="2" t="n"/>
      <c r="E141" s="2" t="n"/>
      <c r="F141" s="2" t="n"/>
      <c r="G141" s="2" t="n"/>
      <c r="H141" s="2" t="n"/>
      <c r="I141" s="2" t="n"/>
    </row>
    <row r="142">
      <c r="A142" s="2" t="n"/>
      <c r="B142" s="2" t="n"/>
      <c r="C142" s="2" t="n"/>
      <c r="D142" s="2" t="n"/>
      <c r="E142" s="2" t="n"/>
      <c r="F142" s="2" t="n"/>
      <c r="G142" s="2" t="n"/>
      <c r="H142" s="2" t="n"/>
      <c r="I142" s="2" t="n"/>
    </row>
    <row r="143" ht="39.7" customHeight="1">
      <c r="A143" s="5" t="inlineStr">
        <is>
          <t>LOCAL  09 - Dormitorio suite   (PB)</t>
        </is>
      </c>
      <c r="B143" s="2" t="n"/>
      <c r="C143" s="2" t="n"/>
      <c r="D143" s="2" t="n"/>
      <c r="E143" s="2" t="n"/>
      <c r="F143" s="2" t="n"/>
      <c r="G143" s="2" t="n"/>
      <c r="H143" s="2" t="n"/>
      <c r="I143" s="2" t="n"/>
    </row>
    <row r="144" ht="39.7" customHeight="1">
      <c r="A144" s="3" t="inlineStr">
        <is>
          <t>Nro</t>
        </is>
      </c>
      <c r="B144" s="3" t="inlineStr">
        <is>
          <t>DESCRIPCION</t>
        </is>
      </c>
      <c r="C144" s="3" t="inlineStr">
        <is>
          <t>DIMENSIONES (m)</t>
        </is>
      </c>
      <c r="D144" s="3" t="inlineStr">
        <is>
          <t>AREA (m2)</t>
        </is>
      </c>
      <c r="E144" s="3" t="inlineStr">
        <is>
          <t>FACTOR</t>
        </is>
      </c>
      <c r="F144" s="3" t="inlineStr">
        <is>
          <t>PERDIDA CALOR (Kcal/h)</t>
        </is>
      </c>
      <c r="G144" s="2" t="n"/>
      <c r="H144" s="2" t="n"/>
      <c r="I144" s="2" t="n"/>
    </row>
    <row r="145" ht="39.7" customHeight="1">
      <c r="A145" s="16" t="inlineStr">
        <is>
          <t>1</t>
        </is>
      </c>
      <c r="B145" s="33" t="inlineStr">
        <is>
          <t>VENTANA</t>
        </is>
      </c>
      <c r="C145" s="9" t="n"/>
      <c r="D145" s="9" t="n"/>
      <c r="E145" s="9" t="n"/>
      <c r="F145" s="9" t="n"/>
      <c r="G145" s="2" t="n"/>
      <c r="H145" s="2" t="n"/>
      <c r="I145" s="2" t="n"/>
    </row>
    <row r="146" ht="62" customHeight="1">
      <c r="A146" s="9" t="n"/>
      <c r="B146" s="34" t="inlineStr">
        <is>
          <t>VA01 (2)</t>
        </is>
      </c>
      <c r="C146" s="9">
        <f>IF(COUNT(H146,I146)&lt;2,"",TEXT(H146,"0.00")&amp;" x "&amp;TEXT(I146,"0.00"))</f>
        <v/>
      </c>
      <c r="D146" s="8">
        <f>IF(COUNT(H146,I146)&lt;2,"",ROUND(H146*I146,2))</f>
        <v/>
      </c>
      <c r="E146" s="25" t="n">
        <v>60</v>
      </c>
      <c r="F146" s="28">
        <f>IF(D146="","",ROUND(D146*E146,1))</f>
        <v/>
      </c>
      <c r="G146" s="2" t="n"/>
      <c r="H146" s="35" t="n">
        <v>0.75</v>
      </c>
      <c r="I146" s="35" t="n">
        <v>3</v>
      </c>
    </row>
    <row r="147" ht="62" customHeight="1">
      <c r="A147" s="9" t="n"/>
      <c r="B147" s="34" t="inlineStr">
        <is>
          <t>PV03</t>
        </is>
      </c>
      <c r="C147" s="9">
        <f>IF(COUNT(H147,I147)&lt;2,"",TEXT(H147,"0.00")&amp;" x "&amp;TEXT(I147,"0.00"))</f>
        <v/>
      </c>
      <c r="D147" s="8">
        <f>IF(COUNT(H147,I147)&lt;2,"",ROUND(H147*I147,2))</f>
        <v/>
      </c>
      <c r="E147" s="25" t="n">
        <v>60</v>
      </c>
      <c r="F147" s="28">
        <f>IF(D147="","",ROUND(D147*E147,1))</f>
        <v/>
      </c>
      <c r="G147" s="2" t="n"/>
      <c r="H147" s="35" t="n">
        <v>1.76</v>
      </c>
      <c r="I147" s="35" t="n">
        <v>3</v>
      </c>
    </row>
    <row r="148" ht="39.7" customHeight="1">
      <c r="A148" s="16" t="inlineStr">
        <is>
          <t>2</t>
        </is>
      </c>
      <c r="B148" s="33" t="inlineStr">
        <is>
          <t>PAREDES EXTERIORES</t>
        </is>
      </c>
      <c r="C148" s="9" t="n"/>
      <c r="D148" s="9" t="n"/>
      <c r="E148" s="9" t="n"/>
      <c r="F148" s="9" t="n"/>
      <c r="G148" s="2" t="n"/>
      <c r="H148" s="2" t="n"/>
      <c r="I148" s="2"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39.7" customHeight="1">
      <c r="A157" s="16" t="inlineStr">
        <is>
          <t>3</t>
        </is>
      </c>
      <c r="B157" s="33" t="inlineStr">
        <is>
          <t>TECHOS O CIELORRASOS</t>
        </is>
      </c>
      <c r="C157" s="9" t="n"/>
      <c r="D157" s="9" t="n"/>
      <c r="E157" s="9" t="n"/>
      <c r="F157" s="9" t="n"/>
      <c r="G157" s="2" t="n"/>
      <c r="H157" s="2" t="n"/>
      <c r="I157" s="2" t="n"/>
    </row>
    <row r="158" ht="62" customHeight="1">
      <c r="A158" s="9" t="n"/>
      <c r="B158" s="34" t="inlineStr">
        <is>
          <t>TECHO NO AISLADO</t>
        </is>
      </c>
      <c r="C158" s="9" t="inlineStr"/>
      <c r="D158" s="8">
        <f>IF(COUNT(H158,I158)&lt;2,"",ROUND(H158*I158,2))</f>
        <v/>
      </c>
      <c r="E158" s="25" t="n">
        <v>30</v>
      </c>
      <c r="F158" s="28">
        <f>IF(D158="","",ROUND(D158*E158,1))</f>
        <v/>
      </c>
      <c r="G158" s="2" t="n"/>
      <c r="H158" s="35" t="n"/>
      <c r="I158" s="35" t="n"/>
    </row>
    <row r="159" ht="62" customHeight="1">
      <c r="A159" s="9" t="n"/>
      <c r="B159" s="34" t="inlineStr">
        <is>
          <t>TECHO AISLADO</t>
        </is>
      </c>
      <c r="C159" s="9" t="inlineStr"/>
      <c r="D159" s="8">
        <f>IF(COUNT(H159,I159)&lt;2,"",ROUND(H159*I159,2))</f>
        <v/>
      </c>
      <c r="E159" s="25" t="n">
        <v>20</v>
      </c>
      <c r="F159" s="28">
        <f>IF(D159="","",ROUND(D159*E159,1))</f>
        <v/>
      </c>
      <c r="G159" s="2" t="n"/>
      <c r="H159" s="35" t="n"/>
      <c r="I159" s="35" t="n"/>
    </row>
    <row r="160" ht="39.7" customHeight="1">
      <c r="A160" s="9" t="n"/>
      <c r="B160" s="34" t="inlineStr">
        <is>
          <t>TECHO ENTREPISO</t>
        </is>
      </c>
      <c r="C160" s="9" t="inlineStr">
        <is>
          <t>por croquis</t>
        </is>
      </c>
      <c r="D160" s="8" t="n">
        <v>12.25</v>
      </c>
      <c r="E160" s="25" t="n">
        <v>15</v>
      </c>
      <c r="F160" s="28">
        <f>IF(D160="","",ROUND(D160*E160,1))</f>
        <v/>
      </c>
      <c r="G160" s="2" t="n"/>
      <c r="H160" s="35" t="n"/>
      <c r="I160" s="35" t="n"/>
    </row>
    <row r="161" ht="39.7" customHeight="1">
      <c r="A161" s="16" t="inlineStr">
        <is>
          <t>4</t>
        </is>
      </c>
      <c r="B161" s="33" t="inlineStr">
        <is>
          <t>PISO</t>
        </is>
      </c>
      <c r="C161" s="9" t="n"/>
      <c r="D161" s="9" t="n"/>
      <c r="E161" s="9" t="n"/>
      <c r="F161" s="9" t="n"/>
      <c r="G161" s="2" t="n"/>
      <c r="H161" s="2" t="n"/>
      <c r="I161" s="2" t="n"/>
    </row>
    <row r="162" ht="39.7" customHeight="1">
      <c r="A162" s="9" t="n"/>
      <c r="B162" s="34" t="inlineStr">
        <is>
          <t>SOBRE TIERRA</t>
        </is>
      </c>
      <c r="C162" s="9" t="inlineStr">
        <is>
          <t>por croquis</t>
        </is>
      </c>
      <c r="D162" s="8" t="n">
        <v>12.25</v>
      </c>
      <c r="E162" s="25" t="n">
        <v>10</v>
      </c>
      <c r="F162" s="28">
        <f>IF(D162="","",ROUND(D162*E162,1))</f>
        <v/>
      </c>
      <c r="G162" s="2" t="n"/>
      <c r="H162" s="35" t="n"/>
      <c r="I162" s="35" t="n"/>
    </row>
    <row r="163" ht="62" customHeight="1">
      <c r="A163" s="9" t="n"/>
      <c r="B163" s="34" t="inlineStr">
        <is>
          <t>SOBRE LOCAL OCUPADO</t>
        </is>
      </c>
      <c r="C163" s="9" t="inlineStr"/>
      <c r="D163" s="8">
        <f>IF(COUNT(H163,I163)&lt;2,"",ROUND(H163*I163,2))</f>
        <v/>
      </c>
      <c r="E163" s="25" t="n">
        <v>15</v>
      </c>
      <c r="F163" s="28">
        <f>IF(D163="","",ROUND(D163*E163,1))</f>
        <v/>
      </c>
      <c r="G163" s="2" t="n"/>
      <c r="H163" s="35" t="n"/>
      <c r="I163" s="35" t="n"/>
    </row>
    <row r="164" ht="39.7" customHeight="1">
      <c r="A164" s="16" t="inlineStr">
        <is>
          <t>5</t>
        </is>
      </c>
      <c r="B164" s="33" t="inlineStr">
        <is>
          <t>INFILTRACION</t>
        </is>
      </c>
      <c r="C164" s="9" t="n"/>
      <c r="D164" s="16" t="inlineStr">
        <is>
          <t>VOLUMEN (m3)</t>
        </is>
      </c>
      <c r="E164" s="9" t="n"/>
      <c r="F164" s="9" t="n"/>
      <c r="G164" s="2" t="n"/>
      <c r="H164" s="2" t="n"/>
      <c r="I164" s="2" t="n"/>
    </row>
    <row r="165" ht="62" customHeight="1">
      <c r="A165" s="9" t="n"/>
      <c r="B165" s="34" t="inlineStr">
        <is>
          <t>UNA PARED EXTERIOR</t>
        </is>
      </c>
      <c r="C165" s="9" t="inlineStr"/>
      <c r="D165" s="8">
        <f>IF(COUNT(H165,I165)&lt;2,"",ROUND(H165*I165,2))</f>
        <v/>
      </c>
      <c r="E165" s="25" t="n">
        <v>6</v>
      </c>
      <c r="F165" s="28">
        <f>IF(D165="","",ROUND(D165*E165,1))</f>
        <v/>
      </c>
      <c r="G165" s="2" t="n"/>
      <c r="H165" s="35" t="n"/>
      <c r="I165" s="35" t="n"/>
    </row>
    <row r="166" ht="39.7" customHeight="1">
      <c r="A166" s="9" t="n"/>
      <c r="B166" s="34" t="inlineStr">
        <is>
          <t>DOS PAREDES EXTERIORES</t>
        </is>
      </c>
      <c r="C166" s="9" t="inlineStr">
        <is>
          <t>12.25 m2 x 3.00</t>
        </is>
      </c>
      <c r="D166" s="8" t="n">
        <v>36.75</v>
      </c>
      <c r="E166" s="25" t="n">
        <v>9</v>
      </c>
      <c r="F166" s="28">
        <f>IF(D166="","",ROUND(D166*E166,1))</f>
        <v/>
      </c>
      <c r="G166" s="2" t="n"/>
      <c r="H166" s="35" t="n"/>
      <c r="I166" s="35" t="n"/>
    </row>
    <row r="167" ht="62" customHeight="1">
      <c r="A167" s="9" t="n"/>
      <c r="B167" s="34" t="inlineStr">
        <is>
          <t>TRES O MAS PAREDES EXTERIORES</t>
        </is>
      </c>
      <c r="C167" s="9" t="inlineStr"/>
      <c r="D167" s="8">
        <f>IF(COUNT(H167,I167)&lt;2,"",ROUND(H167*I167,2))</f>
        <v/>
      </c>
      <c r="E167" s="25" t="n">
        <v>12</v>
      </c>
      <c r="F167" s="28">
        <f>IF(D167="","",ROUND(D167*E167,1))</f>
        <v/>
      </c>
      <c r="G167" s="2" t="n"/>
      <c r="H167" s="35" t="n"/>
      <c r="I167" s="35" t="n"/>
    </row>
    <row r="168" ht="70" customHeight="1">
      <c r="A168" s="16" t="inlineStr">
        <is>
          <t>6</t>
        </is>
      </c>
      <c r="B168" s="33" t="inlineStr">
        <is>
          <t>SUBTOTAL</t>
        </is>
      </c>
      <c r="C168" s="9" t="n"/>
      <c r="D168" s="9" t="n"/>
      <c r="E168" s="9" t="n"/>
      <c r="F168" s="36">
        <f>IF(F146="",0,F146)+IF(F147="",0,F147)+IF(F149="",0,F149)+IF(F150="",0,F150)+IF(F151="",0,F151)+IF(F152="",0,F152)+IF(F153="",0,F153)+IF(F154="",0,F154)+IF(F155="",0,F155)+IF(F156="",0,F156)+IF(F158="",0,F158)+IF(F159="",0,F159)+IF(F160="",0,F160)+IF(F162="",0,F162)+IF(F163="",0,F163)+IF(F165="",0,F165)+IF(F166="",0,F166)+IF(F167="",0,F167)</f>
        <v/>
      </c>
      <c r="G168" s="2" t="n"/>
      <c r="H168" s="2" t="n"/>
      <c r="I168" s="2" t="n"/>
    </row>
    <row r="169" ht="47" customHeight="1">
      <c r="A169" s="16" t="inlineStr">
        <is>
          <t>7</t>
        </is>
      </c>
      <c r="B169" s="33" t="inlineStr">
        <is>
          <t>PERDIDA TOTAL</t>
        </is>
      </c>
      <c r="C169" s="9">
        <f>TEXT(F168,"0.00")&amp;"  X  "&amp;Datos_balance!$B$4&amp;" (FI)  X  "&amp;Datos_balance!$B$5&amp;" (FO)  X  "&amp;Datos_balance!$B$6&amp;" (FZ)"</f>
        <v/>
      </c>
      <c r="D169" s="2" t="n"/>
      <c r="E169" s="2" t="n"/>
      <c r="F169" s="36">
        <f>ROUND(F168*Datos_balance!$B$4*Datos_balance!$B$5*Datos_balance!$B$6,1)</f>
        <v/>
      </c>
      <c r="G169" s="2" t="n"/>
      <c r="H169" s="2" t="n"/>
      <c r="I169" s="2" t="n"/>
    </row>
    <row r="170">
      <c r="A170" s="2" t="n"/>
      <c r="B170" s="2" t="n"/>
      <c r="C170" s="2" t="n"/>
      <c r="D170" s="2" t="n"/>
      <c r="E170" s="2" t="n"/>
      <c r="F170" s="2" t="n"/>
      <c r="G170" s="2" t="n"/>
      <c r="H170" s="2" t="n"/>
      <c r="I170" s="2" t="n"/>
    </row>
    <row r="171" ht="62" customHeight="1">
      <c r="A171" s="9" t="n"/>
      <c r="B171" s="10" t="inlineStr">
        <is>
          <t>Salto termico:  dt = (te+ts)/2 - ti</t>
        </is>
      </c>
      <c r="C171" s="9">
        <f>TEXT((Datos_balance!$B$9+Datos_balance!$B$10)/2,"0")&amp;" - "&amp;TEXT(Datos_balance!$B$11,"0")&amp;" = "&amp;TEXT((Datos_balance!$B$9+Datos_balance!$B$10)/2-Datos_balance!$B$11,"0")&amp;" C"</f>
        <v/>
      </c>
      <c r="D171" s="2" t="n"/>
      <c r="E171" s="2" t="n"/>
      <c r="F171" s="9" t="n"/>
      <c r="G171" s="2" t="n"/>
      <c r="H171" s="2" t="n"/>
      <c r="I171" s="2" t="n"/>
    </row>
    <row r="172" ht="39.7" customHeight="1">
      <c r="A172" s="9" t="n"/>
      <c r="B172" s="10" t="inlineStr">
        <is>
          <t>Kcal/h por seccion</t>
        </is>
      </c>
      <c r="C172" s="8">
        <f>ROUND(Datos_balance!$B$14*Datos_balance!$B$15,2)</f>
        <v/>
      </c>
      <c r="D172" s="2" t="n"/>
      <c r="E172" s="2" t="n"/>
      <c r="F172" s="9" t="n"/>
      <c r="G172" s="2" t="n"/>
      <c r="H172" s="2" t="n"/>
      <c r="I172" s="2" t="n"/>
    </row>
    <row r="173" ht="39.7" customHeight="1">
      <c r="A173" s="9" t="n"/>
      <c r="B173" s="10" t="inlineStr">
        <is>
          <t>Secciones necesarias</t>
        </is>
      </c>
      <c r="C173" s="25">
        <f>ROUNDUP(F169/(Datos_balance!$B$14*Datos_balance!$B$15),0)</f>
        <v/>
      </c>
      <c r="D173" s="2" t="n"/>
      <c r="E173" s="2" t="n"/>
      <c r="F173" s="9" t="n"/>
      <c r="G173" s="2" t="n"/>
      <c r="H173" s="2" t="n"/>
      <c r="I173" s="2" t="n"/>
    </row>
    <row r="174" ht="39.7" customHeight="1">
      <c r="A174" s="9" t="n"/>
      <c r="B174" s="10" t="inlineStr">
        <is>
          <t>Ancho del radiador (cm)</t>
        </is>
      </c>
      <c r="C174" s="25">
        <f>ROUNDUP(F169/(Datos_balance!$B$14*Datos_balance!$B$15),0)*Datos_balance!$B$16</f>
        <v/>
      </c>
      <c r="D174" s="2" t="n"/>
      <c r="E174" s="2" t="n"/>
      <c r="F174" s="9" t="n"/>
      <c r="G174" s="2" t="n"/>
      <c r="H174" s="2" t="n"/>
      <c r="I174" s="2" t="n"/>
    </row>
    <row r="175" ht="39.7" customHeight="1">
      <c r="A175" s="13" t="n"/>
      <c r="B175" s="14" t="inlineStr">
        <is>
          <t>Radiador adoptado</t>
        </is>
      </c>
      <c r="C175" s="13">
        <f>Datos_balance!$B$13</f>
        <v/>
      </c>
      <c r="D175" s="20" t="n"/>
      <c r="E175" s="20" t="n"/>
      <c r="F175" s="13" t="n"/>
      <c r="G175" s="2" t="n"/>
      <c r="H175" s="2" t="n"/>
      <c r="I175" s="2" t="n"/>
    </row>
    <row r="176">
      <c r="A176" s="2" t="n"/>
      <c r="B176" s="2" t="n"/>
      <c r="C176" s="2" t="n"/>
      <c r="D176" s="2" t="n"/>
      <c r="E176" s="2" t="n"/>
      <c r="F176" s="2" t="n"/>
      <c r="G176" s="2" t="n"/>
      <c r="H176" s="2" t="n"/>
      <c r="I176" s="2" t="n"/>
    </row>
    <row r="177">
      <c r="A177" s="2" t="n"/>
      <c r="B177" s="2" t="n"/>
      <c r="C177" s="2" t="n"/>
      <c r="D177" s="2" t="n"/>
      <c r="E177" s="2" t="n"/>
      <c r="F177" s="2" t="n"/>
      <c r="G177" s="2" t="n"/>
      <c r="H177" s="2" t="n"/>
      <c r="I177" s="2" t="n"/>
    </row>
    <row r="178" ht="39.7" customHeight="1">
      <c r="A178" s="5" t="inlineStr">
        <is>
          <t>LOCAL  10 - Bano suite   (PB)</t>
        </is>
      </c>
      <c r="B178" s="2" t="n"/>
      <c r="C178" s="2" t="n"/>
      <c r="D178" s="2" t="n"/>
      <c r="E178" s="2" t="n"/>
      <c r="F178" s="2" t="n"/>
      <c r="G178" s="2" t="n"/>
      <c r="H178" s="2" t="n"/>
      <c r="I178" s="2" t="n"/>
    </row>
    <row r="179" ht="39.7" customHeight="1">
      <c r="A179" s="3" t="inlineStr">
        <is>
          <t>Nro</t>
        </is>
      </c>
      <c r="B179" s="3" t="inlineStr">
        <is>
          <t>DESCRIPCION</t>
        </is>
      </c>
      <c r="C179" s="3" t="inlineStr">
        <is>
          <t>DIMENSIONES (m)</t>
        </is>
      </c>
      <c r="D179" s="3" t="inlineStr">
        <is>
          <t>AREA (m2)</t>
        </is>
      </c>
      <c r="E179" s="3" t="inlineStr">
        <is>
          <t>FACTOR</t>
        </is>
      </c>
      <c r="F179" s="3" t="inlineStr">
        <is>
          <t>PERDIDA CALOR (Kcal/h)</t>
        </is>
      </c>
      <c r="G179" s="2" t="n"/>
      <c r="H179" s="2" t="n"/>
      <c r="I179" s="2" t="n"/>
    </row>
    <row r="180" ht="39.7" customHeight="1">
      <c r="A180" s="16" t="inlineStr">
        <is>
          <t>1</t>
        </is>
      </c>
      <c r="B180" s="33" t="inlineStr">
        <is>
          <t>VENTANA</t>
        </is>
      </c>
      <c r="C180" s="9" t="n"/>
      <c r="D180" s="9" t="n"/>
      <c r="E180" s="9" t="n"/>
      <c r="F180" s="9" t="n"/>
      <c r="G180" s="2" t="n"/>
      <c r="H180" s="2" t="n"/>
      <c r="I180" s="2" t="n"/>
    </row>
    <row r="181" ht="62" customHeight="1">
      <c r="A181" s="9" t="n"/>
      <c r="B181" s="34" t="inlineStr">
        <is>
          <t>VA02</t>
        </is>
      </c>
      <c r="C181" s="9">
        <f>IF(COUNT(H181,I181)&lt;2,"",TEXT(H181,"0.00")&amp;" x "&amp;TEXT(I181,"0.00"))</f>
        <v/>
      </c>
      <c r="D181" s="8">
        <f>IF(COUNT(H181,I181)&lt;2,"",ROUND(H181*I181,2))</f>
        <v/>
      </c>
      <c r="E181" s="25" t="n">
        <v>60</v>
      </c>
      <c r="F181" s="28">
        <f>IF(D181="","",ROUND(D181*E181,1))</f>
        <v/>
      </c>
      <c r="G181" s="2" t="n"/>
      <c r="H181" s="35" t="n">
        <v>0.75</v>
      </c>
      <c r="I181" s="35" t="n">
        <v>2.15</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5.61</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5.61</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39.7" customHeight="1">
      <c r="A199" s="9" t="n"/>
      <c r="B199" s="34" t="inlineStr">
        <is>
          <t>UNA PARED EXTERIOR</t>
        </is>
      </c>
      <c r="C199" s="9" t="inlineStr">
        <is>
          <t>5.61 m2 x 3.00</t>
        </is>
      </c>
      <c r="D199" s="8" t="n">
        <v>16.83</v>
      </c>
      <c r="E199" s="25" t="n">
        <v>6</v>
      </c>
      <c r="F199" s="28">
        <f>IF(D199="","",ROUND(D199*E199,1))</f>
        <v/>
      </c>
      <c r="G199" s="2" t="n"/>
      <c r="H199" s="35" t="n"/>
      <c r="I199" s="35" t="n"/>
    </row>
    <row r="200" ht="62" customHeight="1">
      <c r="A200" s="9" t="n"/>
      <c r="B200" s="34" t="inlineStr">
        <is>
          <t>DOS PAREDES EXTERIORES</t>
        </is>
      </c>
      <c r="C200" s="9" t="inlineStr"/>
      <c r="D200" s="8">
        <f>IF(COUNT(H200,I200)&lt;2,"",ROUND(H200*I200,2))</f>
        <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c r="A204" s="2" t="n"/>
      <c r="B204" s="2" t="n"/>
      <c r="C204" s="2" t="n"/>
      <c r="D204" s="2" t="n"/>
      <c r="E204" s="2" t="n"/>
      <c r="F204" s="2" t="n"/>
      <c r="G204" s="2" t="n"/>
      <c r="H204" s="2" t="n"/>
      <c r="I204" s="2" t="n"/>
    </row>
    <row r="205" ht="62" customHeight="1">
      <c r="A205" s="9" t="n"/>
      <c r="B205" s="10" t="inlineStr">
        <is>
          <t>Salto termico:  dt = (te+ts)/2 - ti</t>
        </is>
      </c>
      <c r="C205" s="9">
        <f>TEXT((Datos_balance!$B$9+Datos_balance!$B$10)/2,"0")&amp;" - "&amp;TEXT(Datos_balance!$B$11,"0")&amp;" = "&amp;TEXT((Datos_balance!$B$9+Datos_balance!$B$10)/2-Datos_balance!$B$11,"0")&amp;" C"</f>
        <v/>
      </c>
      <c r="D205" s="2" t="n"/>
      <c r="E205" s="2" t="n"/>
      <c r="F205" s="9" t="n"/>
      <c r="G205" s="2" t="n"/>
      <c r="H205" s="2" t="n"/>
      <c r="I205" s="2" t="n"/>
    </row>
    <row r="206" ht="39.7" customHeight="1">
      <c r="A206" s="9" t="n"/>
      <c r="B206" s="10" t="inlineStr">
        <is>
          <t>Kcal/h por seccion</t>
        </is>
      </c>
      <c r="C206" s="8">
        <f>ROUND(Datos_balance!$B$14*Datos_balance!$B$15,2)</f>
        <v/>
      </c>
      <c r="D206" s="2" t="n"/>
      <c r="E206" s="2" t="n"/>
      <c r="F206" s="9" t="n"/>
      <c r="G206" s="2" t="n"/>
      <c r="H206" s="2" t="n"/>
      <c r="I206" s="2" t="n"/>
    </row>
    <row r="207" ht="39.7" customHeight="1">
      <c r="A207" s="9" t="n"/>
      <c r="B207" s="10" t="inlineStr">
        <is>
          <t>Secciones necesarias</t>
        </is>
      </c>
      <c r="C207" s="25">
        <f>ROUNDUP(F203/(Datos_balance!$B$14*Datos_balance!$B$15),0)</f>
        <v/>
      </c>
      <c r="D207" s="2" t="n"/>
      <c r="E207" s="2" t="n"/>
      <c r="F207" s="9" t="n"/>
      <c r="G207" s="2" t="n"/>
      <c r="H207" s="2" t="n"/>
      <c r="I207" s="2" t="n"/>
    </row>
    <row r="208" ht="39.7" customHeight="1">
      <c r="A208" s="9" t="n"/>
      <c r="B208" s="10" t="inlineStr">
        <is>
          <t>Ancho del radiador (cm)</t>
        </is>
      </c>
      <c r="C208" s="25">
        <f>ROUNDUP(F203/(Datos_balance!$B$14*Datos_balance!$B$15),0)*Datos_balance!$B$16</f>
        <v/>
      </c>
      <c r="D208" s="2" t="n"/>
      <c r="E208" s="2" t="n"/>
      <c r="F208" s="9" t="n"/>
      <c r="G208" s="2" t="n"/>
      <c r="H208" s="2" t="n"/>
      <c r="I208" s="2" t="n"/>
    </row>
    <row r="209" ht="39.7" customHeight="1">
      <c r="A209" s="13" t="n"/>
      <c r="B209" s="14" t="inlineStr">
        <is>
          <t>Radiador adoptado</t>
        </is>
      </c>
      <c r="C209" s="13">
        <f>Datos_balance!$B$13</f>
        <v/>
      </c>
      <c r="D209" s="20" t="n"/>
      <c r="E209" s="20" t="n"/>
      <c r="F209" s="13" t="n"/>
      <c r="G209" s="2" t="n"/>
      <c r="H209" s="2" t="n"/>
      <c r="I209" s="2" t="n"/>
    </row>
    <row r="210">
      <c r="A210" s="2" t="n"/>
      <c r="B210" s="2" t="n"/>
      <c r="C210" s="2" t="n"/>
      <c r="D210" s="2" t="n"/>
      <c r="E210" s="2" t="n"/>
      <c r="F210" s="2" t="n"/>
      <c r="G210" s="2" t="n"/>
      <c r="H210" s="2" t="n"/>
      <c r="I210" s="2" t="n"/>
    </row>
    <row r="211">
      <c r="A211" s="2" t="n"/>
      <c r="B211" s="2" t="n"/>
      <c r="C211" s="2" t="n"/>
      <c r="D211" s="2" t="n"/>
      <c r="E211" s="2" t="n"/>
      <c r="F211" s="2" t="n"/>
      <c r="G211" s="2" t="n"/>
      <c r="H211" s="2" t="n"/>
      <c r="I211" s="2" t="n"/>
    </row>
    <row r="212" ht="39.7" customHeight="1">
      <c r="A212" s="5" t="inlineStr">
        <is>
          <t>LOCAL  11 - Bano visitas   (PB)</t>
        </is>
      </c>
      <c r="B212" s="2" t="n"/>
      <c r="C212" s="2" t="n"/>
      <c r="D212" s="2" t="n"/>
      <c r="E212" s="2" t="n"/>
      <c r="F212" s="2" t="n"/>
      <c r="G212" s="2" t="n"/>
      <c r="H212" s="2" t="n"/>
      <c r="I212" s="2" t="n"/>
    </row>
    <row r="213" ht="39.7" customHeight="1">
      <c r="A213" s="3" t="inlineStr">
        <is>
          <t>Nro</t>
        </is>
      </c>
      <c r="B213" s="3" t="inlineStr">
        <is>
          <t>DESCRIPCION</t>
        </is>
      </c>
      <c r="C213" s="3" t="inlineStr">
        <is>
          <t>DIMENSIONES (m)</t>
        </is>
      </c>
      <c r="D213" s="3" t="inlineStr">
        <is>
          <t>AREA (m2)</t>
        </is>
      </c>
      <c r="E213" s="3" t="inlineStr">
        <is>
          <t>FACTOR</t>
        </is>
      </c>
      <c r="F213" s="3" t="inlineStr">
        <is>
          <t>PERDIDA CALOR (Kcal/h)</t>
        </is>
      </c>
      <c r="G213" s="2" t="n"/>
      <c r="H213" s="2" t="n"/>
      <c r="I213" s="2" t="n"/>
    </row>
    <row r="214" ht="39.7" customHeight="1">
      <c r="A214" s="16" t="inlineStr">
        <is>
          <t>1</t>
        </is>
      </c>
      <c r="B214" s="33" t="inlineStr">
        <is>
          <t>VENTANA</t>
        </is>
      </c>
      <c r="C214" s="9" t="n"/>
      <c r="D214" s="9" t="n"/>
      <c r="E214" s="9" t="n"/>
      <c r="F214" s="9" t="n"/>
      <c r="G214" s="2" t="n"/>
      <c r="H214" s="2" t="n"/>
      <c r="I214" s="2" t="n"/>
    </row>
    <row r="215" ht="62" customHeight="1">
      <c r="A215" s="9" t="n"/>
      <c r="B215" s="34" t="inlineStr">
        <is>
          <t>(sin aberturas)</t>
        </is>
      </c>
      <c r="C215" s="9">
        <f>IF(COUNT(H215,I215)&lt;2,"",TEXT(H215,"0.00")&amp;" x "&amp;TEXT(I215,"0.00"))</f>
        <v/>
      </c>
      <c r="D215" s="8">
        <f>IF(COUNT(H215,I215)&lt;2,"",ROUND(H215*I215,2))</f>
        <v/>
      </c>
      <c r="E215" s="25" t="n">
        <v>60</v>
      </c>
      <c r="F215" s="28">
        <f>IF(D215="","",ROUND(D215*E215,1))</f>
        <v/>
      </c>
      <c r="G215" s="2" t="n"/>
      <c r="H215" s="35" t="n"/>
      <c r="I215" s="35" t="n"/>
    </row>
    <row r="216" ht="39.7" customHeight="1">
      <c r="A216" s="16" t="inlineStr">
        <is>
          <t>2</t>
        </is>
      </c>
      <c r="B216" s="33" t="inlineStr">
        <is>
          <t>PAREDES EXTERIORES</t>
        </is>
      </c>
      <c r="C216" s="9" t="n"/>
      <c r="D216" s="9" t="n"/>
      <c r="E216" s="9" t="n"/>
      <c r="F216" s="9" t="n"/>
      <c r="G216" s="2" t="n"/>
      <c r="H216" s="2" t="n"/>
      <c r="I216" s="2"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39.7" customHeight="1">
      <c r="A225" s="16" t="inlineStr">
        <is>
          <t>3</t>
        </is>
      </c>
      <c r="B225" s="33" t="inlineStr">
        <is>
          <t>TECHOS O CIELORRASOS</t>
        </is>
      </c>
      <c r="C225" s="9" t="n"/>
      <c r="D225" s="9" t="n"/>
      <c r="E225" s="9" t="n"/>
      <c r="F225" s="9" t="n"/>
      <c r="G225" s="2" t="n"/>
      <c r="H225" s="2" t="n"/>
      <c r="I225" s="2" t="n"/>
    </row>
    <row r="226" ht="62" customHeight="1">
      <c r="A226" s="9" t="n"/>
      <c r="B226" s="34" t="inlineStr">
        <is>
          <t>TECHO NO AISLADO</t>
        </is>
      </c>
      <c r="C226" s="9" t="inlineStr"/>
      <c r="D226" s="8">
        <f>IF(COUNT(H226,I226)&lt;2,"",ROUND(H226*I226,2))</f>
        <v/>
      </c>
      <c r="E226" s="25" t="n">
        <v>30</v>
      </c>
      <c r="F226" s="28">
        <f>IF(D226="","",ROUND(D226*E226,1))</f>
        <v/>
      </c>
      <c r="G226" s="2" t="n"/>
      <c r="H226" s="35" t="n"/>
      <c r="I226" s="35" t="n"/>
    </row>
    <row r="227" ht="62" customHeight="1">
      <c r="A227" s="9" t="n"/>
      <c r="B227" s="34" t="inlineStr">
        <is>
          <t>TECHO AISLADO</t>
        </is>
      </c>
      <c r="C227" s="9" t="inlineStr"/>
      <c r="D227" s="8">
        <f>IF(COUNT(H227,I227)&lt;2,"",ROUND(H227*I227,2))</f>
        <v/>
      </c>
      <c r="E227" s="25" t="n">
        <v>20</v>
      </c>
      <c r="F227" s="28">
        <f>IF(D227="","",ROUND(D227*E227,1))</f>
        <v/>
      </c>
      <c r="G227" s="2" t="n"/>
      <c r="H227" s="35" t="n"/>
      <c r="I227" s="35" t="n"/>
    </row>
    <row r="228" ht="39.7" customHeight="1">
      <c r="A228" s="9" t="n"/>
      <c r="B228" s="34" t="inlineStr">
        <is>
          <t>TECHO ENTREPISO</t>
        </is>
      </c>
      <c r="C228" s="9" t="inlineStr">
        <is>
          <t>por croquis</t>
        </is>
      </c>
      <c r="D228" s="8" t="n">
        <v>3.12</v>
      </c>
      <c r="E228" s="25" t="n">
        <v>15</v>
      </c>
      <c r="F228" s="28">
        <f>IF(D228="","",ROUND(D228*E228,1))</f>
        <v/>
      </c>
      <c r="G228" s="2" t="n"/>
      <c r="H228" s="35" t="n"/>
      <c r="I228" s="35" t="n"/>
    </row>
    <row r="229" ht="39.7" customHeight="1">
      <c r="A229" s="16" t="inlineStr">
        <is>
          <t>4</t>
        </is>
      </c>
      <c r="B229" s="33" t="inlineStr">
        <is>
          <t>PISO</t>
        </is>
      </c>
      <c r="C229" s="9" t="n"/>
      <c r="D229" s="9" t="n"/>
      <c r="E229" s="9" t="n"/>
      <c r="F229" s="9" t="n"/>
      <c r="G229" s="2" t="n"/>
      <c r="H229" s="2" t="n"/>
      <c r="I229" s="2" t="n"/>
    </row>
    <row r="230" ht="39.7" customHeight="1">
      <c r="A230" s="9" t="n"/>
      <c r="B230" s="34" t="inlineStr">
        <is>
          <t>SOBRE TIERRA</t>
        </is>
      </c>
      <c r="C230" s="9" t="inlineStr">
        <is>
          <t>por croquis</t>
        </is>
      </c>
      <c r="D230" s="8" t="n">
        <v>3.12</v>
      </c>
      <c r="E230" s="25" t="n">
        <v>10</v>
      </c>
      <c r="F230" s="28">
        <f>IF(D230="","",ROUND(D230*E230,1))</f>
        <v/>
      </c>
      <c r="G230" s="2" t="n"/>
      <c r="H230" s="35" t="n"/>
      <c r="I230" s="35" t="n"/>
    </row>
    <row r="231" ht="62" customHeight="1">
      <c r="A231" s="9" t="n"/>
      <c r="B231" s="34" t="inlineStr">
        <is>
          <t>SOBRE LOCAL OCUPADO</t>
        </is>
      </c>
      <c r="C231" s="9" t="inlineStr"/>
      <c r="D231" s="8">
        <f>IF(COUNT(H231,I231)&lt;2,"",ROUND(H231*I231,2))</f>
        <v/>
      </c>
      <c r="E231" s="25" t="n">
        <v>15</v>
      </c>
      <c r="F231" s="28">
        <f>IF(D231="","",ROUND(D231*E231,1))</f>
        <v/>
      </c>
      <c r="G231" s="2" t="n"/>
      <c r="H231" s="35" t="n"/>
      <c r="I231" s="35" t="n"/>
    </row>
    <row r="232" ht="39.7" customHeight="1">
      <c r="A232" s="16" t="inlineStr">
        <is>
          <t>5</t>
        </is>
      </c>
      <c r="B232" s="33" t="inlineStr">
        <is>
          <t>INFILTRACION</t>
        </is>
      </c>
      <c r="C232" s="9" t="n"/>
      <c r="D232" s="16" t="inlineStr">
        <is>
          <t>VOLUMEN (m3)</t>
        </is>
      </c>
      <c r="E232" s="9" t="n"/>
      <c r="F232" s="9" t="n"/>
      <c r="G232" s="2" t="n"/>
      <c r="H232" s="2" t="n"/>
      <c r="I232" s="2" t="n"/>
    </row>
    <row r="233" ht="39.7" customHeight="1">
      <c r="A233" s="9" t="n"/>
      <c r="B233" s="34" t="inlineStr">
        <is>
          <t>UNA PARED EXTERIOR</t>
        </is>
      </c>
      <c r="C233" s="9" t="inlineStr">
        <is>
          <t>3.12 m2 x 3.00</t>
        </is>
      </c>
      <c r="D233" s="8" t="n">
        <v>9.359999999999999</v>
      </c>
      <c r="E233" s="25" t="n">
        <v>6</v>
      </c>
      <c r="F233" s="28">
        <f>IF(D233="","",ROUND(D233*E233,1))</f>
        <v/>
      </c>
      <c r="G233" s="2" t="n"/>
      <c r="H233" s="35" t="n"/>
      <c r="I233" s="35" t="n"/>
    </row>
    <row r="234" ht="62" customHeight="1">
      <c r="A234" s="9" t="n"/>
      <c r="B234" s="34" t="inlineStr">
        <is>
          <t>DOS PAREDES EXTERIORES</t>
        </is>
      </c>
      <c r="C234" s="9" t="inlineStr"/>
      <c r="D234" s="8">
        <f>IF(COUNT(H234,I234)&lt;2,"",ROUND(H234*I234,2))</f>
        <v/>
      </c>
      <c r="E234" s="25" t="n">
        <v>9</v>
      </c>
      <c r="F234" s="28">
        <f>IF(D234="","",ROUND(D234*E234,1))</f>
        <v/>
      </c>
      <c r="G234" s="2" t="n"/>
      <c r="H234" s="35" t="n"/>
      <c r="I234" s="35" t="n"/>
    </row>
    <row r="235" ht="62" customHeight="1">
      <c r="A235" s="9" t="n"/>
      <c r="B235" s="34" t="inlineStr">
        <is>
          <t>TRES O MAS PAREDES EXTERIORES</t>
        </is>
      </c>
      <c r="C235" s="9" t="inlineStr"/>
      <c r="D235" s="8">
        <f>IF(COUNT(H235,I235)&lt;2,"",ROUND(H235*I235,2))</f>
        <v/>
      </c>
      <c r="E235" s="25" t="n">
        <v>12</v>
      </c>
      <c r="F235" s="28">
        <f>IF(D235="","",ROUND(D235*E235,1))</f>
        <v/>
      </c>
      <c r="G235" s="2" t="n"/>
      <c r="H235" s="35" t="n"/>
      <c r="I235" s="35" t="n"/>
    </row>
    <row r="236" ht="70" customHeight="1">
      <c r="A236" s="16" t="inlineStr">
        <is>
          <t>6</t>
        </is>
      </c>
      <c r="B236" s="33" t="inlineStr">
        <is>
          <t>SUBTOTAL</t>
        </is>
      </c>
      <c r="C236" s="9" t="n"/>
      <c r="D236" s="9" t="n"/>
      <c r="E236" s="9" t="n"/>
      <c r="F236" s="36">
        <f>IF(F215="",0,F215)+IF(F217="",0,F217)+IF(F218="",0,F218)+IF(F219="",0,F219)+IF(F220="",0,F220)+IF(F221="",0,F221)+IF(F222="",0,F222)+IF(F223="",0,F223)+IF(F224="",0,F224)+IF(F226="",0,F226)+IF(F227="",0,F227)+IF(F228="",0,F228)+IF(F230="",0,F230)+IF(F231="",0,F231)+IF(F233="",0,F233)+IF(F234="",0,F234)+IF(F235="",0,F235)</f>
        <v/>
      </c>
      <c r="G236" s="2" t="n"/>
      <c r="H236" s="2" t="n"/>
      <c r="I236" s="2" t="n"/>
    </row>
    <row r="237" ht="47" customHeight="1">
      <c r="A237" s="16" t="inlineStr">
        <is>
          <t>7</t>
        </is>
      </c>
      <c r="B237" s="33" t="inlineStr">
        <is>
          <t>PERDIDA TOTAL</t>
        </is>
      </c>
      <c r="C237" s="9">
        <f>TEXT(F236,"0.00")&amp;"  X  "&amp;Datos_balance!$B$4&amp;" (FI)  X  "&amp;Datos_balance!$B$5&amp;" (FO)  X  "&amp;Datos_balance!$B$6&amp;" (FZ)"</f>
        <v/>
      </c>
      <c r="D237" s="2" t="n"/>
      <c r="E237" s="2" t="n"/>
      <c r="F237" s="36">
        <f>ROUND(F236*Datos_balance!$B$4*Datos_balance!$B$5*Datos_balance!$B$6,1)</f>
        <v/>
      </c>
      <c r="G237" s="2" t="n"/>
      <c r="H237" s="2" t="n"/>
      <c r="I237" s="2" t="n"/>
    </row>
    <row r="238">
      <c r="A238" s="2" t="n"/>
      <c r="B238" s="2" t="n"/>
      <c r="C238" s="2" t="n"/>
      <c r="D238" s="2" t="n"/>
      <c r="E238" s="2" t="n"/>
      <c r="F238" s="2" t="n"/>
      <c r="G238" s="2" t="n"/>
      <c r="H238" s="2" t="n"/>
      <c r="I238" s="2" t="n"/>
    </row>
    <row r="239" ht="62" customHeight="1">
      <c r="A239" s="9" t="n"/>
      <c r="B239" s="10" t="inlineStr">
        <is>
          <t>Salto termico:  dt = (te+ts)/2 - ti</t>
        </is>
      </c>
      <c r="C239" s="9">
        <f>TEXT((Datos_balance!$B$9+Datos_balance!$B$10)/2,"0")&amp;" - "&amp;TEXT(Datos_balance!$B$11,"0")&amp;" = "&amp;TEXT((Datos_balance!$B$9+Datos_balance!$B$10)/2-Datos_balance!$B$11,"0")&amp;" C"</f>
        <v/>
      </c>
      <c r="D239" s="2" t="n"/>
      <c r="E239" s="2" t="n"/>
      <c r="F239" s="9" t="n"/>
      <c r="G239" s="2" t="n"/>
      <c r="H239" s="2" t="n"/>
      <c r="I239" s="2" t="n"/>
    </row>
    <row r="240" ht="39.7" customHeight="1">
      <c r="A240" s="9" t="n"/>
      <c r="B240" s="10" t="inlineStr">
        <is>
          <t>Kcal/h por seccion</t>
        </is>
      </c>
      <c r="C240" s="8">
        <f>ROUND(Datos_balance!$B$14*Datos_balance!$B$15,2)</f>
        <v/>
      </c>
      <c r="D240" s="2" t="n"/>
      <c r="E240" s="2" t="n"/>
      <c r="F240" s="9" t="n"/>
      <c r="G240" s="2" t="n"/>
      <c r="H240" s="2" t="n"/>
      <c r="I240" s="2" t="n"/>
    </row>
    <row r="241" ht="39.7" customHeight="1">
      <c r="A241" s="9" t="n"/>
      <c r="B241" s="10" t="inlineStr">
        <is>
          <t>Secciones necesarias</t>
        </is>
      </c>
      <c r="C241" s="25">
        <f>ROUNDUP(F237/(Datos_balance!$B$14*Datos_balance!$B$15),0)</f>
        <v/>
      </c>
      <c r="D241" s="2" t="n"/>
      <c r="E241" s="2" t="n"/>
      <c r="F241" s="9" t="n"/>
      <c r="G241" s="2" t="n"/>
      <c r="H241" s="2" t="n"/>
      <c r="I241" s="2" t="n"/>
    </row>
    <row r="242" ht="39.7" customHeight="1">
      <c r="A242" s="9" t="n"/>
      <c r="B242" s="10" t="inlineStr">
        <is>
          <t>Ancho del radiador (cm)</t>
        </is>
      </c>
      <c r="C242" s="25">
        <f>ROUNDUP(F237/(Datos_balance!$B$14*Datos_balance!$B$15),0)*Datos_balance!$B$16</f>
        <v/>
      </c>
      <c r="D242" s="2" t="n"/>
      <c r="E242" s="2" t="n"/>
      <c r="F242" s="9" t="n"/>
      <c r="G242" s="2" t="n"/>
      <c r="H242" s="2" t="n"/>
      <c r="I242" s="2" t="n"/>
    </row>
    <row r="243" ht="39.7" customHeight="1">
      <c r="A243" s="13" t="n"/>
      <c r="B243" s="14" t="inlineStr">
        <is>
          <t>Radiador adoptado</t>
        </is>
      </c>
      <c r="C243" s="13">
        <f>Datos_balance!$B$13</f>
        <v/>
      </c>
      <c r="D243" s="20" t="n"/>
      <c r="E243" s="20" t="n"/>
      <c r="F243" s="13" t="n"/>
      <c r="G243" s="2" t="n"/>
      <c r="H243" s="2" t="n"/>
      <c r="I243" s="2" t="n"/>
    </row>
    <row r="244">
      <c r="A244" s="2" t="n"/>
      <c r="B244" s="2" t="n"/>
      <c r="C244" s="2" t="n"/>
      <c r="D244" s="2" t="n"/>
      <c r="E244" s="2" t="n"/>
      <c r="F244" s="2" t="n"/>
      <c r="G244" s="2" t="n"/>
      <c r="H244" s="2" t="n"/>
      <c r="I244" s="2" t="n"/>
    </row>
    <row r="245">
      <c r="A245" s="2" t="n"/>
      <c r="B245" s="2" t="n"/>
      <c r="C245" s="2" t="n"/>
      <c r="D245" s="2" t="n"/>
      <c r="E245" s="2" t="n"/>
      <c r="F245" s="2" t="n"/>
      <c r="G245" s="2" t="n"/>
      <c r="H245" s="2" t="n"/>
      <c r="I245" s="2" t="n"/>
    </row>
    <row r="246" ht="39.7" customHeight="1">
      <c r="A246" s="5" t="inlineStr">
        <is>
          <t>LOCAL  13 - Dormitorio Norte   (PA)</t>
        </is>
      </c>
      <c r="B246" s="2" t="n"/>
      <c r="C246" s="2" t="n"/>
      <c r="D246" s="2" t="n"/>
      <c r="E246" s="2" t="n"/>
      <c r="F246" s="2" t="n"/>
      <c r="G246" s="2" t="n"/>
      <c r="H246" s="2" t="n"/>
      <c r="I246" s="2" t="n"/>
    </row>
    <row r="247" ht="39.7" customHeight="1">
      <c r="A247" s="3" t="inlineStr">
        <is>
          <t>Nro</t>
        </is>
      </c>
      <c r="B247" s="3" t="inlineStr">
        <is>
          <t>DESCRIPCION</t>
        </is>
      </c>
      <c r="C247" s="3" t="inlineStr">
        <is>
          <t>DIMENSIONES (m)</t>
        </is>
      </c>
      <c r="D247" s="3" t="inlineStr">
        <is>
          <t>AREA (m2)</t>
        </is>
      </c>
      <c r="E247" s="3" t="inlineStr">
        <is>
          <t>FACTOR</t>
        </is>
      </c>
      <c r="F247" s="3" t="inlineStr">
        <is>
          <t>PERDIDA CALOR (Kcal/h)</t>
        </is>
      </c>
      <c r="G247" s="2" t="n"/>
      <c r="H247" s="2" t="n"/>
      <c r="I247" s="2" t="n"/>
    </row>
    <row r="248" ht="39.7" customHeight="1">
      <c r="A248" s="16" t="inlineStr">
        <is>
          <t>1</t>
        </is>
      </c>
      <c r="B248" s="33" t="inlineStr">
        <is>
          <t>VENTANA</t>
        </is>
      </c>
      <c r="C248" s="9" t="n"/>
      <c r="D248" s="9" t="n"/>
      <c r="E248" s="9" t="n"/>
      <c r="F248" s="9" t="n"/>
      <c r="G248" s="2" t="n"/>
      <c r="H248" s="2" t="n"/>
      <c r="I248" s="2" t="n"/>
    </row>
    <row r="249" ht="62" customHeight="1">
      <c r="A249" s="9" t="n"/>
      <c r="B249" s="34" t="inlineStr">
        <is>
          <t>VA04</t>
        </is>
      </c>
      <c r="C249" s="9">
        <f>IF(COUNT(H249,I249)&lt;2,"",TEXT(H249,"0.00")&amp;" x "&amp;TEXT(I249,"0.00"))</f>
        <v/>
      </c>
      <c r="D249" s="8">
        <f>IF(COUNT(H249,I249)&lt;2,"",ROUND(H249*I249,2))</f>
        <v/>
      </c>
      <c r="E249" s="25" t="n">
        <v>60</v>
      </c>
      <c r="F249" s="28">
        <f>IF(D249="","",ROUND(D249*E249,1))</f>
        <v/>
      </c>
      <c r="G249" s="2" t="n"/>
      <c r="H249" s="35" t="n">
        <v>2</v>
      </c>
      <c r="I249" s="35" t="n">
        <v>2.52</v>
      </c>
    </row>
    <row r="250" ht="62" customHeight="1">
      <c r="A250" s="9" t="n"/>
      <c r="B250" s="34" t="inlineStr">
        <is>
          <t>VA05</t>
        </is>
      </c>
      <c r="C250" s="9">
        <f>IF(COUNT(H250,I250)&lt;2,"",TEXT(H250,"0.00")&amp;" x "&amp;TEXT(I250,"0.00"))</f>
        <v/>
      </c>
      <c r="D250" s="8">
        <f>IF(COUNT(H250,I250)&lt;2,"",ROUND(H250*I250,2))</f>
        <v/>
      </c>
      <c r="E250" s="25" t="n">
        <v>60</v>
      </c>
      <c r="F250" s="28">
        <f>IF(D250="","",ROUND(D250*E250,1))</f>
        <v/>
      </c>
      <c r="G250" s="2" t="n"/>
      <c r="H250" s="35" t="n">
        <v>1.4</v>
      </c>
      <c r="I250" s="35" t="n">
        <v>2.52</v>
      </c>
    </row>
    <row r="251" ht="39.7" customHeight="1">
      <c r="A251" s="16" t="inlineStr">
        <is>
          <t>2</t>
        </is>
      </c>
      <c r="B251" s="33" t="inlineStr">
        <is>
          <t>PAREDES EXTERIORES</t>
        </is>
      </c>
      <c r="C251" s="9" t="n"/>
      <c r="D251" s="9" t="n"/>
      <c r="E251" s="9" t="n"/>
      <c r="F251" s="9" t="n"/>
      <c r="G251" s="2" t="n"/>
      <c r="H251" s="2" t="n"/>
      <c r="I251" s="2"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39.7" customHeight="1">
      <c r="A260" s="16" t="inlineStr">
        <is>
          <t>3</t>
        </is>
      </c>
      <c r="B260" s="33" t="inlineStr">
        <is>
          <t>TECHOS O CIELORRASOS</t>
        </is>
      </c>
      <c r="C260" s="9" t="n"/>
      <c r="D260" s="9" t="n"/>
      <c r="E260" s="9" t="n"/>
      <c r="F260" s="9" t="n"/>
      <c r="G260" s="2" t="n"/>
      <c r="H260" s="2" t="n"/>
      <c r="I260" s="2" t="n"/>
    </row>
    <row r="261" ht="62" customHeight="1">
      <c r="A261" s="9" t="n"/>
      <c r="B261" s="34" t="inlineStr">
        <is>
          <t>TECHO NO AISLADO</t>
        </is>
      </c>
      <c r="C261" s="9" t="inlineStr"/>
      <c r="D261" s="8">
        <f>IF(COUNT(H261,I261)&lt;2,"",ROUND(H261*I261,2))</f>
        <v/>
      </c>
      <c r="E261" s="25" t="n">
        <v>30</v>
      </c>
      <c r="F261" s="28">
        <f>IF(D261="","",ROUND(D261*E261,1))</f>
        <v/>
      </c>
      <c r="G261" s="2" t="n"/>
      <c r="H261" s="35" t="n"/>
      <c r="I261" s="35" t="n"/>
    </row>
    <row r="262" ht="39.7" customHeight="1">
      <c r="A262" s="9" t="n"/>
      <c r="B262" s="34" t="inlineStr">
        <is>
          <t>TECHO AISLADO</t>
        </is>
      </c>
      <c r="C262" s="9" t="inlineStr">
        <is>
          <t>por croquis</t>
        </is>
      </c>
      <c r="D262" s="8" t="n">
        <v>17</v>
      </c>
      <c r="E262" s="25" t="n">
        <v>20</v>
      </c>
      <c r="F262" s="28">
        <f>IF(D262="","",ROUND(D262*E262,1))</f>
        <v/>
      </c>
      <c r="G262" s="2" t="n"/>
      <c r="H262" s="35" t="n"/>
      <c r="I262" s="35" t="n"/>
    </row>
    <row r="263" ht="62" customHeight="1">
      <c r="A263" s="9" t="n"/>
      <c r="B263" s="34" t="inlineStr">
        <is>
          <t>TECHO ENTREPISO</t>
        </is>
      </c>
      <c r="C263" s="9" t="inlineStr"/>
      <c r="D263" s="8">
        <f>IF(COUNT(H263,I263)&lt;2,"",ROUND(H263*I263,2))</f>
        <v/>
      </c>
      <c r="E263" s="25" t="n">
        <v>15</v>
      </c>
      <c r="F263" s="28">
        <f>IF(D263="","",ROUND(D263*E263,1))</f>
        <v/>
      </c>
      <c r="G263" s="2" t="n"/>
      <c r="H263" s="35" t="n"/>
      <c r="I263" s="35" t="n"/>
    </row>
    <row r="264" ht="39.7" customHeight="1">
      <c r="A264" s="16" t="inlineStr">
        <is>
          <t>4</t>
        </is>
      </c>
      <c r="B264" s="33" t="inlineStr">
        <is>
          <t>PISO</t>
        </is>
      </c>
      <c r="C264" s="9" t="n"/>
      <c r="D264" s="9" t="n"/>
      <c r="E264" s="9" t="n"/>
      <c r="F264" s="9" t="n"/>
      <c r="G264" s="2" t="n"/>
      <c r="H264" s="2" t="n"/>
      <c r="I264" s="2" t="n"/>
    </row>
    <row r="265" ht="62" customHeight="1">
      <c r="A265" s="9" t="n"/>
      <c r="B265" s="34" t="inlineStr">
        <is>
          <t>SOBRE TIERRA</t>
        </is>
      </c>
      <c r="C265" s="9" t="inlineStr"/>
      <c r="D265" s="8">
        <f>IF(COUNT(H265,I265)&lt;2,"",ROUND(H265*I265,2))</f>
        <v/>
      </c>
      <c r="E265" s="25" t="n">
        <v>10</v>
      </c>
      <c r="F265" s="28">
        <f>IF(D265="","",ROUND(D265*E265,1))</f>
        <v/>
      </c>
      <c r="G265" s="2" t="n"/>
      <c r="H265" s="35" t="n"/>
      <c r="I265" s="35" t="n"/>
    </row>
    <row r="266" ht="39.7" customHeight="1">
      <c r="A266" s="9" t="n"/>
      <c r="B266" s="34" t="inlineStr">
        <is>
          <t>SOBRE LOCAL OCUPADO</t>
        </is>
      </c>
      <c r="C266" s="9" t="inlineStr">
        <is>
          <t>por croquis</t>
        </is>
      </c>
      <c r="D266" s="8" t="n">
        <v>17</v>
      </c>
      <c r="E266" s="25" t="n">
        <v>15</v>
      </c>
      <c r="F266" s="28">
        <f>IF(D266="","",ROUND(D266*E266,1))</f>
        <v/>
      </c>
      <c r="G266" s="2" t="n"/>
      <c r="H266" s="35" t="n"/>
      <c r="I266" s="35" t="n"/>
    </row>
    <row r="267" ht="39.7" customHeight="1">
      <c r="A267" s="16" t="inlineStr">
        <is>
          <t>5</t>
        </is>
      </c>
      <c r="B267" s="33" t="inlineStr">
        <is>
          <t>INFILTRACION</t>
        </is>
      </c>
      <c r="C267" s="9" t="n"/>
      <c r="D267" s="16" t="inlineStr">
        <is>
          <t>VOLUMEN (m3)</t>
        </is>
      </c>
      <c r="E267" s="9" t="n"/>
      <c r="F267" s="9" t="n"/>
      <c r="G267" s="2" t="n"/>
      <c r="H267" s="2" t="n"/>
      <c r="I267" s="2" t="n"/>
    </row>
    <row r="268" ht="62" customHeight="1">
      <c r="A268" s="9" t="n"/>
      <c r="B268" s="34" t="inlineStr">
        <is>
          <t>UNA PARED EXTERIOR</t>
        </is>
      </c>
      <c r="C268" s="9" t="inlineStr"/>
      <c r="D268" s="8">
        <f>IF(COUNT(H268,I268)&lt;2,"",ROUND(H268*I268,2))</f>
        <v/>
      </c>
      <c r="E268" s="25" t="n">
        <v>6</v>
      </c>
      <c r="F268" s="28">
        <f>IF(D268="","",ROUND(D268*E268,1))</f>
        <v/>
      </c>
      <c r="G268" s="2" t="n"/>
      <c r="H268" s="35" t="n"/>
      <c r="I268" s="35" t="n"/>
    </row>
    <row r="269" ht="39.7" customHeight="1">
      <c r="A269" s="9" t="n"/>
      <c r="B269" s="34" t="inlineStr">
        <is>
          <t>DOS PAREDES EXTERIORES</t>
        </is>
      </c>
      <c r="C269" s="9" t="inlineStr">
        <is>
          <t>17.00 m2 x 3.00</t>
        </is>
      </c>
      <c r="D269" s="8" t="n">
        <v>51</v>
      </c>
      <c r="E269" s="25" t="n">
        <v>9</v>
      </c>
      <c r="F269" s="28">
        <f>IF(D269="","",ROUND(D269*E269,1))</f>
        <v/>
      </c>
      <c r="G269" s="2" t="n"/>
      <c r="H269" s="35" t="n"/>
      <c r="I269" s="35" t="n"/>
    </row>
    <row r="270" ht="62" customHeight="1">
      <c r="A270" s="9" t="n"/>
      <c r="B270" s="34" t="inlineStr">
        <is>
          <t>TRES O MAS PAREDES EXTERIORES</t>
        </is>
      </c>
      <c r="C270" s="9" t="inlineStr"/>
      <c r="D270" s="8">
        <f>IF(COUNT(H270,I270)&lt;2,"",ROUND(H270*I270,2))</f>
        <v/>
      </c>
      <c r="E270" s="25" t="n">
        <v>12</v>
      </c>
      <c r="F270" s="28">
        <f>IF(D270="","",ROUND(D270*E270,1))</f>
        <v/>
      </c>
      <c r="G270" s="2" t="n"/>
      <c r="H270" s="35" t="n"/>
      <c r="I270" s="35" t="n"/>
    </row>
    <row r="271" ht="70" customHeight="1">
      <c r="A271" s="16" t="inlineStr">
        <is>
          <t>6</t>
        </is>
      </c>
      <c r="B271" s="33" t="inlineStr">
        <is>
          <t>SUBTOTAL</t>
        </is>
      </c>
      <c r="C271" s="9" t="n"/>
      <c r="D271" s="9" t="n"/>
      <c r="E271" s="9" t="n"/>
      <c r="F271" s="36">
        <f>IF(F249="",0,F249)+IF(F250="",0,F250)+IF(F252="",0,F252)+IF(F253="",0,F253)+IF(F254="",0,F254)+IF(F255="",0,F255)+IF(F256="",0,F256)+IF(F257="",0,F257)+IF(F258="",0,F258)+IF(F259="",0,F259)+IF(F261="",0,F261)+IF(F262="",0,F262)+IF(F263="",0,F263)+IF(F265="",0,F265)+IF(F266="",0,F266)+IF(F268="",0,F268)+IF(F269="",0,F269)+IF(F270="",0,F270)</f>
        <v/>
      </c>
      <c r="G271" s="2" t="n"/>
      <c r="H271" s="2" t="n"/>
      <c r="I271" s="2" t="n"/>
    </row>
    <row r="272" ht="47" customHeight="1">
      <c r="A272" s="16" t="inlineStr">
        <is>
          <t>7</t>
        </is>
      </c>
      <c r="B272" s="33" t="inlineStr">
        <is>
          <t>PERDIDA TOTAL</t>
        </is>
      </c>
      <c r="C272" s="9">
        <f>TEXT(F271,"0.00")&amp;"  X  "&amp;Datos_balance!$B$4&amp;" (FI)  X  "&amp;Datos_balance!$B$5&amp;" (FO)  X  "&amp;Datos_balance!$B$6&amp;" (FZ)"</f>
        <v/>
      </c>
      <c r="D272" s="2" t="n"/>
      <c r="E272" s="2" t="n"/>
      <c r="F272" s="36">
        <f>ROUND(F271*Datos_balance!$B$4*Datos_balance!$B$5*Datos_balance!$B$6,1)</f>
        <v/>
      </c>
      <c r="G272" s="2" t="n"/>
      <c r="H272" s="2" t="n"/>
      <c r="I272" s="2" t="n"/>
    </row>
    <row r="273">
      <c r="A273" s="2" t="n"/>
      <c r="B273" s="2" t="n"/>
      <c r="C273" s="2" t="n"/>
      <c r="D273" s="2" t="n"/>
      <c r="E273" s="2" t="n"/>
      <c r="F273" s="2" t="n"/>
      <c r="G273" s="2" t="n"/>
      <c r="H273" s="2" t="n"/>
      <c r="I273" s="2" t="n"/>
    </row>
    <row r="274" ht="62" customHeight="1">
      <c r="A274" s="9" t="n"/>
      <c r="B274" s="10" t="inlineStr">
        <is>
          <t>Salto termico:  dt = (te+ts)/2 - ti</t>
        </is>
      </c>
      <c r="C274" s="9">
        <f>TEXT((Datos_balance!$B$9+Datos_balance!$B$10)/2,"0")&amp;" - "&amp;TEXT(Datos_balance!$B$11,"0")&amp;" = "&amp;TEXT((Datos_balance!$B$9+Datos_balance!$B$10)/2-Datos_balance!$B$11,"0")&amp;" C"</f>
        <v/>
      </c>
      <c r="D274" s="2" t="n"/>
      <c r="E274" s="2" t="n"/>
      <c r="F274" s="9" t="n"/>
      <c r="G274" s="2" t="n"/>
      <c r="H274" s="2" t="n"/>
      <c r="I274" s="2" t="n"/>
    </row>
    <row r="275" ht="39.7" customHeight="1">
      <c r="A275" s="9" t="n"/>
      <c r="B275" s="10" t="inlineStr">
        <is>
          <t>Kcal/h por seccion</t>
        </is>
      </c>
      <c r="C275" s="8">
        <f>ROUND(Datos_balance!$B$14*Datos_balance!$B$15,2)</f>
        <v/>
      </c>
      <c r="D275" s="2" t="n"/>
      <c r="E275" s="2" t="n"/>
      <c r="F275" s="9" t="n"/>
      <c r="G275" s="2" t="n"/>
      <c r="H275" s="2" t="n"/>
      <c r="I275" s="2" t="n"/>
    </row>
    <row r="276" ht="39.7" customHeight="1">
      <c r="A276" s="9" t="n"/>
      <c r="B276" s="10" t="inlineStr">
        <is>
          <t>Secciones necesarias</t>
        </is>
      </c>
      <c r="C276" s="25">
        <f>ROUNDUP(F272/(Datos_balance!$B$14*Datos_balance!$B$15),0)</f>
        <v/>
      </c>
      <c r="D276" s="2" t="n"/>
      <c r="E276" s="2" t="n"/>
      <c r="F276" s="9" t="n"/>
      <c r="G276" s="2" t="n"/>
      <c r="H276" s="2" t="n"/>
      <c r="I276" s="2" t="n"/>
    </row>
    <row r="277" ht="39.7" customHeight="1">
      <c r="A277" s="9" t="n"/>
      <c r="B277" s="10" t="inlineStr">
        <is>
          <t>Ancho del radiador (cm)</t>
        </is>
      </c>
      <c r="C277" s="25">
        <f>ROUNDUP(F272/(Datos_balance!$B$14*Datos_balance!$B$15),0)*Datos_balance!$B$16</f>
        <v/>
      </c>
      <c r="D277" s="2" t="n"/>
      <c r="E277" s="2" t="n"/>
      <c r="F277" s="9" t="n"/>
      <c r="G277" s="2" t="n"/>
      <c r="H277" s="2" t="n"/>
      <c r="I277" s="2" t="n"/>
    </row>
    <row r="278" ht="39.7" customHeight="1">
      <c r="A278" s="13" t="n"/>
      <c r="B278" s="14" t="inlineStr">
        <is>
          <t>Radiador adoptado</t>
        </is>
      </c>
      <c r="C278" s="13">
        <f>Datos_balance!$B$13</f>
        <v/>
      </c>
      <c r="D278" s="20" t="n"/>
      <c r="E278" s="20" t="n"/>
      <c r="F278" s="13" t="n"/>
      <c r="G278" s="2" t="n"/>
      <c r="H278" s="2" t="n"/>
      <c r="I278" s="2" t="n"/>
    </row>
    <row r="279">
      <c r="A279" s="2" t="n"/>
      <c r="B279" s="2" t="n"/>
      <c r="C279" s="2" t="n"/>
      <c r="D279" s="2" t="n"/>
      <c r="E279" s="2" t="n"/>
      <c r="F279" s="2" t="n"/>
      <c r="G279" s="2" t="n"/>
      <c r="H279" s="2" t="n"/>
      <c r="I279" s="2" t="n"/>
    </row>
    <row r="280">
      <c r="A280" s="2" t="n"/>
      <c r="B280" s="2" t="n"/>
      <c r="C280" s="2" t="n"/>
      <c r="D280" s="2" t="n"/>
      <c r="E280" s="2" t="n"/>
      <c r="F280" s="2" t="n"/>
      <c r="G280" s="2" t="n"/>
      <c r="H280" s="2" t="n"/>
      <c r="I280" s="2" t="n"/>
    </row>
    <row r="281" ht="39.7" customHeight="1">
      <c r="A281" s="5" t="inlineStr">
        <is>
          <t>LOCAL  14 - Play room   (PA)</t>
        </is>
      </c>
      <c r="B281" s="2" t="n"/>
      <c r="C281" s="2" t="n"/>
      <c r="D281" s="2" t="n"/>
      <c r="E281" s="2" t="n"/>
      <c r="F281" s="2" t="n"/>
      <c r="G281" s="2" t="n"/>
      <c r="H281" s="2" t="n"/>
      <c r="I281" s="2" t="n"/>
    </row>
    <row r="282" ht="39.7" customHeight="1">
      <c r="A282" s="3" t="inlineStr">
        <is>
          <t>Nro</t>
        </is>
      </c>
      <c r="B282" s="3" t="inlineStr">
        <is>
          <t>DESCRIPCION</t>
        </is>
      </c>
      <c r="C282" s="3" t="inlineStr">
        <is>
          <t>DIMENSIONES (m)</t>
        </is>
      </c>
      <c r="D282" s="3" t="inlineStr">
        <is>
          <t>AREA (m2)</t>
        </is>
      </c>
      <c r="E282" s="3" t="inlineStr">
        <is>
          <t>FACTOR</t>
        </is>
      </c>
      <c r="F282" s="3" t="inlineStr">
        <is>
          <t>PERDIDA CALOR (Kcal/h)</t>
        </is>
      </c>
      <c r="G282" s="2" t="n"/>
      <c r="H282" s="2" t="n"/>
      <c r="I282" s="2" t="n"/>
    </row>
    <row r="283" ht="39.7" customHeight="1">
      <c r="A283" s="16" t="inlineStr">
        <is>
          <t>1</t>
        </is>
      </c>
      <c r="B283" s="33" t="inlineStr">
        <is>
          <t>VENTANA</t>
        </is>
      </c>
      <c r="C283" s="9" t="n"/>
      <c r="D283" s="9" t="n"/>
      <c r="E283" s="9" t="n"/>
      <c r="F283" s="9" t="n"/>
      <c r="G283" s="2" t="n"/>
      <c r="H283" s="2" t="n"/>
      <c r="I283" s="2" t="n"/>
    </row>
    <row r="284" ht="62" customHeight="1">
      <c r="A284" s="9" t="n"/>
      <c r="B284" s="34" t="inlineStr">
        <is>
          <t>VA04 (2)</t>
        </is>
      </c>
      <c r="C284" s="9">
        <f>IF(COUNT(H284,I284)&lt;2,"",TEXT(H284,"0.00")&amp;" x "&amp;TEXT(I284,"0.00"))</f>
        <v/>
      </c>
      <c r="D284" s="8">
        <f>IF(COUNT(H284,I284)&lt;2,"",ROUND(H284*I284,2))</f>
        <v/>
      </c>
      <c r="E284" s="25" t="n">
        <v>60</v>
      </c>
      <c r="F284" s="28">
        <f>IF(D284="","",ROUND(D284*E284,1))</f>
        <v/>
      </c>
      <c r="G284" s="2" t="n"/>
      <c r="H284" s="35" t="n">
        <v>2</v>
      </c>
      <c r="I284" s="35" t="n">
        <v>2.52</v>
      </c>
    </row>
    <row r="285" ht="39.7" customHeight="1">
      <c r="A285" s="16" t="inlineStr">
        <is>
          <t>2</t>
        </is>
      </c>
      <c r="B285" s="33" t="inlineStr">
        <is>
          <t>PAREDES EXTERIORES</t>
        </is>
      </c>
      <c r="C285" s="9" t="n"/>
      <c r="D285" s="9" t="n"/>
      <c r="E285" s="9" t="n"/>
      <c r="F285" s="9" t="n"/>
      <c r="G285" s="2" t="n"/>
      <c r="H285" s="2" t="n"/>
      <c r="I285" s="2"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39.7" customHeight="1">
      <c r="A294" s="16" t="inlineStr">
        <is>
          <t>3</t>
        </is>
      </c>
      <c r="B294" s="33" t="inlineStr">
        <is>
          <t>TECHOS O CIELORRASOS</t>
        </is>
      </c>
      <c r="C294" s="9" t="n"/>
      <c r="D294" s="9" t="n"/>
      <c r="E294" s="9" t="n"/>
      <c r="F294" s="9" t="n"/>
      <c r="G294" s="2" t="n"/>
      <c r="H294" s="2" t="n"/>
      <c r="I294" s="2" t="n"/>
    </row>
    <row r="295" ht="62" customHeight="1">
      <c r="A295" s="9" t="n"/>
      <c r="B295" s="34" t="inlineStr">
        <is>
          <t>TECHO NO AISLADO</t>
        </is>
      </c>
      <c r="C295" s="9" t="inlineStr"/>
      <c r="D295" s="8">
        <f>IF(COUNT(H295,I295)&lt;2,"",ROUND(H295*I295,2))</f>
        <v/>
      </c>
      <c r="E295" s="25" t="n">
        <v>30</v>
      </c>
      <c r="F295" s="28">
        <f>IF(D295="","",ROUND(D295*E295,1))</f>
        <v/>
      </c>
      <c r="G295" s="2" t="n"/>
      <c r="H295" s="35" t="n"/>
      <c r="I295" s="35" t="n"/>
    </row>
    <row r="296" ht="39.7" customHeight="1">
      <c r="A296" s="9" t="n"/>
      <c r="B296" s="34" t="inlineStr">
        <is>
          <t>TECHO AISLADO</t>
        </is>
      </c>
      <c r="C296" s="9" t="inlineStr">
        <is>
          <t>por croquis</t>
        </is>
      </c>
      <c r="D296" s="8" t="n">
        <v>16.4</v>
      </c>
      <c r="E296" s="25" t="n">
        <v>20</v>
      </c>
      <c r="F296" s="28">
        <f>IF(D296="","",ROUND(D296*E296,1))</f>
        <v/>
      </c>
      <c r="G296" s="2" t="n"/>
      <c r="H296" s="35" t="n"/>
      <c r="I296" s="35" t="n"/>
    </row>
    <row r="297" ht="62" customHeight="1">
      <c r="A297" s="9" t="n"/>
      <c r="B297" s="34" t="inlineStr">
        <is>
          <t>TECHO ENTREPISO</t>
        </is>
      </c>
      <c r="C297" s="9" t="inlineStr"/>
      <c r="D297" s="8">
        <f>IF(COUNT(H297,I297)&lt;2,"",ROUND(H297*I297,2))</f>
        <v/>
      </c>
      <c r="E297" s="25" t="n">
        <v>15</v>
      </c>
      <c r="F297" s="28">
        <f>IF(D297="","",ROUND(D297*E297,1))</f>
        <v/>
      </c>
      <c r="G297" s="2" t="n"/>
      <c r="H297" s="35" t="n"/>
      <c r="I297" s="35" t="n"/>
    </row>
    <row r="298" ht="39.7" customHeight="1">
      <c r="A298" s="16" t="inlineStr">
        <is>
          <t>4</t>
        </is>
      </c>
      <c r="B298" s="33" t="inlineStr">
        <is>
          <t>PISO</t>
        </is>
      </c>
      <c r="C298" s="9" t="n"/>
      <c r="D298" s="9" t="n"/>
      <c r="E298" s="9" t="n"/>
      <c r="F298" s="9" t="n"/>
      <c r="G298" s="2" t="n"/>
      <c r="H298" s="2" t="n"/>
      <c r="I298" s="2" t="n"/>
    </row>
    <row r="299" ht="62" customHeight="1">
      <c r="A299" s="9" t="n"/>
      <c r="B299" s="34" t="inlineStr">
        <is>
          <t>SOBRE TIERRA</t>
        </is>
      </c>
      <c r="C299" s="9" t="inlineStr"/>
      <c r="D299" s="8">
        <f>IF(COUNT(H299,I299)&lt;2,"",ROUND(H299*I299,2))</f>
        <v/>
      </c>
      <c r="E299" s="25" t="n">
        <v>10</v>
      </c>
      <c r="F299" s="28">
        <f>IF(D299="","",ROUND(D299*E299,1))</f>
        <v/>
      </c>
      <c r="G299" s="2" t="n"/>
      <c r="H299" s="35" t="n"/>
      <c r="I299" s="35" t="n"/>
    </row>
    <row r="300" ht="39.7" customHeight="1">
      <c r="A300" s="9" t="n"/>
      <c r="B300" s="34" t="inlineStr">
        <is>
          <t>SOBRE LOCAL OCUPADO</t>
        </is>
      </c>
      <c r="C300" s="9" t="inlineStr">
        <is>
          <t>por croquis</t>
        </is>
      </c>
      <c r="D300" s="8" t="n">
        <v>16.4</v>
      </c>
      <c r="E300" s="25" t="n">
        <v>15</v>
      </c>
      <c r="F300" s="28">
        <f>IF(D300="","",ROUND(D300*E300,1))</f>
        <v/>
      </c>
      <c r="G300" s="2" t="n"/>
      <c r="H300" s="35" t="n"/>
      <c r="I300" s="35" t="n"/>
    </row>
    <row r="301" ht="39.7" customHeight="1">
      <c r="A301" s="16" t="inlineStr">
        <is>
          <t>5</t>
        </is>
      </c>
      <c r="B301" s="33" t="inlineStr">
        <is>
          <t>INFILTRACION</t>
        </is>
      </c>
      <c r="C301" s="9" t="n"/>
      <c r="D301" s="16" t="inlineStr">
        <is>
          <t>VOLUMEN (m3)</t>
        </is>
      </c>
      <c r="E301" s="9" t="n"/>
      <c r="F301" s="9" t="n"/>
      <c r="G301" s="2" t="n"/>
      <c r="H301" s="2" t="n"/>
      <c r="I301" s="2" t="n"/>
    </row>
    <row r="302" ht="62" customHeight="1">
      <c r="A302" s="9" t="n"/>
      <c r="B302" s="34" t="inlineStr">
        <is>
          <t>UNA PARED EXTERIOR</t>
        </is>
      </c>
      <c r="C302" s="9" t="inlineStr"/>
      <c r="D302" s="8">
        <f>IF(COUNT(H302,I302)&lt;2,"",ROUND(H302*I302,2))</f>
        <v/>
      </c>
      <c r="E302" s="25" t="n">
        <v>6</v>
      </c>
      <c r="F302" s="28">
        <f>IF(D302="","",ROUND(D302*E302,1))</f>
        <v/>
      </c>
      <c r="G302" s="2" t="n"/>
      <c r="H302" s="35" t="n"/>
      <c r="I302" s="35" t="n"/>
    </row>
    <row r="303" ht="39.7" customHeight="1">
      <c r="A303" s="9" t="n"/>
      <c r="B303" s="34" t="inlineStr">
        <is>
          <t>DOS PAREDES EXTERIORES</t>
        </is>
      </c>
      <c r="C303" s="9" t="inlineStr">
        <is>
          <t>16.40 m2 x 3.00</t>
        </is>
      </c>
      <c r="D303" s="8" t="n">
        <v>49.2</v>
      </c>
      <c r="E303" s="25" t="n">
        <v>9</v>
      </c>
      <c r="F303" s="28">
        <f>IF(D303="","",ROUND(D303*E303,1))</f>
        <v/>
      </c>
      <c r="G303" s="2" t="n"/>
      <c r="H303" s="35" t="n"/>
      <c r="I303" s="35" t="n"/>
    </row>
    <row r="304" ht="62" customHeight="1">
      <c r="A304" s="9" t="n"/>
      <c r="B304" s="34" t="inlineStr">
        <is>
          <t>TRES O MAS PAREDES EXTERIORES</t>
        </is>
      </c>
      <c r="C304" s="9" t="inlineStr"/>
      <c r="D304" s="8">
        <f>IF(COUNT(H304,I304)&lt;2,"",ROUND(H304*I304,2))</f>
        <v/>
      </c>
      <c r="E304" s="25" t="n">
        <v>12</v>
      </c>
      <c r="F304" s="28">
        <f>IF(D304="","",ROUND(D304*E304,1))</f>
        <v/>
      </c>
      <c r="G304" s="2" t="n"/>
      <c r="H304" s="35" t="n"/>
      <c r="I304" s="35" t="n"/>
    </row>
    <row r="305" ht="70" customHeight="1">
      <c r="A305" s="16" t="inlineStr">
        <is>
          <t>6</t>
        </is>
      </c>
      <c r="B305" s="33" t="inlineStr">
        <is>
          <t>SUBTOTAL</t>
        </is>
      </c>
      <c r="C305" s="9" t="n"/>
      <c r="D305" s="9" t="n"/>
      <c r="E305" s="9" t="n"/>
      <c r="F305" s="36">
        <f>IF(F284="",0,F284)+IF(F286="",0,F286)+IF(F287="",0,F287)+IF(F288="",0,F288)+IF(F289="",0,F289)+IF(F290="",0,F290)+IF(F291="",0,F291)+IF(F292="",0,F292)+IF(F293="",0,F293)+IF(F295="",0,F295)+IF(F296="",0,F296)+IF(F297="",0,F297)+IF(F299="",0,F299)+IF(F300="",0,F300)+IF(F302="",0,F302)+IF(F303="",0,F303)+IF(F304="",0,F304)</f>
        <v/>
      </c>
      <c r="G305" s="2" t="n"/>
      <c r="H305" s="2" t="n"/>
      <c r="I305" s="2" t="n"/>
    </row>
    <row r="306" ht="47" customHeight="1">
      <c r="A306" s="16" t="inlineStr">
        <is>
          <t>7</t>
        </is>
      </c>
      <c r="B306" s="33" t="inlineStr">
        <is>
          <t>PERDIDA TOTAL</t>
        </is>
      </c>
      <c r="C306" s="9">
        <f>TEXT(F305,"0.00")&amp;"  X  "&amp;Datos_balance!$B$4&amp;" (FI)  X  "&amp;Datos_balance!$B$5&amp;" (FO)  X  "&amp;Datos_balance!$B$6&amp;" (FZ)"</f>
        <v/>
      </c>
      <c r="D306" s="2" t="n"/>
      <c r="E306" s="2" t="n"/>
      <c r="F306" s="36">
        <f>ROUND(F305*Datos_balance!$B$4*Datos_balance!$B$5*Datos_balance!$B$6,1)</f>
        <v/>
      </c>
      <c r="G306" s="2" t="n"/>
      <c r="H306" s="2" t="n"/>
      <c r="I306" s="2" t="n"/>
    </row>
    <row r="307">
      <c r="A307" s="2" t="n"/>
      <c r="B307" s="2" t="n"/>
      <c r="C307" s="2" t="n"/>
      <c r="D307" s="2" t="n"/>
      <c r="E307" s="2" t="n"/>
      <c r="F307" s="2" t="n"/>
      <c r="G307" s="2" t="n"/>
      <c r="H307" s="2" t="n"/>
      <c r="I307" s="2" t="n"/>
    </row>
    <row r="308" ht="62" customHeight="1">
      <c r="A308" s="9" t="n"/>
      <c r="B308" s="10" t="inlineStr">
        <is>
          <t>Salto termico:  dt = (te+ts)/2 - ti</t>
        </is>
      </c>
      <c r="C308" s="9">
        <f>TEXT((Datos_balance!$B$9+Datos_balance!$B$10)/2,"0")&amp;" - "&amp;TEXT(Datos_balance!$B$11,"0")&amp;" = "&amp;TEXT((Datos_balance!$B$9+Datos_balance!$B$10)/2-Datos_balance!$B$11,"0")&amp;" C"</f>
        <v/>
      </c>
      <c r="D308" s="2" t="n"/>
      <c r="E308" s="2" t="n"/>
      <c r="F308" s="9" t="n"/>
      <c r="G308" s="2" t="n"/>
      <c r="H308" s="2" t="n"/>
      <c r="I308" s="2" t="n"/>
    </row>
    <row r="309" ht="39.7" customHeight="1">
      <c r="A309" s="9" t="n"/>
      <c r="B309" s="10" t="inlineStr">
        <is>
          <t>Kcal/h por seccion</t>
        </is>
      </c>
      <c r="C309" s="8">
        <f>ROUND(Datos_balance!$B$14*Datos_balance!$B$15,2)</f>
        <v/>
      </c>
      <c r="D309" s="2" t="n"/>
      <c r="E309" s="2" t="n"/>
      <c r="F309" s="9" t="n"/>
      <c r="G309" s="2" t="n"/>
      <c r="H309" s="2" t="n"/>
      <c r="I309" s="2" t="n"/>
    </row>
    <row r="310" ht="39.7" customHeight="1">
      <c r="A310" s="9" t="n"/>
      <c r="B310" s="10" t="inlineStr">
        <is>
          <t>Secciones necesarias</t>
        </is>
      </c>
      <c r="C310" s="25">
        <f>ROUNDUP(F306/(Datos_balance!$B$14*Datos_balance!$B$15),0)</f>
        <v/>
      </c>
      <c r="D310" s="2" t="n"/>
      <c r="E310" s="2" t="n"/>
      <c r="F310" s="9" t="n"/>
      <c r="G310" s="2" t="n"/>
      <c r="H310" s="2" t="n"/>
      <c r="I310" s="2" t="n"/>
    </row>
    <row r="311" ht="39.7" customHeight="1">
      <c r="A311" s="9" t="n"/>
      <c r="B311" s="10" t="inlineStr">
        <is>
          <t>Ancho del radiador (cm)</t>
        </is>
      </c>
      <c r="C311" s="25">
        <f>ROUNDUP(F306/(Datos_balance!$B$14*Datos_balance!$B$15),0)*Datos_balance!$B$16</f>
        <v/>
      </c>
      <c r="D311" s="2" t="n"/>
      <c r="E311" s="2" t="n"/>
      <c r="F311" s="9" t="n"/>
      <c r="G311" s="2" t="n"/>
      <c r="H311" s="2" t="n"/>
      <c r="I311" s="2" t="n"/>
    </row>
    <row r="312" ht="39.7" customHeight="1">
      <c r="A312" s="13" t="n"/>
      <c r="B312" s="14" t="inlineStr">
        <is>
          <t>Radiador adoptado</t>
        </is>
      </c>
      <c r="C312" s="13">
        <f>Datos_balance!$B$13</f>
        <v/>
      </c>
      <c r="D312" s="20" t="n"/>
      <c r="E312" s="20" t="n"/>
      <c r="F312" s="13" t="n"/>
      <c r="G312" s="2" t="n"/>
      <c r="H312" s="2" t="n"/>
      <c r="I312" s="2" t="n"/>
    </row>
    <row r="313">
      <c r="A313" s="2" t="n"/>
      <c r="B313" s="2" t="n"/>
      <c r="C313" s="2" t="n"/>
      <c r="D313" s="2" t="n"/>
      <c r="E313" s="2" t="n"/>
      <c r="F313" s="2" t="n"/>
      <c r="G313" s="2" t="n"/>
      <c r="H313" s="2" t="n"/>
      <c r="I313" s="2" t="n"/>
    </row>
    <row r="314">
      <c r="A314" s="2" t="n"/>
      <c r="B314" s="2" t="n"/>
      <c r="C314" s="2" t="n"/>
      <c r="D314" s="2" t="n"/>
      <c r="E314" s="2" t="n"/>
      <c r="F314" s="2" t="n"/>
      <c r="G314" s="2" t="n"/>
      <c r="H314" s="2" t="n"/>
      <c r="I314" s="2" t="n"/>
    </row>
    <row r="315" ht="39.7" customHeight="1">
      <c r="A315" s="5" t="inlineStr">
        <is>
          <t>LOCAL  15 - Dormitorio Sur   (PA)</t>
        </is>
      </c>
      <c r="B315" s="2" t="n"/>
      <c r="C315" s="2" t="n"/>
      <c r="D315" s="2" t="n"/>
      <c r="E315" s="2" t="n"/>
      <c r="F315" s="2" t="n"/>
      <c r="G315" s="2" t="n"/>
      <c r="H315" s="2" t="n"/>
      <c r="I315" s="2" t="n"/>
    </row>
    <row r="316" ht="39.7" customHeight="1">
      <c r="A316" s="3" t="inlineStr">
        <is>
          <t>Nro</t>
        </is>
      </c>
      <c r="B316" s="3" t="inlineStr">
        <is>
          <t>DESCRIPCION</t>
        </is>
      </c>
      <c r="C316" s="3" t="inlineStr">
        <is>
          <t>DIMENSIONES (m)</t>
        </is>
      </c>
      <c r="D316" s="3" t="inlineStr">
        <is>
          <t>AREA (m2)</t>
        </is>
      </c>
      <c r="E316" s="3" t="inlineStr">
        <is>
          <t>FACTOR</t>
        </is>
      </c>
      <c r="F316" s="3" t="inlineStr">
        <is>
          <t>PERDIDA CALOR (Kcal/h)</t>
        </is>
      </c>
      <c r="G316" s="2" t="n"/>
      <c r="H316" s="2" t="n"/>
      <c r="I316" s="2" t="n"/>
    </row>
    <row r="317" ht="39.7" customHeight="1">
      <c r="A317" s="16" t="inlineStr">
        <is>
          <t>1</t>
        </is>
      </c>
      <c r="B317" s="33" t="inlineStr">
        <is>
          <t>VENTANA</t>
        </is>
      </c>
      <c r="C317" s="9" t="n"/>
      <c r="D317" s="9" t="n"/>
      <c r="E317" s="9" t="n"/>
      <c r="F317" s="9" t="n"/>
      <c r="G317" s="2" t="n"/>
      <c r="H317" s="2" t="n"/>
      <c r="I317" s="2" t="n"/>
    </row>
    <row r="318" ht="62" customHeight="1">
      <c r="A318" s="9" t="n"/>
      <c r="B318" s="34" t="inlineStr">
        <is>
          <t>PV04</t>
        </is>
      </c>
      <c r="C318" s="9">
        <f>IF(COUNT(H318,I318)&lt;2,"",TEXT(H318,"0.00")&amp;" x "&amp;TEXT(I318,"0.00"))</f>
        <v/>
      </c>
      <c r="D318" s="8">
        <f>IF(COUNT(H318,I318)&lt;2,"",ROUND(H318*I318,2))</f>
        <v/>
      </c>
      <c r="E318" s="25" t="n">
        <v>60</v>
      </c>
      <c r="F318" s="28">
        <f>IF(D318="","",ROUND(D318*E318,1))</f>
        <v/>
      </c>
      <c r="G318" s="2" t="n"/>
      <c r="H318" s="35" t="n">
        <v>2.06</v>
      </c>
      <c r="I318" s="35" t="n">
        <v>3</v>
      </c>
    </row>
    <row r="319" ht="62" customHeight="1">
      <c r="A319" s="9" t="n"/>
      <c r="B319" s="34" t="inlineStr">
        <is>
          <t>PV04 (2)</t>
        </is>
      </c>
      <c r="C319" s="9">
        <f>IF(COUNT(H319,I319)&lt;2,"",TEXT(H319,"0.00")&amp;" x "&amp;TEXT(I319,"0.00"))</f>
        <v/>
      </c>
      <c r="D319" s="8">
        <f>IF(COUNT(H319,I319)&lt;2,"",ROUND(H319*I319,2))</f>
        <v/>
      </c>
      <c r="E319" s="25" t="n">
        <v>60</v>
      </c>
      <c r="F319" s="28">
        <f>IF(D319="","",ROUND(D319*E319,1))</f>
        <v/>
      </c>
      <c r="G319" s="2" t="n"/>
      <c r="H319" s="35" t="n">
        <v>1.5</v>
      </c>
      <c r="I319" s="35" t="n">
        <v>2.95</v>
      </c>
    </row>
    <row r="320" ht="39.7" customHeight="1">
      <c r="A320" s="16" t="inlineStr">
        <is>
          <t>2</t>
        </is>
      </c>
      <c r="B320" s="33" t="inlineStr">
        <is>
          <t>PAREDES EXTERIORES</t>
        </is>
      </c>
      <c r="C320" s="9" t="n"/>
      <c r="D320" s="9" t="n"/>
      <c r="E320" s="9" t="n"/>
      <c r="F320" s="9" t="n"/>
      <c r="G320" s="2" t="n"/>
      <c r="H320" s="2" t="n"/>
      <c r="I320" s="2"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39.7" customHeight="1">
      <c r="A329" s="16" t="inlineStr">
        <is>
          <t>3</t>
        </is>
      </c>
      <c r="B329" s="33" t="inlineStr">
        <is>
          <t>TECHOS O CIELORRASOS</t>
        </is>
      </c>
      <c r="C329" s="9" t="n"/>
      <c r="D329" s="9" t="n"/>
      <c r="E329" s="9" t="n"/>
      <c r="F329" s="9" t="n"/>
      <c r="G329" s="2" t="n"/>
      <c r="H329" s="2" t="n"/>
      <c r="I329" s="2" t="n"/>
    </row>
    <row r="330" ht="62" customHeight="1">
      <c r="A330" s="9" t="n"/>
      <c r="B330" s="34" t="inlineStr">
        <is>
          <t>TECHO NO AISLADO</t>
        </is>
      </c>
      <c r="C330" s="9" t="inlineStr"/>
      <c r="D330" s="8">
        <f>IF(COUNT(H330,I330)&lt;2,"",ROUND(H330*I330,2))</f>
        <v/>
      </c>
      <c r="E330" s="25" t="n">
        <v>30</v>
      </c>
      <c r="F330" s="28">
        <f>IF(D330="","",ROUND(D330*E330,1))</f>
        <v/>
      </c>
      <c r="G330" s="2" t="n"/>
      <c r="H330" s="35" t="n"/>
      <c r="I330" s="35" t="n"/>
    </row>
    <row r="331" ht="39.7" customHeight="1">
      <c r="A331" s="9" t="n"/>
      <c r="B331" s="34" t="inlineStr">
        <is>
          <t>TECHO AISLADO</t>
        </is>
      </c>
      <c r="C331" s="9" t="inlineStr">
        <is>
          <t>por croquis</t>
        </is>
      </c>
      <c r="D331" s="8" t="n">
        <v>14.17</v>
      </c>
      <c r="E331" s="25" t="n">
        <v>20</v>
      </c>
      <c r="F331" s="28">
        <f>IF(D331="","",ROUND(D331*E331,1))</f>
        <v/>
      </c>
      <c r="G331" s="2" t="n"/>
      <c r="H331" s="35" t="n"/>
      <c r="I331" s="35" t="n"/>
    </row>
    <row r="332" ht="62" customHeight="1">
      <c r="A332" s="9" t="n"/>
      <c r="B332" s="34" t="inlineStr">
        <is>
          <t>TECHO ENTREPISO</t>
        </is>
      </c>
      <c r="C332" s="9" t="inlineStr"/>
      <c r="D332" s="8">
        <f>IF(COUNT(H332,I332)&lt;2,"",ROUND(H332*I332,2))</f>
        <v/>
      </c>
      <c r="E332" s="25" t="n">
        <v>15</v>
      </c>
      <c r="F332" s="28">
        <f>IF(D332="","",ROUND(D332*E332,1))</f>
        <v/>
      </c>
      <c r="G332" s="2" t="n"/>
      <c r="H332" s="35" t="n"/>
      <c r="I332" s="35" t="n"/>
    </row>
    <row r="333" ht="39.7" customHeight="1">
      <c r="A333" s="16" t="inlineStr">
        <is>
          <t>4</t>
        </is>
      </c>
      <c r="B333" s="33" t="inlineStr">
        <is>
          <t>PISO</t>
        </is>
      </c>
      <c r="C333" s="9" t="n"/>
      <c r="D333" s="9" t="n"/>
      <c r="E333" s="9" t="n"/>
      <c r="F333" s="9" t="n"/>
      <c r="G333" s="2" t="n"/>
      <c r="H333" s="2" t="n"/>
      <c r="I333" s="2" t="n"/>
    </row>
    <row r="334" ht="62" customHeight="1">
      <c r="A334" s="9" t="n"/>
      <c r="B334" s="34" t="inlineStr">
        <is>
          <t>SOBRE TIERRA</t>
        </is>
      </c>
      <c r="C334" s="9" t="inlineStr"/>
      <c r="D334" s="8">
        <f>IF(COUNT(H334,I334)&lt;2,"",ROUND(H334*I334,2))</f>
        <v/>
      </c>
      <c r="E334" s="25" t="n">
        <v>10</v>
      </c>
      <c r="F334" s="28">
        <f>IF(D334="","",ROUND(D334*E334,1))</f>
        <v/>
      </c>
      <c r="G334" s="2" t="n"/>
      <c r="H334" s="35" t="n"/>
      <c r="I334" s="35" t="n"/>
    </row>
    <row r="335" ht="39.7" customHeight="1">
      <c r="A335" s="9" t="n"/>
      <c r="B335" s="34" t="inlineStr">
        <is>
          <t>SOBRE LOCAL OCUPADO</t>
        </is>
      </c>
      <c r="C335" s="9" t="inlineStr">
        <is>
          <t>por croquis</t>
        </is>
      </c>
      <c r="D335" s="8" t="n">
        <v>14.17</v>
      </c>
      <c r="E335" s="25" t="n">
        <v>15</v>
      </c>
      <c r="F335" s="28">
        <f>IF(D335="","",ROUND(D335*E335,1))</f>
        <v/>
      </c>
      <c r="G335" s="2" t="n"/>
      <c r="H335" s="35" t="n"/>
      <c r="I335" s="35" t="n"/>
    </row>
    <row r="336" ht="39.7" customHeight="1">
      <c r="A336" s="16" t="inlineStr">
        <is>
          <t>5</t>
        </is>
      </c>
      <c r="B336" s="33" t="inlineStr">
        <is>
          <t>INFILTRACION</t>
        </is>
      </c>
      <c r="C336" s="9" t="n"/>
      <c r="D336" s="16" t="inlineStr">
        <is>
          <t>VOLUMEN (m3)</t>
        </is>
      </c>
      <c r="E336" s="9" t="n"/>
      <c r="F336" s="9" t="n"/>
      <c r="G336" s="2" t="n"/>
      <c r="H336" s="2" t="n"/>
      <c r="I336" s="2" t="n"/>
    </row>
    <row r="337" ht="62" customHeight="1">
      <c r="A337" s="9" t="n"/>
      <c r="B337" s="34" t="inlineStr">
        <is>
          <t>UNA PARED EXTERIOR</t>
        </is>
      </c>
      <c r="C337" s="9" t="inlineStr"/>
      <c r="D337" s="8">
        <f>IF(COUNT(H337,I337)&lt;2,"",ROUND(H337*I337,2))</f>
        <v/>
      </c>
      <c r="E337" s="25" t="n">
        <v>6</v>
      </c>
      <c r="F337" s="28">
        <f>IF(D337="","",ROUND(D337*E337,1))</f>
        <v/>
      </c>
      <c r="G337" s="2" t="n"/>
      <c r="H337" s="35" t="n"/>
      <c r="I337" s="35" t="n"/>
    </row>
    <row r="338" ht="39.7" customHeight="1">
      <c r="A338" s="9" t="n"/>
      <c r="B338" s="34" t="inlineStr">
        <is>
          <t>DOS PAREDES EXTERIORES</t>
        </is>
      </c>
      <c r="C338" s="9" t="inlineStr">
        <is>
          <t>14.17 m2 x 3.00</t>
        </is>
      </c>
      <c r="D338" s="8" t="n">
        <v>42.51</v>
      </c>
      <c r="E338" s="25" t="n">
        <v>9</v>
      </c>
      <c r="F338" s="28">
        <f>IF(D338="","",ROUND(D338*E338,1))</f>
        <v/>
      </c>
      <c r="G338" s="2" t="n"/>
      <c r="H338" s="35" t="n"/>
      <c r="I338" s="35" t="n"/>
    </row>
    <row r="339" ht="62" customHeight="1">
      <c r="A339" s="9" t="n"/>
      <c r="B339" s="34" t="inlineStr">
        <is>
          <t>TRES O MAS PAREDES EXTERIORES</t>
        </is>
      </c>
      <c r="C339" s="9" t="inlineStr"/>
      <c r="D339" s="8">
        <f>IF(COUNT(H339,I339)&lt;2,"",ROUND(H339*I339,2))</f>
        <v/>
      </c>
      <c r="E339" s="25" t="n">
        <v>12</v>
      </c>
      <c r="F339" s="28">
        <f>IF(D339="","",ROUND(D339*E339,1))</f>
        <v/>
      </c>
      <c r="G339" s="2" t="n"/>
      <c r="H339" s="35" t="n"/>
      <c r="I339" s="35" t="n"/>
    </row>
    <row r="340" ht="70" customHeight="1">
      <c r="A340" s="16" t="inlineStr">
        <is>
          <t>6</t>
        </is>
      </c>
      <c r="B340" s="33" t="inlineStr">
        <is>
          <t>SUBTOTAL</t>
        </is>
      </c>
      <c r="C340" s="9" t="n"/>
      <c r="D340" s="9" t="n"/>
      <c r="E340" s="9" t="n"/>
      <c r="F340" s="36">
        <f>IF(F318="",0,F318)+IF(F319="",0,F319)+IF(F321="",0,F321)+IF(F322="",0,F322)+IF(F323="",0,F323)+IF(F324="",0,F324)+IF(F325="",0,F325)+IF(F326="",0,F326)+IF(F327="",0,F327)+IF(F328="",0,F328)+IF(F330="",0,F330)+IF(F331="",0,F331)+IF(F332="",0,F332)+IF(F334="",0,F334)+IF(F335="",0,F335)+IF(F337="",0,F337)+IF(F338="",0,F338)+IF(F339="",0,F339)</f>
        <v/>
      </c>
      <c r="G340" s="2" t="n"/>
      <c r="H340" s="2" t="n"/>
      <c r="I340" s="2" t="n"/>
    </row>
    <row r="341" ht="47" customHeight="1">
      <c r="A341" s="16" t="inlineStr">
        <is>
          <t>7</t>
        </is>
      </c>
      <c r="B341" s="33" t="inlineStr">
        <is>
          <t>PERDIDA TOTAL</t>
        </is>
      </c>
      <c r="C341" s="9">
        <f>TEXT(F340,"0.00")&amp;"  X  "&amp;Datos_balance!$B$4&amp;" (FI)  X  "&amp;Datos_balance!$B$5&amp;" (FO)  X  "&amp;Datos_balance!$B$6&amp;" (FZ)"</f>
        <v/>
      </c>
      <c r="D341" s="2" t="n"/>
      <c r="E341" s="2" t="n"/>
      <c r="F341" s="36">
        <f>ROUND(F340*Datos_balance!$B$4*Datos_balance!$B$5*Datos_balance!$B$6,1)</f>
        <v/>
      </c>
      <c r="G341" s="2" t="n"/>
      <c r="H341" s="2" t="n"/>
      <c r="I341" s="2" t="n"/>
    </row>
    <row r="342">
      <c r="A342" s="2" t="n"/>
      <c r="B342" s="2" t="n"/>
      <c r="C342" s="2" t="n"/>
      <c r="D342" s="2" t="n"/>
      <c r="E342" s="2" t="n"/>
      <c r="F342" s="2" t="n"/>
      <c r="G342" s="2" t="n"/>
      <c r="H342" s="2" t="n"/>
      <c r="I342" s="2" t="n"/>
    </row>
    <row r="343" ht="62" customHeight="1">
      <c r="A343" s="9" t="n"/>
      <c r="B343" s="10" t="inlineStr">
        <is>
          <t>Salto termico:  dt = (te+ts)/2 - ti</t>
        </is>
      </c>
      <c r="C343" s="9">
        <f>TEXT((Datos_balance!$B$9+Datos_balance!$B$10)/2,"0")&amp;" - "&amp;TEXT(Datos_balance!$B$11,"0")&amp;" = "&amp;TEXT((Datos_balance!$B$9+Datos_balance!$B$10)/2-Datos_balance!$B$11,"0")&amp;" C"</f>
        <v/>
      </c>
      <c r="D343" s="2" t="n"/>
      <c r="E343" s="2" t="n"/>
      <c r="F343" s="9" t="n"/>
      <c r="G343" s="2" t="n"/>
      <c r="H343" s="2" t="n"/>
      <c r="I343" s="2" t="n"/>
    </row>
    <row r="344" ht="39.7" customHeight="1">
      <c r="A344" s="9" t="n"/>
      <c r="B344" s="10" t="inlineStr">
        <is>
          <t>Kcal/h por seccion</t>
        </is>
      </c>
      <c r="C344" s="8">
        <f>ROUND(Datos_balance!$B$14*Datos_balance!$B$15,2)</f>
        <v/>
      </c>
      <c r="D344" s="2" t="n"/>
      <c r="E344" s="2" t="n"/>
      <c r="F344" s="9" t="n"/>
      <c r="G344" s="2" t="n"/>
      <c r="H344" s="2" t="n"/>
      <c r="I344" s="2" t="n"/>
    </row>
    <row r="345" ht="39.7" customHeight="1">
      <c r="A345" s="9" t="n"/>
      <c r="B345" s="10" t="inlineStr">
        <is>
          <t>Secciones necesarias</t>
        </is>
      </c>
      <c r="C345" s="25">
        <f>ROUNDUP(F341/(Datos_balance!$B$14*Datos_balance!$B$15),0)</f>
        <v/>
      </c>
      <c r="D345" s="2" t="n"/>
      <c r="E345" s="2" t="n"/>
      <c r="F345" s="9" t="n"/>
      <c r="G345" s="2" t="n"/>
      <c r="H345" s="2" t="n"/>
      <c r="I345" s="2" t="n"/>
    </row>
    <row r="346" ht="39.7" customHeight="1">
      <c r="A346" s="9" t="n"/>
      <c r="B346" s="10" t="inlineStr">
        <is>
          <t>Ancho del radiador (cm)</t>
        </is>
      </c>
      <c r="C346" s="25">
        <f>ROUNDUP(F341/(Datos_balance!$B$14*Datos_balance!$B$15),0)*Datos_balance!$B$16</f>
        <v/>
      </c>
      <c r="D346" s="2" t="n"/>
      <c r="E346" s="2" t="n"/>
      <c r="F346" s="9" t="n"/>
      <c r="G346" s="2" t="n"/>
      <c r="H346" s="2" t="n"/>
      <c r="I346" s="2" t="n"/>
    </row>
    <row r="347" ht="39.7" customHeight="1">
      <c r="A347" s="13" t="n"/>
      <c r="B347" s="14" t="inlineStr">
        <is>
          <t>Radiador adoptado</t>
        </is>
      </c>
      <c r="C347" s="13">
        <f>Datos_balance!$B$13</f>
        <v/>
      </c>
      <c r="D347" s="20" t="n"/>
      <c r="E347" s="20" t="n"/>
      <c r="F347" s="13"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ht="39.7" customHeight="1">
      <c r="A350" s="5" t="inlineStr">
        <is>
          <t>LOCAL  16 - Antebano   (PA)</t>
        </is>
      </c>
      <c r="B350" s="2" t="n"/>
      <c r="C350" s="2" t="n"/>
      <c r="D350" s="2" t="n"/>
      <c r="E350" s="2" t="n"/>
      <c r="F350" s="2" t="n"/>
      <c r="G350" s="2" t="n"/>
      <c r="H350" s="2" t="n"/>
      <c r="I350" s="2" t="n"/>
    </row>
    <row r="351" ht="39.7" customHeight="1">
      <c r="A351" s="3" t="inlineStr">
        <is>
          <t>Nro</t>
        </is>
      </c>
      <c r="B351" s="3" t="inlineStr">
        <is>
          <t>DESCRIPCION</t>
        </is>
      </c>
      <c r="C351" s="3" t="inlineStr">
        <is>
          <t>DIMENSIONES (m)</t>
        </is>
      </c>
      <c r="D351" s="3" t="inlineStr">
        <is>
          <t>AREA (m2)</t>
        </is>
      </c>
      <c r="E351" s="3" t="inlineStr">
        <is>
          <t>FACTOR</t>
        </is>
      </c>
      <c r="F351" s="3" t="inlineStr">
        <is>
          <t>PERDIDA CALOR (Kcal/h)</t>
        </is>
      </c>
      <c r="G351" s="2" t="n"/>
      <c r="H351" s="2" t="n"/>
      <c r="I351" s="2" t="n"/>
    </row>
    <row r="352" ht="39.7" customHeight="1">
      <c r="A352" s="16" t="inlineStr">
        <is>
          <t>1</t>
        </is>
      </c>
      <c r="B352" s="33" t="inlineStr">
        <is>
          <t>VENTANA</t>
        </is>
      </c>
      <c r="C352" s="9" t="n"/>
      <c r="D352" s="9" t="n"/>
      <c r="E352" s="9" t="n"/>
      <c r="F352" s="9" t="n"/>
      <c r="G352" s="2" t="n"/>
      <c r="H352" s="2" t="n"/>
      <c r="I352" s="2" t="n"/>
    </row>
    <row r="353" ht="62" customHeight="1">
      <c r="A353" s="9" t="n"/>
      <c r="B353" s="34" t="inlineStr">
        <is>
          <t>(sin aberturas)</t>
        </is>
      </c>
      <c r="C353" s="9">
        <f>IF(COUNT(H353,I353)&lt;2,"",TEXT(H353,"0.00")&amp;" x "&amp;TEXT(I353,"0.00"))</f>
        <v/>
      </c>
      <c r="D353" s="8">
        <f>IF(COUNT(H353,I353)&lt;2,"",ROUND(H353*I353,2))</f>
        <v/>
      </c>
      <c r="E353" s="25" t="n">
        <v>60</v>
      </c>
      <c r="F353" s="28">
        <f>IF(D353="","",ROUND(D353*E353,1))</f>
        <v/>
      </c>
      <c r="G353" s="2" t="n"/>
      <c r="H353" s="35" t="n"/>
      <c r="I353" s="35" t="n"/>
    </row>
    <row r="354" ht="39.7" customHeight="1">
      <c r="A354" s="16" t="inlineStr">
        <is>
          <t>2</t>
        </is>
      </c>
      <c r="B354" s="33" t="inlineStr">
        <is>
          <t>PAREDES EXTERIORES</t>
        </is>
      </c>
      <c r="C354" s="9" t="n"/>
      <c r="D354" s="9" t="n"/>
      <c r="E354" s="9" t="n"/>
      <c r="F354" s="9" t="n"/>
      <c r="G354" s="2" t="n"/>
      <c r="H354" s="2" t="n"/>
      <c r="I354" s="2"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3.9</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1.5</v>
      </c>
      <c r="I360" s="35" t="n">
        <v>3</v>
      </c>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3.9</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1.5</v>
      </c>
      <c r="I362" s="35" t="n">
        <v>3</v>
      </c>
    </row>
    <row r="363" ht="39.7" customHeight="1">
      <c r="A363" s="16" t="inlineStr">
        <is>
          <t>3</t>
        </is>
      </c>
      <c r="B363" s="33" t="inlineStr">
        <is>
          <t>TECHOS O CIELORRASOS</t>
        </is>
      </c>
      <c r="C363" s="9" t="n"/>
      <c r="D363" s="9" t="n"/>
      <c r="E363" s="9" t="n"/>
      <c r="F363" s="9" t="n"/>
      <c r="G363" s="2" t="n"/>
      <c r="H363" s="2" t="n"/>
      <c r="I363" s="2" t="n"/>
    </row>
    <row r="364" ht="62" customHeight="1">
      <c r="A364" s="9" t="n"/>
      <c r="B364" s="34" t="inlineStr">
        <is>
          <t>TECHO NO AISLADO</t>
        </is>
      </c>
      <c r="C364" s="9" t="inlineStr"/>
      <c r="D364" s="8">
        <f>IF(COUNT(H364,I364)&lt;2,"",ROUND(H364*I364,2))</f>
        <v/>
      </c>
      <c r="E364" s="25" t="n">
        <v>30</v>
      </c>
      <c r="F364" s="28">
        <f>IF(D364="","",ROUND(D364*E364,1))</f>
        <v/>
      </c>
      <c r="G364" s="2" t="n"/>
      <c r="H364" s="35" t="n"/>
      <c r="I364" s="35" t="n"/>
    </row>
    <row r="365" ht="39.7" customHeight="1">
      <c r="A365" s="9" t="n"/>
      <c r="B365" s="34" t="inlineStr">
        <is>
          <t>TECHO AISLADO</t>
        </is>
      </c>
      <c r="C365" s="9" t="inlineStr">
        <is>
          <t>por croquis</t>
        </is>
      </c>
      <c r="D365" s="8" t="n">
        <v>5.85</v>
      </c>
      <c r="E365" s="25" t="n">
        <v>20</v>
      </c>
      <c r="F365" s="28">
        <f>IF(D365="","",ROUND(D365*E365,1))</f>
        <v/>
      </c>
      <c r="G365" s="2" t="n"/>
      <c r="H365" s="35" t="n"/>
      <c r="I365" s="35" t="n"/>
    </row>
    <row r="366" ht="62" customHeight="1">
      <c r="A366" s="9" t="n"/>
      <c r="B366" s="34" t="inlineStr">
        <is>
          <t>TECHO ENTREPISO</t>
        </is>
      </c>
      <c r="C366" s="9" t="inlineStr"/>
      <c r="D366" s="8">
        <f>IF(COUNT(H366,I366)&lt;2,"",ROUND(H366*I366,2))</f>
        <v/>
      </c>
      <c r="E366" s="25" t="n">
        <v>15</v>
      </c>
      <c r="F366" s="28">
        <f>IF(D366="","",ROUND(D366*E366,1))</f>
        <v/>
      </c>
      <c r="G366" s="2" t="n"/>
      <c r="H366" s="35" t="n"/>
      <c r="I366" s="35" t="n"/>
    </row>
    <row r="367" ht="39.7" customHeight="1">
      <c r="A367" s="16" t="inlineStr">
        <is>
          <t>4</t>
        </is>
      </c>
      <c r="B367" s="33" t="inlineStr">
        <is>
          <t>PISO</t>
        </is>
      </c>
      <c r="C367" s="9" t="n"/>
      <c r="D367" s="9" t="n"/>
      <c r="E367" s="9" t="n"/>
      <c r="F367" s="9" t="n"/>
      <c r="G367" s="2" t="n"/>
      <c r="H367" s="2" t="n"/>
      <c r="I367" s="2" t="n"/>
    </row>
    <row r="368" ht="62" customHeight="1">
      <c r="A368" s="9" t="n"/>
      <c r="B368" s="34" t="inlineStr">
        <is>
          <t>SOBRE TIERRA</t>
        </is>
      </c>
      <c r="C368" s="9" t="inlineStr"/>
      <c r="D368" s="8">
        <f>IF(COUNT(H368,I368)&lt;2,"",ROUND(H368*I368,2))</f>
        <v/>
      </c>
      <c r="E368" s="25" t="n">
        <v>10</v>
      </c>
      <c r="F368" s="28">
        <f>IF(D368="","",ROUND(D368*E368,1))</f>
        <v/>
      </c>
      <c r="G368" s="2" t="n"/>
      <c r="H368" s="35" t="n"/>
      <c r="I368" s="35" t="n"/>
    </row>
    <row r="369" ht="39.7" customHeight="1">
      <c r="A369" s="9" t="n"/>
      <c r="B369" s="34" t="inlineStr">
        <is>
          <t>SOBRE LOCAL OCUPADO</t>
        </is>
      </c>
      <c r="C369" s="9" t="inlineStr">
        <is>
          <t>por croquis</t>
        </is>
      </c>
      <c r="D369" s="8" t="n">
        <v>5.85</v>
      </c>
      <c r="E369" s="25" t="n">
        <v>15</v>
      </c>
      <c r="F369" s="28">
        <f>IF(D369="","",ROUND(D369*E369,1))</f>
        <v/>
      </c>
      <c r="G369" s="2" t="n"/>
      <c r="H369" s="35" t="n"/>
      <c r="I369" s="35" t="n"/>
    </row>
    <row r="370" ht="39.7" customHeight="1">
      <c r="A370" s="16" t="inlineStr">
        <is>
          <t>5</t>
        </is>
      </c>
      <c r="B370" s="33" t="inlineStr">
        <is>
          <t>INFILTRACION</t>
        </is>
      </c>
      <c r="C370" s="9" t="n"/>
      <c r="D370" s="16" t="inlineStr">
        <is>
          <t>VOLUMEN (m3)</t>
        </is>
      </c>
      <c r="E370" s="9" t="n"/>
      <c r="F370" s="9" t="n"/>
      <c r="G370" s="2" t="n"/>
      <c r="H370" s="2" t="n"/>
      <c r="I370" s="2" t="n"/>
    </row>
    <row r="371" ht="39.7" customHeight="1">
      <c r="A371" s="9" t="n"/>
      <c r="B371" s="34" t="inlineStr">
        <is>
          <t>UNA PARED EXTERIOR</t>
        </is>
      </c>
      <c r="C371" s="9" t="inlineStr">
        <is>
          <t>5.85 m2 x 3.00</t>
        </is>
      </c>
      <c r="D371" s="8" t="n">
        <v>17.55</v>
      </c>
      <c r="E371" s="25" t="n">
        <v>6</v>
      </c>
      <c r="F371" s="28">
        <f>IF(D371="","",ROUND(D371*E371,1))</f>
        <v/>
      </c>
      <c r="G371" s="2" t="n"/>
      <c r="H371" s="35" t="n"/>
      <c r="I371" s="35" t="n"/>
    </row>
    <row r="372" ht="62" customHeight="1">
      <c r="A372" s="9" t="n"/>
      <c r="B372" s="34" t="inlineStr">
        <is>
          <t>DOS PAREDES EXTERIORES</t>
        </is>
      </c>
      <c r="C372" s="9" t="inlineStr"/>
      <c r="D372" s="8">
        <f>IF(COUNT(H372,I372)&lt;2,"",ROUND(H372*I372,2))</f>
        <v/>
      </c>
      <c r="E372" s="25" t="n">
        <v>9</v>
      </c>
      <c r="F372" s="28">
        <f>IF(D372="","",ROUND(D372*E372,1))</f>
        <v/>
      </c>
      <c r="G372" s="2" t="n"/>
      <c r="H372" s="35" t="n"/>
      <c r="I372" s="35" t="n"/>
    </row>
    <row r="373" ht="62" customHeight="1">
      <c r="A373" s="9" t="n"/>
      <c r="B373" s="34" t="inlineStr">
        <is>
          <t>TRES O MAS PAREDES EXTERIORES</t>
        </is>
      </c>
      <c r="C373" s="9" t="inlineStr"/>
      <c r="D373" s="8">
        <f>IF(COUNT(H373,I373)&lt;2,"",ROUND(H373*I373,2))</f>
        <v/>
      </c>
      <c r="E373" s="25" t="n">
        <v>12</v>
      </c>
      <c r="F373" s="28">
        <f>IF(D373="","",ROUND(D373*E373,1))</f>
        <v/>
      </c>
      <c r="G373" s="2" t="n"/>
      <c r="H373" s="35" t="n"/>
      <c r="I373" s="35" t="n"/>
    </row>
    <row r="374" ht="70" customHeight="1">
      <c r="A374" s="16" t="inlineStr">
        <is>
          <t>6</t>
        </is>
      </c>
      <c r="B374" s="33" t="inlineStr">
        <is>
          <t>SUBTOTAL</t>
        </is>
      </c>
      <c r="C374" s="9" t="n"/>
      <c r="D374" s="9" t="n"/>
      <c r="E374" s="9" t="n"/>
      <c r="F374" s="36">
        <f>IF(F353="",0,F353)+IF(F355="",0,F355)+IF(F356="",0,F356)+IF(F357="",0,F357)+IF(F358="",0,F358)+IF(F359="",0,F359)+IF(F360="",0,F360)+IF(F361="",0,F361)+IF(F362="",0,F362)+IF(F364="",0,F364)+IF(F365="",0,F365)+IF(F366="",0,F366)+IF(F368="",0,F368)+IF(F369="",0,F369)+IF(F371="",0,F371)+IF(F372="",0,F372)+IF(F373="",0,F373)</f>
        <v/>
      </c>
      <c r="G374" s="2" t="n"/>
      <c r="H374" s="2" t="n"/>
      <c r="I374" s="2" t="n"/>
    </row>
    <row r="375" ht="47" customHeight="1">
      <c r="A375" s="16" t="inlineStr">
        <is>
          <t>7</t>
        </is>
      </c>
      <c r="B375" s="33" t="inlineStr">
        <is>
          <t>PERDIDA TOTAL</t>
        </is>
      </c>
      <c r="C375" s="9">
        <f>TEXT(F374,"0.00")&amp;"  X  "&amp;Datos_balance!$B$4&amp;" (FI)  X  "&amp;Datos_balance!$B$5&amp;" (FO)  X  "&amp;Datos_balance!$B$6&amp;" (FZ)"</f>
        <v/>
      </c>
      <c r="D375" s="2" t="n"/>
      <c r="E375" s="2" t="n"/>
      <c r="F375" s="36">
        <f>ROUND(F374*Datos_balance!$B$4*Datos_balance!$B$5*Datos_balance!$B$6,1)</f>
        <v/>
      </c>
      <c r="G375" s="2" t="n"/>
      <c r="H375" s="2" t="n"/>
      <c r="I375" s="2" t="n"/>
    </row>
    <row r="376">
      <c r="A376" s="2" t="n"/>
      <c r="B376" s="2" t="n"/>
      <c r="C376" s="2" t="n"/>
      <c r="D376" s="2" t="n"/>
      <c r="E376" s="2" t="n"/>
      <c r="F376" s="2" t="n"/>
      <c r="G376" s="2" t="n"/>
      <c r="H376" s="2" t="n"/>
      <c r="I376" s="2" t="n"/>
    </row>
    <row r="377" ht="62" customHeight="1">
      <c r="A377" s="9" t="n"/>
      <c r="B377" s="10" t="inlineStr">
        <is>
          <t>Salto termico:  dt = (te+ts)/2 - ti</t>
        </is>
      </c>
      <c r="C377" s="9">
        <f>TEXT((Datos_balance!$B$9+Datos_balance!$B$10)/2,"0")&amp;" - "&amp;TEXT(Datos_balance!$B$11,"0")&amp;" = "&amp;TEXT((Datos_balance!$B$9+Datos_balance!$B$10)/2-Datos_balance!$B$11,"0")&amp;" C"</f>
        <v/>
      </c>
      <c r="D377" s="2" t="n"/>
      <c r="E377" s="2" t="n"/>
      <c r="F377" s="9" t="n"/>
      <c r="G377" s="2" t="n"/>
      <c r="H377" s="2" t="n"/>
      <c r="I377" s="2" t="n"/>
    </row>
    <row r="378" ht="39.7" customHeight="1">
      <c r="A378" s="9" t="n"/>
      <c r="B378" s="10" t="inlineStr">
        <is>
          <t>Kcal/h por seccion</t>
        </is>
      </c>
      <c r="C378" s="8">
        <f>ROUND(Datos_balance!$B$14*Datos_balance!$B$15,2)</f>
        <v/>
      </c>
      <c r="D378" s="2" t="n"/>
      <c r="E378" s="2" t="n"/>
      <c r="F378" s="9" t="n"/>
      <c r="G378" s="2" t="n"/>
      <c r="H378" s="2" t="n"/>
      <c r="I378" s="2" t="n"/>
    </row>
    <row r="379" ht="39.7" customHeight="1">
      <c r="A379" s="9" t="n"/>
      <c r="B379" s="10" t="inlineStr">
        <is>
          <t>Secciones necesarias</t>
        </is>
      </c>
      <c r="C379" s="25">
        <f>ROUNDUP(F375/(Datos_balance!$B$14*Datos_balance!$B$15),0)</f>
        <v/>
      </c>
      <c r="D379" s="2" t="n"/>
      <c r="E379" s="2" t="n"/>
      <c r="F379" s="9" t="n"/>
      <c r="G379" s="2" t="n"/>
      <c r="H379" s="2" t="n"/>
      <c r="I379" s="2" t="n"/>
    </row>
    <row r="380" ht="39.7" customHeight="1">
      <c r="A380" s="9" t="n"/>
      <c r="B380" s="10" t="inlineStr">
        <is>
          <t>Ancho del radiador (cm)</t>
        </is>
      </c>
      <c r="C380" s="25">
        <f>ROUNDUP(F375/(Datos_balance!$B$14*Datos_balance!$B$15),0)*Datos_balance!$B$16</f>
        <v/>
      </c>
      <c r="D380" s="2" t="n"/>
      <c r="E380" s="2" t="n"/>
      <c r="F380" s="9" t="n"/>
      <c r="G380" s="2" t="n"/>
      <c r="H380" s="2" t="n"/>
      <c r="I380" s="2" t="n"/>
    </row>
    <row r="381" ht="39.7" customHeight="1">
      <c r="A381" s="13" t="n"/>
      <c r="B381" s="14" t="inlineStr">
        <is>
          <t>Radiador adoptado</t>
        </is>
      </c>
      <c r="C381" s="13">
        <f>Datos_balance!$B$13</f>
        <v/>
      </c>
      <c r="D381" s="20" t="n"/>
      <c r="E381" s="20" t="n"/>
      <c r="F381" s="13" t="n"/>
      <c r="G381" s="2" t="n"/>
      <c r="H381" s="2" t="n"/>
      <c r="I381" s="2" t="n"/>
    </row>
    <row r="382">
      <c r="A382" s="2" t="n"/>
      <c r="B382" s="2" t="n"/>
      <c r="C382" s="2" t="n"/>
      <c r="D382" s="2" t="n"/>
      <c r="E382" s="2" t="n"/>
      <c r="F382" s="2" t="n"/>
      <c r="G382" s="2" t="n"/>
      <c r="H382" s="2" t="n"/>
      <c r="I382" s="2" t="n"/>
    </row>
    <row r="383">
      <c r="A383" s="2" t="n"/>
      <c r="B383" s="2" t="n"/>
      <c r="C383" s="2" t="n"/>
      <c r="D383" s="2" t="n"/>
      <c r="E383" s="2" t="n"/>
      <c r="F383" s="2" t="n"/>
      <c r="G383" s="2" t="n"/>
      <c r="H383" s="2" t="n"/>
      <c r="I383" s="2" t="n"/>
    </row>
    <row r="384" ht="39.7" customHeight="1">
      <c r="A384" s="5" t="inlineStr">
        <is>
          <t>LOCAL  17 - Bano   (PA)</t>
        </is>
      </c>
      <c r="B384" s="2" t="n"/>
      <c r="C384" s="2" t="n"/>
      <c r="D384" s="2" t="n"/>
      <c r="E384" s="2" t="n"/>
      <c r="F384" s="2" t="n"/>
      <c r="G384" s="2" t="n"/>
      <c r="H384" s="2" t="n"/>
      <c r="I384" s="2" t="n"/>
    </row>
    <row r="385" ht="39.7" customHeight="1">
      <c r="A385" s="3" t="inlineStr">
        <is>
          <t>Nro</t>
        </is>
      </c>
      <c r="B385" s="3" t="inlineStr">
        <is>
          <t>DESCRIPCION</t>
        </is>
      </c>
      <c r="C385" s="3" t="inlineStr">
        <is>
          <t>DIMENSIONES (m)</t>
        </is>
      </c>
      <c r="D385" s="3" t="inlineStr">
        <is>
          <t>AREA (m2)</t>
        </is>
      </c>
      <c r="E385" s="3" t="inlineStr">
        <is>
          <t>FACTOR</t>
        </is>
      </c>
      <c r="F385" s="3" t="inlineStr">
        <is>
          <t>PERDIDA CALOR (Kcal/h)</t>
        </is>
      </c>
      <c r="G385" s="2" t="n"/>
      <c r="H385" s="2" t="n"/>
      <c r="I385" s="2" t="n"/>
    </row>
    <row r="386" ht="39.7" customHeight="1">
      <c r="A386" s="16" t="inlineStr">
        <is>
          <t>1</t>
        </is>
      </c>
      <c r="B386" s="33" t="inlineStr">
        <is>
          <t>VENTANA</t>
        </is>
      </c>
      <c r="C386" s="9" t="n"/>
      <c r="D386" s="9" t="n"/>
      <c r="E386" s="9" t="n"/>
      <c r="F386" s="9" t="n"/>
      <c r="G386" s="2" t="n"/>
      <c r="H386" s="2" t="n"/>
      <c r="I386" s="2" t="n"/>
    </row>
    <row r="387" ht="62" customHeight="1">
      <c r="A387" s="9" t="n"/>
      <c r="B387" s="34" t="inlineStr">
        <is>
          <t>VA03</t>
        </is>
      </c>
      <c r="C387" s="9">
        <f>IF(COUNT(H387,I387)&lt;2,"",TEXT(H387,"0.00")&amp;" x "&amp;TEXT(I387,"0.00"))</f>
        <v/>
      </c>
      <c r="D387" s="8">
        <f>IF(COUNT(H387,I387)&lt;2,"",ROUND(H387*I387,2))</f>
        <v/>
      </c>
      <c r="E387" s="25" t="n">
        <v>60</v>
      </c>
      <c r="F387" s="28">
        <f>IF(D387="","",ROUND(D387*E387,1))</f>
        <v/>
      </c>
      <c r="G387" s="2" t="n"/>
      <c r="H387" s="35" t="n">
        <v>0.75</v>
      </c>
      <c r="I387" s="35" t="n">
        <v>2.52</v>
      </c>
    </row>
    <row r="388" ht="39.7" customHeight="1">
      <c r="A388" s="16" t="inlineStr">
        <is>
          <t>2</t>
        </is>
      </c>
      <c r="B388" s="33" t="inlineStr">
        <is>
          <t>PAREDES EXTERIORES</t>
        </is>
      </c>
      <c r="C388" s="9" t="n"/>
      <c r="D388" s="9" t="n"/>
      <c r="E388" s="9" t="n"/>
      <c r="F388" s="9" t="n"/>
      <c r="G388" s="2" t="n"/>
      <c r="H388" s="2" t="n"/>
      <c r="I388" s="2" t="n"/>
    </row>
    <row r="389" ht="62" customHeight="1">
      <c r="A389" s="9" t="n"/>
      <c r="B389" s="34" t="inlineStr">
        <is>
          <t>AISLADAS (    )</t>
        </is>
      </c>
      <c r="C389" s="9">
        <f>IF(COUNT(H389,I389)&lt;2,"",TEXT(H389,"0.00")&amp;" x "&amp;TEXT(I389,"0.00"))</f>
        <v/>
      </c>
      <c r="D389" s="8">
        <f>IF(COUNT(H389,I389)&lt;2,"",ROUND(H389*I389,2))</f>
        <v/>
      </c>
      <c r="E389" s="25" t="n">
        <v>20</v>
      </c>
      <c r="F389" s="28">
        <f>IF(D389="","",ROUND(D389*E389,1))</f>
        <v/>
      </c>
      <c r="G389" s="2" t="n"/>
      <c r="H389" s="35" t="n"/>
      <c r="I389" s="35" t="n"/>
    </row>
    <row r="390" ht="62" customHeight="1">
      <c r="A390" s="9" t="n"/>
      <c r="B390" s="34" t="inlineStr">
        <is>
          <t>AISLADAS (    )</t>
        </is>
      </c>
      <c r="C390" s="9">
        <f>IF(COUNT(H390,I390)&lt;2,"",TEXT(H390,"0.00")&amp;" x "&amp;TEXT(I390,"0.00"))</f>
        <v/>
      </c>
      <c r="D390" s="8">
        <f>IF(COUNT(H390,I390)&lt;2,"",ROUND(H390*I390,2))</f>
        <v/>
      </c>
      <c r="E390" s="25" t="n">
        <v>20</v>
      </c>
      <c r="F390" s="28">
        <f>IF(D390="","",ROUND(D390*E390,1))</f>
        <v/>
      </c>
      <c r="G390" s="2" t="n"/>
      <c r="H390" s="35" t="n"/>
      <c r="I390" s="35"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INTERIORES (    )</t>
        </is>
      </c>
      <c r="C393" s="9">
        <f>IF(COUNT(H393,I393)&lt;2,"",TEXT(H393,"0.00")&amp;" x "&amp;TEXT(I393,"0.00"))</f>
        <v/>
      </c>
      <c r="D393" s="8">
        <f>IF(COUNT(H393,I393)&lt;2,"",ROUND(H393*I393,2))</f>
        <v/>
      </c>
      <c r="E393" s="25" t="n">
        <v>25</v>
      </c>
      <c r="F393" s="28">
        <f>IF(D393="","",ROUND(D393*E393,1))</f>
        <v/>
      </c>
      <c r="G393" s="2" t="n"/>
      <c r="H393" s="35" t="n">
        <v>2.2</v>
      </c>
      <c r="I393" s="35" t="n">
        <v>3</v>
      </c>
    </row>
    <row r="394" ht="62" customHeight="1">
      <c r="A394" s="9" t="n"/>
      <c r="B394" s="34" t="inlineStr">
        <is>
          <t>INTERIORES (    )</t>
        </is>
      </c>
      <c r="C394" s="9">
        <f>IF(COUNT(H394,I394)&lt;2,"",TEXT(H394,"0.00")&amp;" x "&amp;TEXT(I394,"0.00"))</f>
        <v/>
      </c>
      <c r="D394" s="8">
        <f>IF(COUNT(H394,I394)&lt;2,"",ROUND(H394*I394,2))</f>
        <v/>
      </c>
      <c r="E394" s="25" t="n">
        <v>25</v>
      </c>
      <c r="F394" s="28">
        <f>IF(D394="","",ROUND(D394*E394,1))</f>
        <v/>
      </c>
      <c r="G394" s="2" t="n"/>
      <c r="H394" s="35" t="n">
        <v>1.6</v>
      </c>
      <c r="I394" s="35" t="n">
        <v>3</v>
      </c>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39.7" customHeight="1">
      <c r="A397" s="16" t="inlineStr">
        <is>
          <t>3</t>
        </is>
      </c>
      <c r="B397" s="33" t="inlineStr">
        <is>
          <t>TECHOS O CIELORRASOS</t>
        </is>
      </c>
      <c r="C397" s="9" t="n"/>
      <c r="D397" s="9" t="n"/>
      <c r="E397" s="9" t="n"/>
      <c r="F397" s="9" t="n"/>
      <c r="G397" s="2" t="n"/>
      <c r="H397" s="2" t="n"/>
      <c r="I397" s="2" t="n"/>
    </row>
    <row r="398" ht="62" customHeight="1">
      <c r="A398" s="9" t="n"/>
      <c r="B398" s="34" t="inlineStr">
        <is>
          <t>TECHO NO AISLADO</t>
        </is>
      </c>
      <c r="C398" s="9" t="inlineStr"/>
      <c r="D398" s="8">
        <f>IF(COUNT(H398,I398)&lt;2,"",ROUND(H398*I398,2))</f>
        <v/>
      </c>
      <c r="E398" s="25" t="n">
        <v>30</v>
      </c>
      <c r="F398" s="28">
        <f>IF(D398="","",ROUND(D398*E398,1))</f>
        <v/>
      </c>
      <c r="G398" s="2" t="n"/>
      <c r="H398" s="35" t="n"/>
      <c r="I398" s="35" t="n"/>
    </row>
    <row r="399" ht="39.7" customHeight="1">
      <c r="A399" s="9" t="n"/>
      <c r="B399" s="34" t="inlineStr">
        <is>
          <t>TECHO AISLADO</t>
        </is>
      </c>
      <c r="C399" s="9" t="inlineStr">
        <is>
          <t>por croquis</t>
        </is>
      </c>
      <c r="D399" s="8" t="n">
        <v>3.52</v>
      </c>
      <c r="E399" s="25" t="n">
        <v>20</v>
      </c>
      <c r="F399" s="28">
        <f>IF(D399="","",ROUND(D399*E399,1))</f>
        <v/>
      </c>
      <c r="G399" s="2" t="n"/>
      <c r="H399" s="35" t="n"/>
      <c r="I399" s="35" t="n"/>
    </row>
    <row r="400" ht="62" customHeight="1">
      <c r="A400" s="9" t="n"/>
      <c r="B400" s="34" t="inlineStr">
        <is>
          <t>TECHO ENTREPISO</t>
        </is>
      </c>
      <c r="C400" s="9" t="inlineStr"/>
      <c r="D400" s="8">
        <f>IF(COUNT(H400,I400)&lt;2,"",ROUND(H400*I400,2))</f>
        <v/>
      </c>
      <c r="E400" s="25" t="n">
        <v>15</v>
      </c>
      <c r="F400" s="28">
        <f>IF(D400="","",ROUND(D400*E400,1))</f>
        <v/>
      </c>
      <c r="G400" s="2" t="n"/>
      <c r="H400" s="35" t="n"/>
      <c r="I400" s="35" t="n"/>
    </row>
    <row r="401" ht="39.7" customHeight="1">
      <c r="A401" s="16" t="inlineStr">
        <is>
          <t>4</t>
        </is>
      </c>
      <c r="B401" s="33" t="inlineStr">
        <is>
          <t>PISO</t>
        </is>
      </c>
      <c r="C401" s="9" t="n"/>
      <c r="D401" s="9" t="n"/>
      <c r="E401" s="9" t="n"/>
      <c r="F401" s="9" t="n"/>
      <c r="G401" s="2" t="n"/>
      <c r="H401" s="2" t="n"/>
      <c r="I401" s="2" t="n"/>
    </row>
    <row r="402" ht="62" customHeight="1">
      <c r="A402" s="9" t="n"/>
      <c r="B402" s="34" t="inlineStr">
        <is>
          <t>SOBRE TIERRA</t>
        </is>
      </c>
      <c r="C402" s="9" t="inlineStr"/>
      <c r="D402" s="8">
        <f>IF(COUNT(H402,I402)&lt;2,"",ROUND(H402*I402,2))</f>
        <v/>
      </c>
      <c r="E402" s="25" t="n">
        <v>10</v>
      </c>
      <c r="F402" s="28">
        <f>IF(D402="","",ROUND(D402*E402,1))</f>
        <v/>
      </c>
      <c r="G402" s="2" t="n"/>
      <c r="H402" s="35" t="n"/>
      <c r="I402" s="35" t="n"/>
    </row>
    <row r="403" ht="39.7" customHeight="1">
      <c r="A403" s="9" t="n"/>
      <c r="B403" s="34" t="inlineStr">
        <is>
          <t>SOBRE LOCAL OCUPADO</t>
        </is>
      </c>
      <c r="C403" s="9" t="inlineStr">
        <is>
          <t>por croquis</t>
        </is>
      </c>
      <c r="D403" s="8" t="n">
        <v>3.52</v>
      </c>
      <c r="E403" s="25" t="n">
        <v>15</v>
      </c>
      <c r="F403" s="28">
        <f>IF(D403="","",ROUND(D403*E403,1))</f>
        <v/>
      </c>
      <c r="G403" s="2" t="n"/>
      <c r="H403" s="35" t="n"/>
      <c r="I403" s="35" t="n"/>
    </row>
    <row r="404" ht="39.7" customHeight="1">
      <c r="A404" s="16" t="inlineStr">
        <is>
          <t>5</t>
        </is>
      </c>
      <c r="B404" s="33" t="inlineStr">
        <is>
          <t>INFILTRACION</t>
        </is>
      </c>
      <c r="C404" s="9" t="n"/>
      <c r="D404" s="16" t="inlineStr">
        <is>
          <t>VOLUMEN (m3)</t>
        </is>
      </c>
      <c r="E404" s="9" t="n"/>
      <c r="F404" s="9" t="n"/>
      <c r="G404" s="2" t="n"/>
      <c r="H404" s="2" t="n"/>
      <c r="I404" s="2" t="n"/>
    </row>
    <row r="405" ht="39.7" customHeight="1">
      <c r="A405" s="9" t="n"/>
      <c r="B405" s="34" t="inlineStr">
        <is>
          <t>UNA PARED EXTERIOR</t>
        </is>
      </c>
      <c r="C405" s="9" t="inlineStr">
        <is>
          <t>3.52 m2 x 3.00</t>
        </is>
      </c>
      <c r="D405" s="8" t="n">
        <v>10.56</v>
      </c>
      <c r="E405" s="25" t="n">
        <v>6</v>
      </c>
      <c r="F405" s="28">
        <f>IF(D405="","",ROUND(D405*E405,1))</f>
        <v/>
      </c>
      <c r="G405" s="2" t="n"/>
      <c r="H405" s="35" t="n"/>
      <c r="I405" s="35" t="n"/>
    </row>
    <row r="406" ht="62" customHeight="1">
      <c r="A406" s="9" t="n"/>
      <c r="B406" s="34" t="inlineStr">
        <is>
          <t>DOS PAREDES EXTERIORES</t>
        </is>
      </c>
      <c r="C406" s="9" t="inlineStr"/>
      <c r="D406" s="8">
        <f>IF(COUNT(H406,I406)&lt;2,"",ROUND(H406*I406,2))</f>
        <v/>
      </c>
      <c r="E406" s="25" t="n">
        <v>9</v>
      </c>
      <c r="F406" s="28">
        <f>IF(D406="","",ROUND(D406*E406,1))</f>
        <v/>
      </c>
      <c r="G406" s="2" t="n"/>
      <c r="H406" s="35" t="n"/>
      <c r="I406" s="35" t="n"/>
    </row>
    <row r="407" ht="62" customHeight="1">
      <c r="A407" s="9" t="n"/>
      <c r="B407" s="34" t="inlineStr">
        <is>
          <t>TRES O MAS PAREDES EXTERIORES</t>
        </is>
      </c>
      <c r="C407" s="9" t="inlineStr"/>
      <c r="D407" s="8">
        <f>IF(COUNT(H407,I407)&lt;2,"",ROUND(H407*I407,2))</f>
        <v/>
      </c>
      <c r="E407" s="25" t="n">
        <v>12</v>
      </c>
      <c r="F407" s="28">
        <f>IF(D407="","",ROUND(D407*E407,1))</f>
        <v/>
      </c>
      <c r="G407" s="2" t="n"/>
      <c r="H407" s="35" t="n"/>
      <c r="I407" s="35" t="n"/>
    </row>
    <row r="408" ht="70" customHeight="1">
      <c r="A408" s="16" t="inlineStr">
        <is>
          <t>6</t>
        </is>
      </c>
      <c r="B408" s="33" t="inlineStr">
        <is>
          <t>SUBTOTAL</t>
        </is>
      </c>
      <c r="C408" s="9" t="n"/>
      <c r="D408" s="9" t="n"/>
      <c r="E408" s="9" t="n"/>
      <c r="F408" s="36">
        <f>IF(F387="",0,F387)+IF(F389="",0,F389)+IF(F390="",0,F390)+IF(F391="",0,F391)+IF(F392="",0,F392)+IF(F393="",0,F393)+IF(F394="",0,F394)+IF(F395="",0,F395)+IF(F396="",0,F396)+IF(F398="",0,F398)+IF(F399="",0,F399)+IF(F400="",0,F400)+IF(F402="",0,F402)+IF(F403="",0,F403)+IF(F405="",0,F405)+IF(F406="",0,F406)+IF(F407="",0,F407)</f>
        <v/>
      </c>
      <c r="G408" s="2" t="n"/>
      <c r="H408" s="2" t="n"/>
      <c r="I408" s="2" t="n"/>
    </row>
    <row r="409" ht="47" customHeight="1">
      <c r="A409" s="16" t="inlineStr">
        <is>
          <t>7</t>
        </is>
      </c>
      <c r="B409" s="33" t="inlineStr">
        <is>
          <t>PERDIDA TOTAL</t>
        </is>
      </c>
      <c r="C409" s="9">
        <f>TEXT(F408,"0.00")&amp;"  X  "&amp;Datos_balance!$B$4&amp;" (FI)  X  "&amp;Datos_balance!$B$5&amp;" (FO)  X  "&amp;Datos_balance!$B$6&amp;" (FZ)"</f>
        <v/>
      </c>
      <c r="D409" s="2" t="n"/>
      <c r="E409" s="2" t="n"/>
      <c r="F409" s="36">
        <f>ROUND(F408*Datos_balance!$B$4*Datos_balance!$B$5*Datos_balance!$B$6,1)</f>
        <v/>
      </c>
      <c r="G409" s="2" t="n"/>
      <c r="H409" s="2" t="n"/>
      <c r="I409" s="2" t="n"/>
    </row>
    <row r="410">
      <c r="A410" s="2" t="n"/>
      <c r="B410" s="2" t="n"/>
      <c r="C410" s="2" t="n"/>
      <c r="D410" s="2" t="n"/>
      <c r="E410" s="2" t="n"/>
      <c r="F410" s="2" t="n"/>
      <c r="G410" s="2" t="n"/>
      <c r="H410" s="2" t="n"/>
      <c r="I410" s="2" t="n"/>
    </row>
    <row r="411" ht="62" customHeight="1">
      <c r="A411" s="9" t="n"/>
      <c r="B411" s="10" t="inlineStr">
        <is>
          <t>Salto termico:  dt = (te+ts)/2 - ti</t>
        </is>
      </c>
      <c r="C411" s="9">
        <f>TEXT((Datos_balance!$B$9+Datos_balance!$B$10)/2,"0")&amp;" - "&amp;TEXT(Datos_balance!$B$11,"0")&amp;" = "&amp;TEXT((Datos_balance!$B$9+Datos_balance!$B$10)/2-Datos_balance!$B$11,"0")&amp;" C"</f>
        <v/>
      </c>
      <c r="D411" s="2" t="n"/>
      <c r="E411" s="2" t="n"/>
      <c r="F411" s="9" t="n"/>
      <c r="G411" s="2" t="n"/>
      <c r="H411" s="2" t="n"/>
      <c r="I411" s="2" t="n"/>
    </row>
    <row r="412" ht="39.7" customHeight="1">
      <c r="A412" s="9" t="n"/>
      <c r="B412" s="10" t="inlineStr">
        <is>
          <t>Kcal/h por seccion</t>
        </is>
      </c>
      <c r="C412" s="8">
        <f>ROUND(Datos_balance!$B$14*Datos_balance!$B$15,2)</f>
        <v/>
      </c>
      <c r="D412" s="2" t="n"/>
      <c r="E412" s="2" t="n"/>
      <c r="F412" s="9" t="n"/>
      <c r="G412" s="2" t="n"/>
      <c r="H412" s="2" t="n"/>
      <c r="I412" s="2" t="n"/>
    </row>
    <row r="413" ht="39.7" customHeight="1">
      <c r="A413" s="9" t="n"/>
      <c r="B413" s="10" t="inlineStr">
        <is>
          <t>Secciones necesarias</t>
        </is>
      </c>
      <c r="C413" s="25">
        <f>ROUNDUP(F409/(Datos_balance!$B$14*Datos_balance!$B$15),0)</f>
        <v/>
      </c>
      <c r="D413" s="2" t="n"/>
      <c r="E413" s="2" t="n"/>
      <c r="F413" s="9" t="n"/>
      <c r="G413" s="2" t="n"/>
      <c r="H413" s="2" t="n"/>
      <c r="I413" s="2" t="n"/>
    </row>
    <row r="414" ht="39.7" customHeight="1">
      <c r="A414" s="9" t="n"/>
      <c r="B414" s="10" t="inlineStr">
        <is>
          <t>Ancho del radiador (cm)</t>
        </is>
      </c>
      <c r="C414" s="25">
        <f>ROUNDUP(F409/(Datos_balance!$B$14*Datos_balance!$B$15),0)*Datos_balance!$B$16</f>
        <v/>
      </c>
      <c r="D414" s="2" t="n"/>
      <c r="E414" s="2" t="n"/>
      <c r="F414" s="9" t="n"/>
      <c r="G414" s="2" t="n"/>
      <c r="H414" s="2" t="n"/>
      <c r="I414" s="2" t="n"/>
    </row>
    <row r="415" ht="39.7" customHeight="1">
      <c r="A415" s="13" t="n"/>
      <c r="B415" s="14" t="inlineStr">
        <is>
          <t>Radiador adoptado</t>
        </is>
      </c>
      <c r="C415" s="13">
        <f>Datos_balance!$B$13</f>
        <v/>
      </c>
      <c r="D415" s="20" t="n"/>
      <c r="E415" s="20" t="n"/>
      <c r="F415" s="13" t="n"/>
      <c r="G415" s="2" t="n"/>
      <c r="H415" s="2" t="n"/>
      <c r="I415" s="2" t="n"/>
    </row>
  </sheetData>
  <mergeCells count="85">
    <mergeCell ref="C274:E274"/>
    <mergeCell ref="C345:E345"/>
    <mergeCell ref="C31:E31"/>
    <mergeCell ref="A75:F75"/>
    <mergeCell ref="C242:E242"/>
    <mergeCell ref="C413:E413"/>
    <mergeCell ref="A3:F3"/>
    <mergeCell ref="C379:E379"/>
    <mergeCell ref="A384:F384"/>
    <mergeCell ref="C415:E415"/>
    <mergeCell ref="C71:E71"/>
    <mergeCell ref="C241:E241"/>
    <mergeCell ref="C347:E347"/>
    <mergeCell ref="C243:E243"/>
    <mergeCell ref="C140:E140"/>
    <mergeCell ref="A40:F40"/>
    <mergeCell ref="C34:E34"/>
    <mergeCell ref="C375:E375"/>
    <mergeCell ref="C275:E275"/>
    <mergeCell ref="C344:E344"/>
    <mergeCell ref="C206:E206"/>
    <mergeCell ref="C377:E377"/>
    <mergeCell ref="A315:F315"/>
    <mergeCell ref="C309:E309"/>
    <mergeCell ref="C103:E103"/>
    <mergeCell ref="A212:F212"/>
    <mergeCell ref="C205:E205"/>
    <mergeCell ref="C311:E311"/>
    <mergeCell ref="C412:E412"/>
    <mergeCell ref="C169:E169"/>
    <mergeCell ref="C409:E409"/>
    <mergeCell ref="C380:E380"/>
    <mergeCell ref="C70:E70"/>
    <mergeCell ref="C272:E272"/>
    <mergeCell ref="C312:E312"/>
    <mergeCell ref="C346:E346"/>
    <mergeCell ref="C106:E106"/>
    <mergeCell ref="C414:E414"/>
    <mergeCell ref="C209:E209"/>
    <mergeCell ref="C381:E381"/>
    <mergeCell ref="C33:E33"/>
    <mergeCell ref="C104:E104"/>
    <mergeCell ref="A178:F178"/>
    <mergeCell ref="C35:E35"/>
    <mergeCell ref="C173:E173"/>
    <mergeCell ref="C276:E276"/>
    <mergeCell ref="C36:E36"/>
    <mergeCell ref="C207:E207"/>
    <mergeCell ref="C278:E278"/>
    <mergeCell ref="C411:E411"/>
    <mergeCell ref="A109:F109"/>
    <mergeCell ref="C72:E72"/>
    <mergeCell ref="C37:E37"/>
    <mergeCell ref="C208:E208"/>
    <mergeCell ref="C69:E69"/>
    <mergeCell ref="C136:E136"/>
    <mergeCell ref="A143:F143"/>
    <mergeCell ref="A350:F350"/>
    <mergeCell ref="C378:E378"/>
    <mergeCell ref="A1:F1"/>
    <mergeCell ref="C172:E172"/>
    <mergeCell ref="A281:F281"/>
    <mergeCell ref="C306:E306"/>
    <mergeCell ref="C171:E171"/>
    <mergeCell ref="C137:E137"/>
    <mergeCell ref="C134:E134"/>
    <mergeCell ref="A246:F246"/>
    <mergeCell ref="C277:E277"/>
    <mergeCell ref="C139:E139"/>
    <mergeCell ref="C105:E105"/>
    <mergeCell ref="C341:E341"/>
    <mergeCell ref="C138:E138"/>
    <mergeCell ref="C203:E203"/>
    <mergeCell ref="C174:E174"/>
    <mergeCell ref="C240:E240"/>
    <mergeCell ref="C66:E66"/>
    <mergeCell ref="C237:E237"/>
    <mergeCell ref="C308:E308"/>
    <mergeCell ref="C102:E102"/>
    <mergeCell ref="C68:E68"/>
    <mergeCell ref="C239:E239"/>
    <mergeCell ref="C310:E310"/>
    <mergeCell ref="C175:E175"/>
    <mergeCell ref="C343:E343"/>
    <mergeCell ref="C100:E10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Caldaia Lux 700</t>
        </is>
      </c>
      <c r="C13" s="2" t="n"/>
      <c r="D13" s="2" t="n"/>
    </row>
    <row r="14" ht="39.7" customHeight="1">
      <c r="A14" s="38" t="inlineStr">
        <is>
          <t>Kcal/h por seccion del radiador</t>
        </is>
      </c>
      <c r="B14" s="9" t="n">
        <v>268</v>
      </c>
      <c r="C14" s="9" t="inlineStr">
        <is>
          <t>Kcal/h</t>
        </is>
      </c>
      <c r="D14" s="38" t="inlineStr">
        <is>
          <t>Caldaia Lux 700. Cambiar segun catalogo.</t>
        </is>
      </c>
    </row>
    <row r="15" ht="39.7" customHeight="1">
      <c r="A15" s="38" t="inlineStr">
        <is>
          <t>Factor de correccion por salto termico</t>
        </is>
      </c>
      <c r="B15" s="9" t="n">
        <v>1.12</v>
      </c>
      <c r="C15" s="9" t="inlineStr">
        <is>
          <t>-</t>
        </is>
      </c>
      <c r="D15" s="38" t="inlineStr">
        <is>
          <t>Del formulario modelo.</t>
        </is>
      </c>
    </row>
    <row r="16" ht="39.7" customHeight="1">
      <c r="A16" s="38" t="inlineStr">
        <is>
          <t>Ancho de cada seccion</t>
        </is>
      </c>
      <c r="B16" s="9" t="n">
        <v>8</v>
      </c>
      <c r="C16" s="9" t="inlineStr">
        <is>
          <t>cm</t>
        </is>
      </c>
      <c r="D16" s="38" t="inlineStr">
        <is>
          <t>Caldaia Lux 700.</t>
        </is>
      </c>
    </row>
    <row r="17">
      <c r="A17" s="2" t="n"/>
      <c r="B17" s="2" t="n"/>
      <c r="C17" s="2" t="n"/>
      <c r="D17" s="2" t="n"/>
    </row>
    <row r="18" ht="39.7" customHeight="1">
      <c r="A18" s="22" t="inlineStr">
        <is>
          <t>FACTORES DE PERDIDA (Kcal/h por m2, o por m3 en infiltracion)</t>
        </is>
      </c>
      <c r="B18" s="2" t="n"/>
      <c r="C18" s="2" t="n"/>
      <c r="D18" s="2" t="n"/>
    </row>
    <row r="19" ht="39.7" customHeight="1">
      <c r="A19" s="37" t="inlineStr">
        <is>
          <t>elemento</t>
        </is>
      </c>
      <c r="B19" s="3" t="inlineStr">
        <is>
          <t>factor</t>
        </is>
      </c>
      <c r="C19" s="2" t="n"/>
      <c r="D19" s="2" t="n"/>
    </row>
    <row r="20" ht="39.7" customHeight="1">
      <c r="A20" s="38" t="inlineStr">
        <is>
          <t>Ventana</t>
        </is>
      </c>
      <c r="B20" s="9" t="n">
        <v>60</v>
      </c>
      <c r="C20" s="2" t="n"/>
      <c r="D20" s="2" t="n"/>
    </row>
    <row r="21" ht="39.7" customHeight="1">
      <c r="A21" s="38" t="inlineStr">
        <is>
          <t>Pared exterior aislada</t>
        </is>
      </c>
      <c r="B21" s="9" t="n">
        <v>20</v>
      </c>
      <c r="C21" s="2" t="n"/>
      <c r="D21" s="2" t="n"/>
    </row>
    <row r="22" ht="39.7" customHeight="1">
      <c r="A22" s="38" t="inlineStr">
        <is>
          <t>Pared interior</t>
        </is>
      </c>
      <c r="B22" s="9" t="n">
        <v>25</v>
      </c>
      <c r="C22" s="2" t="n"/>
      <c r="D22" s="2" t="n"/>
    </row>
    <row r="23" ht="39.7" customHeight="1">
      <c r="A23" s="38" t="inlineStr">
        <is>
          <t>Techo no aislado</t>
        </is>
      </c>
      <c r="B23" s="9" t="n">
        <v>30</v>
      </c>
      <c r="C23" s="2" t="n"/>
      <c r="D23" s="2" t="n"/>
    </row>
    <row r="24" ht="39.7" customHeight="1">
      <c r="A24" s="38" t="inlineStr">
        <is>
          <t>Techo aislado</t>
        </is>
      </c>
      <c r="B24" s="9" t="n">
        <v>20</v>
      </c>
      <c r="C24" s="2" t="n"/>
      <c r="D24" s="2" t="n"/>
    </row>
    <row r="25" ht="39.7" customHeight="1">
      <c r="A25" s="38" t="inlineStr">
        <is>
          <t>Techo entrepiso</t>
        </is>
      </c>
      <c r="B25" s="9" t="n">
        <v>15</v>
      </c>
      <c r="C25" s="2" t="n"/>
      <c r="D25" s="2" t="n"/>
    </row>
    <row r="26" ht="39.7" customHeight="1">
      <c r="A26" s="38" t="inlineStr">
        <is>
          <t>Piso sobre tierra</t>
        </is>
      </c>
      <c r="B26" s="9" t="n">
        <v>10</v>
      </c>
      <c r="C26" s="2" t="n"/>
      <c r="D26" s="2" t="n"/>
    </row>
    <row r="27" ht="39.7" customHeight="1">
      <c r="A27" s="38" t="inlineStr">
        <is>
          <t>Piso sobre local ocupado</t>
        </is>
      </c>
      <c r="B27" s="9" t="n">
        <v>15</v>
      </c>
      <c r="C27" s="2" t="n"/>
      <c r="D27" s="2" t="n"/>
    </row>
    <row r="28" ht="39.7" customHeight="1">
      <c r="A28" s="38" t="inlineStr">
        <is>
          <t>Infiltracion, una pared exterior</t>
        </is>
      </c>
      <c r="B28" s="9" t="n">
        <v>6</v>
      </c>
      <c r="C28" s="2" t="n"/>
      <c r="D28" s="2" t="n"/>
    </row>
    <row r="29" ht="39.7" customHeight="1">
      <c r="A29" s="38" t="inlineStr">
        <is>
          <t>Infiltracion, dos paredes exteriores</t>
        </is>
      </c>
      <c r="B29" s="9" t="n">
        <v>9</v>
      </c>
      <c r="C29" s="2" t="n"/>
      <c r="D29" s="2" t="n"/>
    </row>
    <row r="30" ht="39.7" customHeight="1">
      <c r="A30" s="38" t="inlineStr">
        <is>
          <t>Infiltracion, tres o mas paredes exteriores</t>
        </is>
      </c>
      <c r="B30" s="9" t="n">
        <v>12</v>
      </c>
      <c r="C30" s="2" t="n"/>
      <c r="D30" s="2" t="n"/>
    </row>
    <row r="31">
      <c r="A31" s="2" t="n"/>
      <c r="B31" s="2" t="n"/>
      <c r="C31" s="2" t="n"/>
      <c r="D31" s="2" t="n"/>
    </row>
    <row r="32" ht="39.7" customHeight="1">
      <c r="A32" s="22" t="inlineStr">
        <is>
          <t>Los factores estan escritos en cada renglon del formulario, no se leen de aca: esta tabla es solo de referencia.</t>
        </is>
      </c>
      <c r="B32" s="2" t="n"/>
      <c r="C32" s="2" t="n"/>
      <c r="D32" s="2" t="n"/>
    </row>
    <row r="33">
      <c r="A33" s="2" t="n"/>
      <c r="B33" s="2" t="n"/>
      <c r="C33" s="2" t="n"/>
      <c r="D33" s="2" t="n"/>
    </row>
    <row r="34" ht="39.7" customHeight="1">
      <c r="A34" s="22" t="inlineStr">
        <is>
          <t>QUE FALTA CARGAR</t>
        </is>
      </c>
      <c r="B34" s="2" t="n"/>
      <c r="C34" s="2" t="n"/>
      <c r="D34" s="2" t="n"/>
    </row>
    <row r="35" ht="39.7" customHeight="1">
      <c r="A35" s="23" t="inlineStr">
        <is>
          <t>1. Las longitudes de pared de cada local, en las columnas H (largo) e I (alto) del formulario.</t>
        </is>
      </c>
      <c r="B35" s="2" t="n"/>
      <c r="C35" s="2" t="n"/>
      <c r="D35" s="2" t="n"/>
    </row>
    <row r="36" ht="39.7" customHeight="1">
      <c r="A36" s="23" t="inlineStr">
        <is>
          <t xml:space="preserve">   Las celdas estan en naranja. Al cargarlas se completan solas la dimension, el area y la perdida.</t>
        </is>
      </c>
      <c r="B36" s="2" t="n"/>
      <c r="C36" s="2" t="n"/>
      <c r="D36" s="2" t="n"/>
    </row>
    <row r="37" ht="39.7" customHeight="1">
      <c r="A37" s="23" t="inlineStr">
        <is>
          <t>2. Si el muro es aislado o no: el formulario trae tres renglones de cada tipo, borrar los que sobren.</t>
        </is>
      </c>
      <c r="B37" s="2" t="n"/>
      <c r="C37" s="2" t="n"/>
      <c r="D37" s="2" t="n"/>
    </row>
    <row r="38" ht="39.7" customHeight="1">
      <c r="A38" s="23" t="inlineStr">
        <is>
          <t>3. Las tablas de FO y FZ de la catedra. Por ahora los dos valen 1,00.</t>
        </is>
      </c>
      <c r="B38" s="2" t="n"/>
      <c r="C38" s="2" t="n"/>
      <c r="D38" s="2" t="n"/>
    </row>
    <row r="39" ht="39.7" customHeight="1">
      <c r="A39" s="23" t="inlineStr">
        <is>
          <t>4. Confirmar el radiador y sus Kcal/h por seccion.</t>
        </is>
      </c>
      <c r="B39" s="2" t="n"/>
      <c r="C39" s="2" t="n"/>
      <c r="D39" s="2" t="n"/>
    </row>
    <row r="40">
      <c r="A40" s="23" t="inlineStr"/>
      <c r="B40" s="2" t="n"/>
      <c r="C40" s="2" t="n"/>
      <c r="D40" s="2" t="n"/>
    </row>
    <row r="41" ht="39.7" customHeight="1">
      <c r="A41" s="22" t="inlineStr">
        <is>
          <t>LO QUE YA VIENE CARGADO</t>
        </is>
      </c>
      <c r="B41" s="2" t="n"/>
      <c r="C41" s="2" t="n"/>
      <c r="D41" s="2" t="n"/>
    </row>
    <row r="42" ht="39.7" customHeight="1">
      <c r="A42" s="23" t="inlineStr">
        <is>
          <t>- Superficie y volumen de cada local, de la planilla de iluminacion y ventilacion.</t>
        </is>
      </c>
      <c r="B42" s="2" t="n"/>
      <c r="C42" s="2" t="n"/>
      <c r="D42" s="2" t="n"/>
    </row>
    <row r="43" ht="39.7" customHeight="1">
      <c r="A43" s="23" t="inlineStr">
        <is>
          <t>- Las aberturas de cada local con su medida real, del campo UBICACION de la planilla de</t>
        </is>
      </c>
      <c r="B43" s="2" t="n"/>
      <c r="C43" s="2" t="n"/>
      <c r="D43" s="2" t="n"/>
    </row>
    <row r="44" ht="39.7" customHeight="1">
      <c r="A44" s="23" t="inlineStr">
        <is>
          <t xml:space="preserve">  carpinterias. Son 17 aberturas repartidas en 13 locales.</t>
        </is>
      </c>
      <c r="B44" s="2" t="n"/>
      <c r="C44" s="2" t="n"/>
      <c r="D44" s="2" t="n"/>
    </row>
    <row r="45" ht="39.7" customHeight="1">
      <c r="A45" s="23" t="inlineStr">
        <is>
          <t>- Techo y piso segun la planta: en PB entrepiso arriba y piso sobre tierra; en PA techo</t>
        </is>
      </c>
      <c r="B45" s="2" t="n"/>
      <c r="C45" s="2" t="n"/>
      <c r="D45" s="2" t="n"/>
    </row>
    <row r="46" ht="39.7" customHeight="1">
      <c r="A46" s="23" t="inlineStr">
        <is>
          <t xml:space="preserve">  aislado arriba y piso sobre local ocupado. Si algun local no es asi, mover el area de renglon.</t>
        </is>
      </c>
      <c r="B46" s="2" t="n"/>
      <c r="C46" s="2" t="n"/>
      <c r="D46" s="2" t="n"/>
    </row>
    <row r="47" ht="39.7" customHeight="1">
      <c r="A47" s="23" t="inlineStr">
        <is>
          <t>- Infiltracion segun la cantidad de paredes exteriores que se estimo para cada local.</t>
        </is>
      </c>
      <c r="B47" s="2" t="n"/>
      <c r="C47" s="2" t="n"/>
      <c r="D47" s="2" t="n"/>
    </row>
    <row r="48">
      <c r="A48" s="23" t="inlineStr"/>
      <c r="B48" s="2" t="n"/>
      <c r="C48" s="2" t="n"/>
      <c r="D48" s="2" t="n"/>
    </row>
    <row r="49" ht="39.7" customHeight="1">
      <c r="A49" s="23" t="inlineStr">
        <is>
          <t>La altura de local adoptada es 3.00 m, de los cortes de la planilla de carpinterias.</t>
        </is>
      </c>
      <c r="B49" s="2" t="n"/>
      <c r="C49" s="2" t="n"/>
      <c r="D49"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2026-10-25T23:02:33Z</dcterms:created>
  <dcterms:modified xmlns:dcterms="http://purl.org/dc/terms/" xmlns:xsi="http://www.w3.org/2001/XMLSchema-instance" xsi:type="dcterms:W3CDTF">2026-10-25T23:02:35Z</dcterms:modified>
</cp:coreProperties>
</file>