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termico'!$A$1:$F$522</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4"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3238500" cy="3733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82</row>
      <rowOff>0</rowOff>
    </from>
    <ext cx="3238500" cy="3733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121</row>
      <rowOff>0</rowOff>
    </from>
    <ext cx="3238500" cy="3733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168</row>
      <rowOff>0</rowOff>
    </from>
    <ext cx="3238500" cy="3733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207</row>
      <rowOff>0</rowOff>
    </from>
    <ext cx="3238500" cy="30670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251</row>
      <rowOff>0</rowOff>
    </from>
    <ext cx="3238500" cy="3733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295</row>
      <rowOff>0</rowOff>
    </from>
    <ext cx="3238500" cy="3733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339</row>
      <rowOff>0</rowOff>
    </from>
    <ext cx="3238500" cy="3733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384</row>
      <rowOff>0</rowOff>
    </from>
    <ext cx="3238500" cy="30670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427</row>
      <rowOff>0</rowOff>
    </from>
    <ext cx="3238500" cy="30670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469</row>
      <rowOff>0</rowOff>
    </from>
    <ext cx="3238500" cy="30670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511</row>
      <rowOff>0</rowOff>
    </from>
    <ext cx="3238500" cy="30670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3.52</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7,53 m2 corresponden 0,84 y 0,28.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11"/>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del local en planta</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c r="A46" s="2" t="n"/>
      <c r="B46" s="2" t="n"/>
      <c r="C46" s="2" t="n"/>
      <c r="D46" s="2" t="n"/>
      <c r="E46" s="2" t="n"/>
      <c r="F46" s="2" t="n"/>
      <c r="G46" s="2" t="n"/>
      <c r="H46" s="2" t="n"/>
      <c r="I46" s="2" t="n"/>
    </row>
    <row r="47">
      <c r="A47" s="2" t="n"/>
      <c r="B47" s="2" t="n"/>
      <c r="C47" s="2" t="n"/>
      <c r="D47" s="2" t="n"/>
      <c r="E47" s="2" t="n"/>
      <c r="F47" s="2" t="n"/>
      <c r="G47" s="2" t="n"/>
      <c r="H47" s="2" t="n"/>
      <c r="I47" s="2" t="n"/>
    </row>
    <row r="48">
      <c r="A48" s="2" t="n"/>
      <c r="B48" s="2" t="n"/>
      <c r="C48" s="2" t="n"/>
      <c r="D48" s="2" t="n"/>
      <c r="E48" s="2" t="n"/>
      <c r="F48" s="2" t="n"/>
      <c r="G48" s="2" t="n"/>
      <c r="H48" s="2" t="n"/>
      <c r="I48" s="2" t="n"/>
    </row>
    <row r="49" ht="39.7" customHeight="1">
      <c r="A49" s="5" t="inlineStr">
        <is>
          <t>LOCAL  06 - Living / comedor   (PB)   -   altura 3.00 m</t>
        </is>
      </c>
      <c r="B49" s="2" t="n"/>
      <c r="C49" s="2" t="n"/>
      <c r="D49" s="2" t="n"/>
      <c r="E49" s="2" t="n"/>
      <c r="F49" s="2" t="n"/>
      <c r="G49" s="2" t="n"/>
      <c r="H49" s="2" t="n"/>
      <c r="I49" s="2" t="n"/>
    </row>
    <row r="50" ht="39.7" customHeight="1">
      <c r="A50" s="3" t="inlineStr">
        <is>
          <t>Nro</t>
        </is>
      </c>
      <c r="B50" s="3" t="inlineStr">
        <is>
          <t>DESCRIPCION</t>
        </is>
      </c>
      <c r="C50" s="3" t="inlineStr">
        <is>
          <t>DIMENSIONES (m)</t>
        </is>
      </c>
      <c r="D50" s="3" t="inlineStr">
        <is>
          <t>AREA (m2)</t>
        </is>
      </c>
      <c r="E50" s="3" t="inlineStr">
        <is>
          <t>FACTOR</t>
        </is>
      </c>
      <c r="F50" s="3" t="inlineStr">
        <is>
          <t>PERDIDA CALOR (Kcal/h)</t>
        </is>
      </c>
      <c r="G50" s="2" t="n"/>
      <c r="H50" s="2" t="n"/>
      <c r="I50" s="2" t="n"/>
    </row>
    <row r="51" ht="39.7" customHeight="1">
      <c r="A51" s="18" t="inlineStr">
        <is>
          <t>1</t>
        </is>
      </c>
      <c r="B51" s="35" t="inlineStr">
        <is>
          <t>VENTANA</t>
        </is>
      </c>
      <c r="C51" s="10" t="n"/>
      <c r="D51" s="10" t="n"/>
      <c r="E51" s="10" t="n"/>
      <c r="F51" s="10" t="n"/>
      <c r="G51" s="2" t="n"/>
      <c r="H51" s="2" t="n"/>
      <c r="I51" s="2" t="n"/>
    </row>
    <row r="52" ht="47" customHeight="1">
      <c r="A52" s="10" t="n"/>
      <c r="B52" s="36" t="inlineStr">
        <is>
          <t>PF02</t>
        </is>
      </c>
      <c r="C52" s="10">
        <f>IF(COUNT(H52,I52)&lt;2,"",TEXT(H52,"0.00")&amp;" x "&amp;TEXT(I52,"0.00"))</f>
        <v/>
      </c>
      <c r="D52" s="9">
        <f>IF(COUNT(H52,I52)&lt;2,"",ROUND(H52*I52,2))</f>
        <v/>
      </c>
      <c r="E52" s="27" t="n">
        <v>60</v>
      </c>
      <c r="F52" s="30">
        <f>IF(D52="","",ROUND(D52*E52,1))</f>
        <v/>
      </c>
      <c r="G52" s="2" t="n"/>
      <c r="H52" s="37" t="n">
        <v>3.75</v>
      </c>
      <c r="I52" s="37" t="n">
        <v>3</v>
      </c>
    </row>
    <row r="53" ht="47" customHeight="1">
      <c r="A53" s="10" t="n"/>
      <c r="B53" s="36" t="inlineStr">
        <is>
          <t>PV01</t>
        </is>
      </c>
      <c r="C53" s="10">
        <f>IF(COUNT(H53,I53)&lt;2,"",TEXT(H53,"0.00")&amp;" x "&amp;TEXT(I53,"0.00"))</f>
        <v/>
      </c>
      <c r="D53" s="9">
        <f>IF(COUNT(H53,I53)&lt;2,"",ROUND(H53*I53,2))</f>
        <v/>
      </c>
      <c r="E53" s="27" t="n">
        <v>60</v>
      </c>
      <c r="F53" s="30">
        <f>IF(D53="","",ROUND(D53*E53,1))</f>
        <v/>
      </c>
      <c r="G53" s="2" t="n"/>
      <c r="H53" s="37" t="n">
        <v>7.7</v>
      </c>
      <c r="I53" s="37" t="n">
        <v>3</v>
      </c>
    </row>
    <row r="54" ht="39.7" customHeight="1">
      <c r="A54" s="18" t="inlineStr">
        <is>
          <t>2</t>
        </is>
      </c>
      <c r="B54" s="35" t="inlineStr">
        <is>
          <t>PAREDES EXTERIORES</t>
        </is>
      </c>
      <c r="C54" s="10" t="n"/>
      <c r="D54" s="10" t="n"/>
      <c r="E54" s="10" t="n"/>
      <c r="F54" s="10" t="n"/>
      <c r="G54" s="2" t="n"/>
      <c r="H54" s="2" t="n"/>
      <c r="I54" s="2" t="n"/>
    </row>
    <row r="55" ht="47" customHeight="1">
      <c r="A55" s="10" t="n"/>
      <c r="B55" s="36" t="inlineStr">
        <is>
          <t>AISLADAS (SE)</t>
        </is>
      </c>
      <c r="C55" s="10">
        <f>IF(COUNT(H55,I55)&lt;2,"",TEXT(H55,"0.00")&amp;" x "&amp;TEXT(I55,"0.00"))</f>
        <v/>
      </c>
      <c r="D55" s="9">
        <f>IF(COUNT(H55,I55)&lt;2,"",ROUND(H55*I55,2))</f>
        <v/>
      </c>
      <c r="E55" s="27" t="n">
        <v>20</v>
      </c>
      <c r="F55" s="30">
        <f>IF(D55="","",ROUND(D55*E55,1))</f>
        <v/>
      </c>
      <c r="G55" s="2" t="n"/>
      <c r="H55" s="37" t="n">
        <v>8.66</v>
      </c>
      <c r="I55" s="37" t="n">
        <v>3</v>
      </c>
    </row>
    <row r="56" ht="47" customHeight="1">
      <c r="A56" s="10" t="n"/>
      <c r="B56" s="36" t="inlineStr">
        <is>
          <t>AISLADAS (    )</t>
        </is>
      </c>
      <c r="C56" s="10">
        <f>IF(COUNT(H56,I56)&lt;2,"",TEXT(H56,"0.00")&amp;" x "&amp;TEXT(I56,"0.00"))</f>
        <v/>
      </c>
      <c r="D56" s="9">
        <f>IF(COUNT(H56,I56)&lt;2,"",ROUND(H56*I56,2))</f>
        <v/>
      </c>
      <c r="E56" s="27" t="n">
        <v>20</v>
      </c>
      <c r="F56" s="30">
        <f>IF(D56="","",ROUND(D56*E56,1))</f>
        <v/>
      </c>
      <c r="G56" s="2" t="n"/>
      <c r="H56" s="37" t="n"/>
      <c r="I56" s="37" t="n"/>
    </row>
    <row r="57" ht="47" customHeight="1">
      <c r="A57" s="10" t="n"/>
      <c r="B57" s="36" t="inlineStr">
        <is>
          <t>INTERIORES (    )</t>
        </is>
      </c>
      <c r="C57" s="10">
        <f>IF(COUNT(H57,I57)&lt;2,"",TEXT(H57,"0.00")&amp;" x "&amp;TEXT(I57,"0.00"))</f>
        <v/>
      </c>
      <c r="D57" s="9">
        <f>IF(COUNT(H57,I57)&lt;2,"",ROUND(H57*I57,2))</f>
        <v/>
      </c>
      <c r="E57" s="27" t="n">
        <v>25</v>
      </c>
      <c r="F57" s="30">
        <f>IF(D57="","",ROUND(D57*E57,1))</f>
        <v/>
      </c>
      <c r="G57" s="2" t="n"/>
      <c r="H57" s="37" t="n">
        <v>4.06</v>
      </c>
      <c r="I57" s="37" t="n">
        <v>3</v>
      </c>
    </row>
    <row r="58" ht="47" customHeight="1">
      <c r="A58" s="10" t="n"/>
      <c r="B58" s="36" t="inlineStr">
        <is>
          <t>INTERIORES (galeria, con la PV01)</t>
        </is>
      </c>
      <c r="C58" s="10">
        <f>IF(COUNT(H58,I58)&lt;2,"",TEXT(H58,"0.00")&amp;" x "&amp;TEXT(I58,"0.00"))</f>
        <v/>
      </c>
      <c r="D58" s="9">
        <f>IF(COUNT(H58,I58)&lt;2,"",ROUND(H58*I58,2))</f>
        <v/>
      </c>
      <c r="E58" s="27" t="n">
        <v>25</v>
      </c>
      <c r="F58" s="30">
        <f>IF(D58="","",ROUND(D58*E58,1))</f>
        <v/>
      </c>
      <c r="G58" s="2" t="n"/>
      <c r="H58" s="37" t="n">
        <v>8.66</v>
      </c>
      <c r="I58" s="37" t="n">
        <v>3</v>
      </c>
    </row>
    <row r="59" ht="47" customHeight="1">
      <c r="A59" s="10" t="n"/>
      <c r="B59" s="36" t="inlineStr">
        <is>
          <t>INTERIORES (    )</t>
        </is>
      </c>
      <c r="C59" s="10">
        <f>IF(COUNT(H59,I59)&lt;2,"",TEXT(H59,"0.00")&amp;" x "&amp;TEXT(I59,"0.00"))</f>
        <v/>
      </c>
      <c r="D59" s="9">
        <f>IF(COUNT(H59,I59)&lt;2,"",ROUND(H59*I59,2))</f>
        <v/>
      </c>
      <c r="E59" s="27" t="n">
        <v>25</v>
      </c>
      <c r="F59" s="30">
        <f>IF(D59="","",ROUND(D59*E59,1))</f>
        <v/>
      </c>
      <c r="G59" s="2" t="n"/>
      <c r="H59" s="37" t="n">
        <v>4.06</v>
      </c>
      <c r="I59" s="37" t="n">
        <v>3</v>
      </c>
    </row>
    <row r="60" ht="39.7" customHeight="1">
      <c r="A60" s="18" t="inlineStr">
        <is>
          <t>3</t>
        </is>
      </c>
      <c r="B60" s="35" t="inlineStr">
        <is>
          <t>TECHOS O CIELORRASOS</t>
        </is>
      </c>
      <c r="C60" s="10" t="n"/>
      <c r="D60" s="10" t="n"/>
      <c r="E60" s="10" t="n"/>
      <c r="F60" s="10" t="n"/>
      <c r="G60" s="2" t="n"/>
      <c r="H60" s="2" t="n"/>
      <c r="I60" s="2" t="n"/>
    </row>
    <row r="61" ht="47" customHeight="1">
      <c r="A61" s="10" t="n"/>
      <c r="B61" s="36" t="inlineStr">
        <is>
          <t>TECHO NO AISLADO</t>
        </is>
      </c>
      <c r="C61" s="10" t="inlineStr"/>
      <c r="D61" s="9">
        <f>IF(COUNT(H61,I61)&lt;2,"",ROUND(H61*I61,2))</f>
        <v/>
      </c>
      <c r="E61" s="27" t="n">
        <v>30</v>
      </c>
      <c r="F61" s="30">
        <f>IF(D61="","",ROUND(D61*E61,1))</f>
        <v/>
      </c>
      <c r="G61" s="2" t="n"/>
      <c r="H61" s="37" t="n"/>
      <c r="I61" s="37" t="n"/>
    </row>
    <row r="62" ht="47" customHeight="1">
      <c r="A62" s="10" t="n"/>
      <c r="B62" s="36" t="inlineStr">
        <is>
          <t>TECHO AISLADO</t>
        </is>
      </c>
      <c r="C62" s="10" t="inlineStr"/>
      <c r="D62" s="9">
        <f>IF(COUNT(H62,I62)&lt;2,"",ROUND(H62*I62,2))</f>
        <v/>
      </c>
      <c r="E62" s="27" t="n">
        <v>20</v>
      </c>
      <c r="F62" s="30">
        <f>IF(D62="","",ROUND(D62*E62,1))</f>
        <v/>
      </c>
      <c r="G62" s="2" t="n"/>
      <c r="H62" s="37" t="n"/>
      <c r="I62" s="37" t="n"/>
    </row>
    <row r="63" ht="39.7" customHeight="1">
      <c r="A63" s="10" t="n"/>
      <c r="B63" s="36" t="inlineStr">
        <is>
          <t>TECHO ENTREPISO</t>
        </is>
      </c>
      <c r="C63" s="10" t="inlineStr">
        <is>
          <t>por croquis</t>
        </is>
      </c>
      <c r="D63" s="9" t="n">
        <v>35.16</v>
      </c>
      <c r="E63" s="27" t="n">
        <v>15</v>
      </c>
      <c r="F63" s="30">
        <f>IF(D63="","",ROUND(D63*E63,1))</f>
        <v/>
      </c>
      <c r="G63" s="2" t="n"/>
      <c r="H63" s="37" t="n"/>
      <c r="I63" s="37" t="n"/>
    </row>
    <row r="64" ht="39.7" customHeight="1">
      <c r="A64" s="18" t="inlineStr">
        <is>
          <t>4</t>
        </is>
      </c>
      <c r="B64" s="35" t="inlineStr">
        <is>
          <t>PISO</t>
        </is>
      </c>
      <c r="C64" s="10" t="n"/>
      <c r="D64" s="10" t="n"/>
      <c r="E64" s="10" t="n"/>
      <c r="F64" s="10" t="n"/>
      <c r="G64" s="2" t="n"/>
      <c r="H64" s="2" t="n"/>
      <c r="I64" s="2" t="n"/>
    </row>
    <row r="65" ht="39.7" customHeight="1">
      <c r="A65" s="10" t="n"/>
      <c r="B65" s="36" t="inlineStr">
        <is>
          <t>SOBRE TIERRA</t>
        </is>
      </c>
      <c r="C65" s="10" t="inlineStr">
        <is>
          <t>por croquis</t>
        </is>
      </c>
      <c r="D65" s="9" t="n">
        <v>35.16</v>
      </c>
      <c r="E65" s="27" t="n">
        <v>10</v>
      </c>
      <c r="F65" s="30">
        <f>IF(D65="","",ROUND(D65*E65,1))</f>
        <v/>
      </c>
      <c r="G65" s="2" t="n"/>
      <c r="H65" s="37" t="n"/>
      <c r="I65" s="37" t="n"/>
    </row>
    <row r="66" ht="47" customHeight="1">
      <c r="A66" s="10" t="n"/>
      <c r="B66" s="36" t="inlineStr">
        <is>
          <t>SOBRE LOCAL OCUPADO</t>
        </is>
      </c>
      <c r="C66" s="10" t="inlineStr"/>
      <c r="D66" s="9">
        <f>IF(COUNT(H66,I66)&lt;2,"",ROUND(H66*I66,2))</f>
        <v/>
      </c>
      <c r="E66" s="27" t="n">
        <v>15</v>
      </c>
      <c r="F66" s="30">
        <f>IF(D66="","",ROUND(D66*E66,1))</f>
        <v/>
      </c>
      <c r="G66" s="2" t="n"/>
      <c r="H66" s="37" t="n"/>
      <c r="I66" s="37" t="n"/>
    </row>
    <row r="67" ht="39.7" customHeight="1">
      <c r="A67" s="18" t="inlineStr">
        <is>
          <t>5</t>
        </is>
      </c>
      <c r="B67" s="35" t="inlineStr">
        <is>
          <t>INFILTRACION</t>
        </is>
      </c>
      <c r="C67" s="10" t="n"/>
      <c r="D67" s="18" t="inlineStr">
        <is>
          <t>VOLUMEN (m3)</t>
        </is>
      </c>
      <c r="E67" s="10" t="n"/>
      <c r="F67" s="10" t="n"/>
      <c r="G67" s="2" t="n"/>
      <c r="H67" s="2" t="n"/>
      <c r="I67" s="2" t="n"/>
    </row>
    <row r="68" ht="39.7" customHeight="1">
      <c r="A68" s="10" t="n"/>
      <c r="B68" s="36" t="inlineStr">
        <is>
          <t>UNA PARED EXTERIOR</t>
        </is>
      </c>
      <c r="C68" s="10" t="inlineStr">
        <is>
          <t>35.16 m2 x 3.00</t>
        </is>
      </c>
      <c r="D68" s="9" t="n">
        <v>105.48</v>
      </c>
      <c r="E68" s="27" t="n">
        <v>6</v>
      </c>
      <c r="F68" s="30">
        <f>IF(D68="","",ROUND(D68*E68,1))</f>
        <v/>
      </c>
      <c r="G68" s="2" t="n"/>
      <c r="H68" s="37" t="n"/>
      <c r="I68" s="37" t="n"/>
    </row>
    <row r="69" ht="47" customHeight="1">
      <c r="A69" s="10" t="n"/>
      <c r="B69" s="36" t="inlineStr">
        <is>
          <t>DOS PAREDES EXTERIORES</t>
        </is>
      </c>
      <c r="C69" s="10" t="inlineStr"/>
      <c r="D69" s="9">
        <f>IF(COUNT(H69,I69)&lt;2,"",ROUND(H69*I69,2))</f>
        <v/>
      </c>
      <c r="E69" s="27" t="n">
        <v>9</v>
      </c>
      <c r="F69" s="30">
        <f>IF(D69="","",ROUND(D69*E69,1))</f>
        <v/>
      </c>
      <c r="G69" s="2" t="n"/>
      <c r="H69" s="37" t="n"/>
      <c r="I69" s="37" t="n"/>
    </row>
    <row r="70" ht="47" customHeight="1">
      <c r="A70" s="10" t="n"/>
      <c r="B70" s="36" t="inlineStr">
        <is>
          <t>TRES O MAS PAREDES EXTERIORES</t>
        </is>
      </c>
      <c r="C70" s="10" t="inlineStr"/>
      <c r="D70" s="9">
        <f>IF(COUNT(H70,I70)&lt;2,"",ROUND(H70*I70,2))</f>
        <v/>
      </c>
      <c r="E70" s="27" t="n">
        <v>12</v>
      </c>
      <c r="F70" s="30">
        <f>IF(D70="","",ROUND(D70*E70,1))</f>
        <v/>
      </c>
      <c r="G70" s="2" t="n"/>
      <c r="H70" s="37" t="n"/>
      <c r="I70" s="37" t="n"/>
    </row>
    <row r="71" ht="70" customHeight="1">
      <c r="A71" s="18" t="inlineStr">
        <is>
          <t>6</t>
        </is>
      </c>
      <c r="B71" s="35" t="inlineStr">
        <is>
          <t>SUBTOTAL</t>
        </is>
      </c>
      <c r="C71" s="10" t="n"/>
      <c r="D71" s="10" t="n"/>
      <c r="E71" s="10" t="n"/>
      <c r="F71" s="38">
        <f>IF(F52="",0,F52)+IF(F53="",0,F53)+IF(F55="",0,F55)+IF(F56="",0,F56)+IF(F57="",0,F57)+IF(F58="",0,F58)+IF(F59="",0,F59)+IF(F61="",0,F61)+IF(F62="",0,F62)+IF(F63="",0,F63)+IF(F65="",0,F65)+IF(F66="",0,F66)+IF(F68="",0,F68)+IF(F69="",0,F69)+IF(F70="",0,F70)</f>
        <v/>
      </c>
      <c r="G71" s="2" t="n"/>
      <c r="H71" s="2" t="n"/>
      <c r="I71" s="2" t="n"/>
    </row>
    <row r="72" ht="47" customHeight="1">
      <c r="A72" s="18" t="inlineStr">
        <is>
          <t>7</t>
        </is>
      </c>
      <c r="B72" s="35" t="inlineStr">
        <is>
          <t>PERDIDA TOTAL</t>
        </is>
      </c>
      <c r="C72" s="10">
        <f>TEXT(F71,"0.00")&amp;"  X  "&amp;Datos_balance!$B$4&amp;" (FI)  X  "&amp;Datos_balance!$B$5&amp;" (FO)  X  "&amp;Datos_balance!$B$6&amp;" (FZ)"</f>
        <v/>
      </c>
      <c r="D72" s="2" t="n"/>
      <c r="E72" s="2" t="n"/>
      <c r="F72" s="38">
        <f>ROUND(F71*Datos_balance!$B$4*Datos_balance!$B$5*Datos_balance!$B$6,1)</f>
        <v/>
      </c>
      <c r="G72" s="2" t="n"/>
      <c r="H72" s="2" t="n"/>
      <c r="I72" s="2" t="n"/>
    </row>
    <row r="73" ht="39.7" customHeight="1">
      <c r="A73" s="10" t="n"/>
      <c r="B73" s="11" t="inlineStr">
        <is>
          <t>Carga de locales sin emisor</t>
        </is>
      </c>
      <c r="C73" s="10" t="inlineStr">
        <is>
          <t>07 - Hall / ingreso</t>
        </is>
      </c>
      <c r="D73" s="2" t="n"/>
      <c r="E73" s="2" t="n"/>
      <c r="F73" s="30">
        <f>F115</f>
        <v/>
      </c>
      <c r="G73" s="2" t="n"/>
      <c r="H73" s="2" t="n"/>
      <c r="I73" s="2" t="n"/>
    </row>
    <row r="74" ht="39.7" customHeight="1">
      <c r="A74" s="10" t="n"/>
      <c r="B74" s="35" t="inlineStr">
        <is>
          <t>CARGA TOTAL A CUBRIR</t>
        </is>
      </c>
      <c r="C74" s="10" t="n"/>
      <c r="D74" s="2" t="n"/>
      <c r="E74" s="2" t="n"/>
      <c r="F74" s="38">
        <f>F72+IF(F73="",0,F73)</f>
        <v/>
      </c>
      <c r="G74" s="2" t="n"/>
      <c r="H74" s="2" t="n"/>
      <c r="I74" s="2" t="n"/>
    </row>
    <row r="75">
      <c r="A75" s="2" t="n"/>
      <c r="B75" s="2" t="n"/>
      <c r="C75" s="2" t="n"/>
      <c r="D75" s="2" t="n"/>
      <c r="E75" s="2" t="n"/>
      <c r="F75" s="2" t="n"/>
      <c r="G75" s="2" t="n"/>
      <c r="H75" s="2" t="n"/>
      <c r="I75" s="2" t="n"/>
    </row>
    <row r="76" ht="62" customHeight="1">
      <c r="A76" s="10" t="n"/>
      <c r="B76" s="11" t="inlineStr">
        <is>
          <t>Salto termico:  dt = (te+ts)/2 - ti</t>
        </is>
      </c>
      <c r="C76" s="10">
        <f>TEXT((Datos_balance!$B$9+Datos_balance!$B$10)/2,"0")&amp;" - "&amp;TEXT(Datos_balance!$B$11,"0")&amp;" = "&amp;TEXT((Datos_balance!$B$9+Datos_balance!$B$10)/2-Datos_balance!$B$11,"0")&amp;" C"</f>
        <v/>
      </c>
      <c r="D76" s="2" t="n"/>
      <c r="E76" s="2" t="n"/>
      <c r="F76" s="10" t="n"/>
      <c r="G76" s="2" t="n"/>
      <c r="H76" s="2" t="n"/>
      <c r="I76" s="2" t="n"/>
    </row>
    <row r="77" ht="39.7" customHeight="1">
      <c r="A77" s="10" t="n"/>
      <c r="B77" s="11" t="inlineStr">
        <is>
          <t>Kcal/h por elemento</t>
        </is>
      </c>
      <c r="C77" s="9">
        <f>ROUND(Datos_balance!$B$14*Datos_balance!$B$15,2)</f>
        <v/>
      </c>
      <c r="D77" s="2" t="n"/>
      <c r="E77" s="2" t="n"/>
      <c r="F77" s="10" t="n"/>
      <c r="G77" s="2" t="n"/>
      <c r="H77" s="2" t="n"/>
      <c r="I77" s="2" t="n"/>
    </row>
    <row r="78" ht="39.7" customHeight="1">
      <c r="A78" s="10" t="n"/>
      <c r="B78" s="11" t="inlineStr">
        <is>
          <t>Elementos necesarios</t>
        </is>
      </c>
      <c r="C78" s="27">
        <f>ROUNDUP(F74/(Datos_balance!$B$14*Datos_balance!$B$15),0)</f>
        <v/>
      </c>
      <c r="D78" s="2" t="n"/>
      <c r="E78" s="2" t="n"/>
      <c r="F78" s="10" t="n"/>
      <c r="G78" s="2" t="n"/>
      <c r="H78" s="2" t="n"/>
      <c r="I78" s="2" t="n"/>
    </row>
    <row r="79" ht="39.7" customHeight="1">
      <c r="A79" s="10" t="n"/>
      <c r="B79" s="11" t="inlineStr">
        <is>
          <t>Ancho del radiador (cm)</t>
        </is>
      </c>
      <c r="C79" s="27">
        <f>ROUNDUP(F74/(Datos_balance!$B$14*Datos_balance!$B$15),0)*Datos_balance!$B$16</f>
        <v/>
      </c>
      <c r="D79" s="2" t="n"/>
      <c r="E79" s="2" t="n"/>
      <c r="F79" s="10" t="n"/>
      <c r="G79" s="2" t="n"/>
      <c r="H79" s="2" t="n"/>
      <c r="I79" s="2" t="n"/>
    </row>
    <row r="80" ht="39.7" customHeight="1">
      <c r="A80" s="14" t="n"/>
      <c r="B80" s="15" t="inlineStr">
        <is>
          <t>Radiador adoptado</t>
        </is>
      </c>
      <c r="C80" s="14">
        <f>Datos_balance!$B$13</f>
        <v/>
      </c>
      <c r="D80" s="22" t="n"/>
      <c r="E80" s="22" t="n"/>
      <c r="F80" s="14" t="n"/>
      <c r="G80" s="2" t="n"/>
      <c r="H80" s="2" t="n"/>
      <c r="I80" s="2" t="n"/>
    </row>
    <row r="81">
      <c r="A81" s="2" t="n"/>
      <c r="B81" s="2" t="n"/>
      <c r="C81" s="2" t="n"/>
      <c r="D81" s="2" t="n"/>
      <c r="E81" s="2" t="n"/>
      <c r="F81" s="2" t="n"/>
      <c r="G81" s="2" t="n"/>
      <c r="H81" s="2" t="n"/>
      <c r="I81" s="2" t="n"/>
    </row>
    <row r="82" ht="39.7" customHeight="1">
      <c r="A82" s="2" t="n"/>
      <c r="B82" s="39" t="inlineStr">
        <is>
          <t>Ubicacion del local en planta</t>
        </is>
      </c>
      <c r="C82" s="2" t="n"/>
      <c r="D82" s="2" t="n"/>
      <c r="E82" s="2" t="n"/>
      <c r="F82" s="2" t="n"/>
      <c r="G82" s="2" t="n"/>
      <c r="H82" s="2" t="n"/>
      <c r="I82" s="2" t="n"/>
    </row>
    <row r="83" ht="39.7" customHeight="1">
      <c r="A83" s="2" t="n"/>
      <c r="B83" s="2" t="n"/>
      <c r="C83" s="2" t="n"/>
      <c r="D83" s="2" t="n"/>
      <c r="E83" s="2" t="n"/>
      <c r="F83" s="2" t="n"/>
      <c r="G83" s="2" t="n"/>
      <c r="H83" s="2" t="n"/>
      <c r="I83" s="2" t="n"/>
    </row>
    <row r="84" ht="39.7" customHeight="1">
      <c r="A84" s="2" t="n"/>
      <c r="B84" s="2" t="n"/>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c r="A91" s="2" t="n"/>
      <c r="B91" s="2" t="n"/>
      <c r="C91" s="2" t="n"/>
      <c r="D91" s="2" t="n"/>
      <c r="E91" s="2" t="n"/>
      <c r="F91" s="2" t="n"/>
      <c r="G91" s="2" t="n"/>
      <c r="H91" s="2" t="n"/>
      <c r="I91" s="2" t="n"/>
    </row>
    <row r="92">
      <c r="A92" s="2" t="n"/>
      <c r="B92" s="2" t="n"/>
      <c r="C92" s="2" t="n"/>
      <c r="D92" s="2" t="n"/>
      <c r="E92" s="2" t="n"/>
      <c r="F92" s="2" t="n"/>
      <c r="G92" s="2" t="n"/>
      <c r="H92" s="2" t="n"/>
      <c r="I92" s="2" t="n"/>
    </row>
    <row r="93">
      <c r="A93" s="2" t="n"/>
      <c r="B93" s="2" t="n"/>
      <c r="C93" s="2" t="n"/>
      <c r="D93" s="2" t="n"/>
      <c r="E93" s="2" t="n"/>
      <c r="F93" s="2" t="n"/>
      <c r="G93" s="2" t="n"/>
      <c r="H93" s="2" t="n"/>
      <c r="I93" s="2" t="n"/>
    </row>
    <row r="94" ht="39.7" customHeight="1">
      <c r="A94" s="5" t="inlineStr">
        <is>
          <t>LOCAL  07 - Hall / ingreso   (PB)   -   altura 3.00 m</t>
        </is>
      </c>
      <c r="B94" s="2" t="n"/>
      <c r="C94" s="2" t="n"/>
      <c r="D94" s="2" t="n"/>
      <c r="E94" s="2" t="n"/>
      <c r="F94" s="2" t="n"/>
      <c r="G94" s="2" t="n"/>
      <c r="H94" s="2" t="n"/>
      <c r="I94" s="2" t="n"/>
    </row>
    <row r="95" ht="39.7" customHeight="1">
      <c r="A95" s="3" t="inlineStr">
        <is>
          <t>Nro</t>
        </is>
      </c>
      <c r="B95" s="3" t="inlineStr">
        <is>
          <t>DESCRIPCION</t>
        </is>
      </c>
      <c r="C95" s="3" t="inlineStr">
        <is>
          <t>DIMENSIONES (m)</t>
        </is>
      </c>
      <c r="D95" s="3" t="inlineStr">
        <is>
          <t>AREA (m2)</t>
        </is>
      </c>
      <c r="E95" s="3" t="inlineStr">
        <is>
          <t>FACTOR</t>
        </is>
      </c>
      <c r="F95" s="3" t="inlineStr">
        <is>
          <t>PERDIDA CALOR (Kcal/h)</t>
        </is>
      </c>
      <c r="G95" s="2" t="n"/>
      <c r="H95" s="2" t="n"/>
      <c r="I95" s="2" t="n"/>
    </row>
    <row r="96" ht="39.7" customHeight="1">
      <c r="A96" s="18" t="inlineStr">
        <is>
          <t>1</t>
        </is>
      </c>
      <c r="B96" s="35" t="inlineStr">
        <is>
          <t>VENTANA</t>
        </is>
      </c>
      <c r="C96" s="10" t="n"/>
      <c r="D96" s="10" t="n"/>
      <c r="E96" s="10" t="n"/>
      <c r="F96" s="10" t="n"/>
      <c r="G96" s="2" t="n"/>
      <c r="H96" s="2" t="n"/>
      <c r="I96" s="2" t="n"/>
    </row>
    <row r="97" ht="47" customHeight="1">
      <c r="A97" s="10" t="n"/>
      <c r="B97" s="36" t="inlineStr">
        <is>
          <t>PF01 (2)</t>
        </is>
      </c>
      <c r="C97" s="10">
        <f>IF(COUNT(H97,I97)&lt;2,"",TEXT(H97,"0.00")&amp;" x "&amp;TEXT(I97,"0.00"))</f>
        <v/>
      </c>
      <c r="D97" s="9">
        <f>IF(COUNT(H97,I97)&lt;2,"",ROUND(H97*I97,2))</f>
        <v/>
      </c>
      <c r="E97" s="27" t="n">
        <v>60</v>
      </c>
      <c r="F97" s="30">
        <f>IF(D97="","",ROUND(D97*E97,1))</f>
        <v/>
      </c>
      <c r="G97" s="2" t="n"/>
      <c r="H97" s="37" t="n">
        <v>3.55</v>
      </c>
      <c r="I97" s="37" t="n">
        <v>3</v>
      </c>
    </row>
    <row r="98" ht="39.7" customHeight="1">
      <c r="A98" s="18" t="inlineStr">
        <is>
          <t>2</t>
        </is>
      </c>
      <c r="B98" s="35" t="inlineStr">
        <is>
          <t>PAREDES EXTERIORES</t>
        </is>
      </c>
      <c r="C98" s="10" t="n"/>
      <c r="D98" s="10" t="n"/>
      <c r="E98" s="10" t="n"/>
      <c r="F98" s="10" t="n"/>
      <c r="G98" s="2" t="n"/>
      <c r="H98" s="2" t="n"/>
      <c r="I98" s="2" t="n"/>
    </row>
    <row r="99" ht="47" customHeight="1">
      <c r="A99" s="10" t="n"/>
      <c r="B99" s="36" t="inlineStr">
        <is>
          <t>AISLADAS (SO)</t>
        </is>
      </c>
      <c r="C99" s="10">
        <f>IF(COUNT(H99,I99)&lt;2,"",TEXT(H99,"0.00")&amp;" x "&amp;TEXT(I99,"0.00"))</f>
        <v/>
      </c>
      <c r="D99" s="9">
        <f>IF(COUNT(H99,I99)&lt;2,"",ROUND(H99*I99,2))</f>
        <v/>
      </c>
      <c r="E99" s="27" t="n">
        <v>20</v>
      </c>
      <c r="F99" s="30">
        <f>IF(D99="","",ROUND(D99*E99,1))</f>
        <v/>
      </c>
      <c r="G99" s="2" t="n"/>
      <c r="H99" s="37" t="n">
        <v>3.52</v>
      </c>
      <c r="I99" s="37" t="n">
        <v>3</v>
      </c>
    </row>
    <row r="100" ht="62" customHeight="1">
      <c r="A100" s="10" t="n"/>
      <c r="B100" s="36" t="inlineStr">
        <is>
          <t>AISLADAS ()</t>
        </is>
      </c>
      <c r="C100" s="10">
        <f>IF(COUNT(H100,I100)&lt;2,"",TEXT(H100,"0.00")&amp;" x "&amp;TEXT(I100,"0.00"))</f>
        <v/>
      </c>
      <c r="D100" s="9">
        <f>IF(COUNT(H100,I100)&lt;2,"",ROUND(H100*I100,2))</f>
        <v/>
      </c>
      <c r="E100" s="27" t="n">
        <v>20</v>
      </c>
      <c r="F100" s="30">
        <f>IF(D100="","",ROUND(D100*E100,1))</f>
        <v/>
      </c>
      <c r="G100" s="2" t="n"/>
      <c r="H100" s="37" t="n">
        <v>2.15</v>
      </c>
      <c r="I100" s="37" t="n">
        <v>3</v>
      </c>
    </row>
    <row r="101" ht="62" customHeight="1">
      <c r="A101" s="10" t="n"/>
      <c r="B101" s="36" t="inlineStr">
        <is>
          <t>INTERIORES (    )</t>
        </is>
      </c>
      <c r="C101" s="10">
        <f>IF(COUNT(H101,I101)&lt;2,"",TEXT(H101,"0.00")&amp;" x "&amp;TEXT(I101,"0.00"))</f>
        <v/>
      </c>
      <c r="D101" s="9">
        <f>IF(COUNT(H101,I101)&lt;2,"",ROUND(H101*I101,2))</f>
        <v/>
      </c>
      <c r="E101" s="27" t="n">
        <v>25</v>
      </c>
      <c r="F101" s="30">
        <f>IF(D101="","",ROUND(D101*E101,1))</f>
        <v/>
      </c>
      <c r="G101" s="2" t="n"/>
      <c r="H101" s="37" t="n">
        <v>3.52</v>
      </c>
      <c r="I101" s="37" t="n">
        <v>3</v>
      </c>
    </row>
    <row r="102" ht="62" customHeight="1">
      <c r="A102" s="10" t="n"/>
      <c r="B102" s="36" t="inlineStr">
        <is>
          <t>INTERIORES (    )</t>
        </is>
      </c>
      <c r="C102" s="10">
        <f>IF(COUNT(H102,I102)&lt;2,"",TEXT(H102,"0.00")&amp;" x "&amp;TEXT(I102,"0.00"))</f>
        <v/>
      </c>
      <c r="D102" s="9">
        <f>IF(COUNT(H102,I102)&lt;2,"",ROUND(H102*I102,2))</f>
        <v/>
      </c>
      <c r="E102" s="27" t="n">
        <v>25</v>
      </c>
      <c r="F102" s="30">
        <f>IF(D102="","",ROUND(D102*E102,1))</f>
        <v/>
      </c>
      <c r="G102" s="2" t="n"/>
      <c r="H102" s="37" t="n">
        <v>2.15</v>
      </c>
      <c r="I102" s="37" t="n">
        <v>3</v>
      </c>
    </row>
    <row r="103" ht="39.7" customHeight="1">
      <c r="A103" s="18" t="inlineStr">
        <is>
          <t>3</t>
        </is>
      </c>
      <c r="B103" s="35" t="inlineStr">
        <is>
          <t>TECHOS O CIELORRASOS</t>
        </is>
      </c>
      <c r="C103" s="10" t="n"/>
      <c r="D103" s="10" t="n"/>
      <c r="E103" s="10" t="n"/>
      <c r="F103" s="10" t="n"/>
      <c r="G103" s="2" t="n"/>
      <c r="H103" s="2" t="n"/>
      <c r="I103" s="2" t="n"/>
    </row>
    <row r="104" ht="62" customHeight="1">
      <c r="A104" s="10" t="n"/>
      <c r="B104" s="36" t="inlineStr">
        <is>
          <t>TECHO NO AISLADO</t>
        </is>
      </c>
      <c r="C104" s="10" t="inlineStr"/>
      <c r="D104" s="9">
        <f>IF(COUNT(H104,I104)&lt;2,"",ROUND(H104*I104,2))</f>
        <v/>
      </c>
      <c r="E104" s="27" t="n">
        <v>30</v>
      </c>
      <c r="F104" s="30">
        <f>IF(D104="","",ROUND(D104*E104,1))</f>
        <v/>
      </c>
      <c r="G104" s="2" t="n"/>
      <c r="H104" s="37" t="n"/>
      <c r="I104" s="37" t="n"/>
    </row>
    <row r="105" ht="62" customHeight="1">
      <c r="A105" s="10" t="n"/>
      <c r="B105" s="36" t="inlineStr">
        <is>
          <t>TECHO AISLADO</t>
        </is>
      </c>
      <c r="C105" s="10" t="inlineStr"/>
      <c r="D105" s="9">
        <f>IF(COUNT(H105,I105)&lt;2,"",ROUND(H105*I105,2))</f>
        <v/>
      </c>
      <c r="E105" s="27" t="n">
        <v>20</v>
      </c>
      <c r="F105" s="30">
        <f>IF(D105="","",ROUND(D105*E105,1))</f>
        <v/>
      </c>
      <c r="G105" s="2" t="n"/>
      <c r="H105" s="37" t="n"/>
      <c r="I105" s="37" t="n"/>
    </row>
    <row r="106" ht="39.7" customHeight="1">
      <c r="A106" s="10" t="n"/>
      <c r="B106" s="36" t="inlineStr">
        <is>
          <t>TECHO ENTREPISO</t>
        </is>
      </c>
      <c r="C106" s="10" t="inlineStr">
        <is>
          <t>por croquis</t>
        </is>
      </c>
      <c r="D106" s="9" t="n">
        <v>7.57</v>
      </c>
      <c r="E106" s="27" t="n">
        <v>15</v>
      </c>
      <c r="F106" s="30">
        <f>IF(D106="","",ROUND(D106*E106,1))</f>
        <v/>
      </c>
      <c r="G106" s="2" t="n"/>
      <c r="H106" s="37" t="n"/>
      <c r="I106" s="37" t="n"/>
    </row>
    <row r="107" ht="39.7" customHeight="1">
      <c r="A107" s="18" t="inlineStr">
        <is>
          <t>4</t>
        </is>
      </c>
      <c r="B107" s="35" t="inlineStr">
        <is>
          <t>PISO</t>
        </is>
      </c>
      <c r="C107" s="10" t="n"/>
      <c r="D107" s="10" t="n"/>
      <c r="E107" s="10" t="n"/>
      <c r="F107" s="10" t="n"/>
      <c r="G107" s="2" t="n"/>
      <c r="H107" s="2" t="n"/>
      <c r="I107" s="2" t="n"/>
    </row>
    <row r="108" ht="39.7" customHeight="1">
      <c r="A108" s="10" t="n"/>
      <c r="B108" s="36" t="inlineStr">
        <is>
          <t>SOBRE TIERRA</t>
        </is>
      </c>
      <c r="C108" s="10" t="inlineStr">
        <is>
          <t>por croquis</t>
        </is>
      </c>
      <c r="D108" s="9" t="n">
        <v>7.57</v>
      </c>
      <c r="E108" s="27" t="n">
        <v>10</v>
      </c>
      <c r="F108" s="30">
        <f>IF(D108="","",ROUND(D108*E108,1))</f>
        <v/>
      </c>
      <c r="G108" s="2" t="n"/>
      <c r="H108" s="37" t="n"/>
      <c r="I108" s="37" t="n"/>
    </row>
    <row r="109" ht="62" customHeight="1">
      <c r="A109" s="10" t="n"/>
      <c r="B109" s="36" t="inlineStr">
        <is>
          <t>SOBRE LOCAL OCUPADO</t>
        </is>
      </c>
      <c r="C109" s="10" t="inlineStr"/>
      <c r="D109" s="9">
        <f>IF(COUNT(H109,I109)&lt;2,"",ROUND(H109*I109,2))</f>
        <v/>
      </c>
      <c r="E109" s="27" t="n">
        <v>15</v>
      </c>
      <c r="F109" s="30">
        <f>IF(D109="","",ROUND(D109*E109,1))</f>
        <v/>
      </c>
      <c r="G109" s="2" t="n"/>
      <c r="H109" s="37" t="n"/>
      <c r="I109" s="37" t="n"/>
    </row>
    <row r="110" ht="39.7" customHeight="1">
      <c r="A110" s="18" t="inlineStr">
        <is>
          <t>5</t>
        </is>
      </c>
      <c r="B110" s="35" t="inlineStr">
        <is>
          <t>INFILTRACION</t>
        </is>
      </c>
      <c r="C110" s="10" t="n"/>
      <c r="D110" s="18" t="inlineStr">
        <is>
          <t>VOLUMEN (m3)</t>
        </is>
      </c>
      <c r="E110" s="10" t="n"/>
      <c r="F110" s="10" t="n"/>
      <c r="G110" s="2" t="n"/>
      <c r="H110" s="2" t="n"/>
      <c r="I110" s="2" t="n"/>
    </row>
    <row r="111" ht="62" customHeight="1">
      <c r="A111" s="10" t="n"/>
      <c r="B111" s="36" t="inlineStr">
        <is>
          <t>UNA PARED EXTERIOR</t>
        </is>
      </c>
      <c r="C111" s="10" t="inlineStr"/>
      <c r="D111" s="9">
        <f>IF(COUNT(H111,I111)&lt;2,"",ROUND(H111*I111,2))</f>
        <v/>
      </c>
      <c r="E111" s="27" t="n">
        <v>6</v>
      </c>
      <c r="F111" s="30">
        <f>IF(D111="","",ROUND(D111*E111,1))</f>
        <v/>
      </c>
      <c r="G111" s="2" t="n"/>
      <c r="H111" s="37" t="n"/>
      <c r="I111" s="37" t="n"/>
    </row>
    <row r="112" ht="39.7" customHeight="1">
      <c r="A112" s="10" t="n"/>
      <c r="B112" s="36" t="inlineStr">
        <is>
          <t>DOS PAREDES EXTERIORES</t>
        </is>
      </c>
      <c r="C112" s="10" t="inlineStr">
        <is>
          <t>7.57 m2 x 3.00</t>
        </is>
      </c>
      <c r="D112" s="9" t="n">
        <v>22.71</v>
      </c>
      <c r="E112" s="27" t="n">
        <v>9</v>
      </c>
      <c r="F112" s="30">
        <f>IF(D112="","",ROUND(D112*E112,1))</f>
        <v/>
      </c>
      <c r="G112" s="2" t="n"/>
      <c r="H112" s="37" t="n"/>
      <c r="I112" s="37" t="n"/>
    </row>
    <row r="113" ht="62" customHeight="1">
      <c r="A113" s="10" t="n"/>
      <c r="B113" s="36" t="inlineStr">
        <is>
          <t>TRES O MAS PAREDES EXTERIORES</t>
        </is>
      </c>
      <c r="C113" s="10" t="inlineStr"/>
      <c r="D113" s="9">
        <f>IF(COUNT(H113,I113)&lt;2,"",ROUND(H113*I113,2))</f>
        <v/>
      </c>
      <c r="E113" s="27" t="n">
        <v>12</v>
      </c>
      <c r="F113" s="30">
        <f>IF(D113="","",ROUND(D113*E113,1))</f>
        <v/>
      </c>
      <c r="G113" s="2" t="n"/>
      <c r="H113" s="37" t="n"/>
      <c r="I113" s="37" t="n"/>
    </row>
    <row r="114" ht="70" customHeight="1">
      <c r="A114" s="18" t="inlineStr">
        <is>
          <t>6</t>
        </is>
      </c>
      <c r="B114" s="35" t="inlineStr">
        <is>
          <t>SUBTOTAL</t>
        </is>
      </c>
      <c r="C114" s="10" t="n"/>
      <c r="D114" s="10" t="n"/>
      <c r="E114" s="10" t="n"/>
      <c r="F114" s="38">
        <f>IF(F97="",0,F97)+IF(F99="",0,F99)+IF(F100="",0,F100)+IF(F101="",0,F101)+IF(F102="",0,F102)+IF(F104="",0,F104)+IF(F105="",0,F105)+IF(F106="",0,F106)+IF(F108="",0,F108)+IF(F109="",0,F109)+IF(F111="",0,F111)+IF(F112="",0,F112)+IF(F113="",0,F113)</f>
        <v/>
      </c>
      <c r="G114" s="2" t="n"/>
      <c r="H114" s="2" t="n"/>
      <c r="I114" s="2" t="n"/>
    </row>
    <row r="115" ht="47" customHeight="1">
      <c r="A115" s="18" t="inlineStr">
        <is>
          <t>7</t>
        </is>
      </c>
      <c r="B115" s="35" t="inlineStr">
        <is>
          <t>PERDIDA TOTAL</t>
        </is>
      </c>
      <c r="C115" s="10">
        <f>TEXT(F114,"0.00")&amp;"  X  "&amp;Datos_balance!$B$4&amp;" (FI)  X  "&amp;Datos_balance!$B$5&amp;" (FO)  X  "&amp;Datos_balance!$B$6&amp;" (FZ)"</f>
        <v/>
      </c>
      <c r="D115" s="2" t="n"/>
      <c r="E115" s="2" t="n"/>
      <c r="F115" s="38">
        <f>ROUND(F114*Datos_balance!$B$4*Datos_balance!$B$5*Datos_balance!$B$6,1)</f>
        <v/>
      </c>
      <c r="G115" s="2" t="n"/>
      <c r="H115" s="2" t="n"/>
      <c r="I115" s="2" t="n"/>
    </row>
    <row r="116" ht="39.7" customHeight="1">
      <c r="A116" s="10" t="n"/>
      <c r="B116" s="11" t="inlineStr">
        <is>
          <t>Carga de locales sin emisor</t>
        </is>
      </c>
      <c r="C116" s="10" t="n"/>
      <c r="D116" s="2" t="n"/>
      <c r="E116" s="2" t="n"/>
      <c r="F116" s="30" t="n"/>
      <c r="G116" s="2" t="n"/>
      <c r="H116" s="2" t="n"/>
      <c r="I116" s="2" t="n"/>
    </row>
    <row r="117" ht="39.7" customHeight="1">
      <c r="A117" s="10" t="n"/>
      <c r="B117" s="35" t="inlineStr">
        <is>
          <t>CARGA TOTAL A CUBRIR</t>
        </is>
      </c>
      <c r="C117" s="10" t="n"/>
      <c r="D117" s="2" t="n"/>
      <c r="E117" s="2" t="n"/>
      <c r="F117" s="38">
        <f>F115+IF(F116="",0,F116)</f>
        <v/>
      </c>
      <c r="G117" s="2" t="n"/>
      <c r="H117" s="2" t="n"/>
      <c r="I117" s="2" t="n"/>
    </row>
    <row r="118">
      <c r="A118" s="2" t="n"/>
      <c r="B118" s="2" t="n"/>
      <c r="C118" s="2" t="n"/>
      <c r="D118" s="2" t="n"/>
      <c r="E118" s="2" t="n"/>
      <c r="F118" s="2" t="n"/>
      <c r="G118" s="2" t="n"/>
      <c r="H118" s="2" t="n"/>
      <c r="I118" s="2" t="n"/>
    </row>
    <row r="119" ht="39.7" customHeight="1">
      <c r="A119" s="14" t="n"/>
      <c r="B119" s="40" t="inlineStr">
        <is>
          <t>SIN EMISOR</t>
        </is>
      </c>
      <c r="C119" s="14" t="inlineStr">
        <is>
          <t>la cubre el radiador de 06 - Living / comedor</t>
        </is>
      </c>
      <c r="D119" s="22" t="n"/>
      <c r="E119" s="22" t="n"/>
      <c r="F119" s="14" t="n"/>
      <c r="G119" s="2" t="n"/>
      <c r="H119" s="2" t="n"/>
      <c r="I119" s="2" t="n"/>
    </row>
    <row r="120">
      <c r="A120" s="2" t="n"/>
      <c r="B120" s="2" t="n"/>
      <c r="C120" s="2" t="n"/>
      <c r="D120" s="2" t="n"/>
      <c r="E120" s="2" t="n"/>
      <c r="F120" s="2" t="n"/>
      <c r="G120" s="2" t="n"/>
      <c r="H120" s="2" t="n"/>
      <c r="I120" s="2" t="n"/>
    </row>
    <row r="121" ht="39.7" customHeight="1">
      <c r="A121" s="2" t="n"/>
      <c r="B121" s="39" t="inlineStr">
        <is>
          <t>Ubicacion del local en planta</t>
        </is>
      </c>
      <c r="C121" s="2" t="n"/>
      <c r="D121" s="2" t="n"/>
      <c r="E121" s="2" t="n"/>
      <c r="F121" s="2" t="n"/>
      <c r="G121" s="2" t="n"/>
      <c r="H121" s="2" t="n"/>
      <c r="I121" s="2" t="n"/>
    </row>
    <row r="122" ht="39.7" customHeight="1">
      <c r="A122" s="2" t="n"/>
      <c r="B122" s="2" t="n"/>
      <c r="C122" s="2" t="n"/>
      <c r="D122" s="2" t="n"/>
      <c r="E122" s="2" t="n"/>
      <c r="F122" s="2" t="n"/>
      <c r="G122" s="2" t="n"/>
      <c r="H122" s="2" t="n"/>
      <c r="I122" s="2" t="n"/>
    </row>
    <row r="123" ht="39.7" customHeight="1">
      <c r="A123" s="2" t="n"/>
      <c r="B123" s="2" t="n"/>
      <c r="C123" s="2" t="n"/>
      <c r="D123" s="2" t="n"/>
      <c r="E123" s="2" t="n"/>
      <c r="F123" s="2" t="n"/>
      <c r="G123" s="2" t="n"/>
      <c r="H123" s="2" t="n"/>
      <c r="I123" s="2" t="n"/>
    </row>
    <row r="124" ht="39.7" customHeight="1">
      <c r="A124" s="2" t="n"/>
      <c r="B124" s="2" t="n"/>
      <c r="C124" s="2" t="n"/>
      <c r="D124" s="2" t="n"/>
      <c r="E124" s="2" t="n"/>
      <c r="F124" s="2" t="n"/>
      <c r="G124" s="2" t="n"/>
      <c r="H124" s="2" t="n"/>
      <c r="I124" s="2" t="n"/>
    </row>
    <row r="125" ht="39.7" customHeight="1">
      <c r="A125" s="2" t="n"/>
      <c r="B125" s="2" t="n"/>
      <c r="C125" s="2" t="n"/>
      <c r="D125" s="2" t="n"/>
      <c r="E125" s="2" t="n"/>
      <c r="F125" s="2" t="n"/>
      <c r="G125" s="2" t="n"/>
      <c r="H125" s="2" t="n"/>
      <c r="I125" s="2" t="n"/>
    </row>
    <row r="126" ht="39.7" customHeight="1">
      <c r="A126" s="2" t="n"/>
      <c r="B126" s="2" t="n"/>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c r="A130" s="2" t="n"/>
      <c r="B130" s="2" t="n"/>
      <c r="C130" s="2" t="n"/>
      <c r="D130" s="2" t="n"/>
      <c r="E130" s="2" t="n"/>
      <c r="F130" s="2" t="n"/>
      <c r="G130" s="2" t="n"/>
      <c r="H130" s="2" t="n"/>
      <c r="I130" s="2" t="n"/>
    </row>
    <row r="131">
      <c r="A131" s="2" t="n"/>
      <c r="B131" s="2" t="n"/>
      <c r="C131" s="2" t="n"/>
      <c r="D131" s="2" t="n"/>
      <c r="E131" s="2" t="n"/>
      <c r="F131" s="2" t="n"/>
      <c r="G131" s="2" t="n"/>
      <c r="H131" s="2" t="n"/>
      <c r="I131" s="2" t="n"/>
    </row>
    <row r="132">
      <c r="A132" s="2" t="n"/>
      <c r="B132" s="2" t="n"/>
      <c r="C132" s="2" t="n"/>
      <c r="D132" s="2" t="n"/>
      <c r="E132" s="2" t="n"/>
      <c r="F132" s="2" t="n"/>
      <c r="G132" s="2" t="n"/>
      <c r="H132" s="2" t="n"/>
      <c r="I132" s="2" t="n"/>
    </row>
    <row r="133" ht="39.7" customHeight="1">
      <c r="A133" s="5" t="inlineStr">
        <is>
          <t>LOCAL  08 - Vestidor   (PB)   -   altura 3.00 m</t>
        </is>
      </c>
      <c r="B133" s="2" t="n"/>
      <c r="C133" s="2" t="n"/>
      <c r="D133" s="2" t="n"/>
      <c r="E133" s="2" t="n"/>
      <c r="F133" s="2" t="n"/>
      <c r="G133" s="2" t="n"/>
      <c r="H133" s="2" t="n"/>
      <c r="I133" s="2" t="n"/>
    </row>
    <row r="134" ht="39.7" customHeight="1">
      <c r="A134" s="3" t="inlineStr">
        <is>
          <t>Nro</t>
        </is>
      </c>
      <c r="B134" s="3" t="inlineStr">
        <is>
          <t>DESCRIPCION</t>
        </is>
      </c>
      <c r="C134" s="3" t="inlineStr">
        <is>
          <t>DIMENSIONES (m)</t>
        </is>
      </c>
      <c r="D134" s="3" t="inlineStr">
        <is>
          <t>AREA (m2)</t>
        </is>
      </c>
      <c r="E134" s="3" t="inlineStr">
        <is>
          <t>FACTOR</t>
        </is>
      </c>
      <c r="F134" s="3" t="inlineStr">
        <is>
          <t>PERDIDA CALOR (Kcal/h)</t>
        </is>
      </c>
      <c r="G134" s="2" t="n"/>
      <c r="H134" s="2" t="n"/>
      <c r="I134" s="2" t="n"/>
    </row>
    <row r="135" ht="39.7" customHeight="1">
      <c r="A135" s="18" t="inlineStr">
        <is>
          <t>1</t>
        </is>
      </c>
      <c r="B135" s="35" t="inlineStr">
        <is>
          <t>VENTANA</t>
        </is>
      </c>
      <c r="C135" s="10" t="n"/>
      <c r="D135" s="10" t="n"/>
      <c r="E135" s="10" t="n"/>
      <c r="F135" s="10" t="n"/>
      <c r="G135" s="2" t="n"/>
      <c r="H135" s="2" t="n"/>
      <c r="I135" s="2" t="n"/>
    </row>
    <row r="136" ht="62" customHeight="1">
      <c r="A136" s="10" t="n"/>
      <c r="B136" s="36" t="inlineStr">
        <is>
          <t>(sin aberturas)</t>
        </is>
      </c>
      <c r="C136" s="10">
        <f>IF(COUNT(H136,I136)&lt;2,"",TEXT(H136,"0.00")&amp;" x "&amp;TEXT(I136,"0.00"))</f>
        <v/>
      </c>
      <c r="D136" s="9">
        <f>IF(COUNT(H136,I136)&lt;2,"",ROUND(H136*I136,2))</f>
        <v/>
      </c>
      <c r="E136" s="27" t="n">
        <v>60</v>
      </c>
      <c r="F136" s="30">
        <f>IF(D136="","",ROUND(D136*E136,1))</f>
        <v/>
      </c>
      <c r="G136" s="2" t="n"/>
      <c r="H136" s="37" t="n"/>
      <c r="I136" s="37" t="n"/>
    </row>
    <row r="137" ht="39.7" customHeight="1">
      <c r="A137" s="18" t="inlineStr">
        <is>
          <t>2</t>
        </is>
      </c>
      <c r="B137" s="35" t="inlineStr">
        <is>
          <t>PAREDES EXTERIORES</t>
        </is>
      </c>
      <c r="C137" s="10" t="n"/>
      <c r="D137" s="10" t="n"/>
      <c r="E137" s="10" t="n"/>
      <c r="F137" s="10" t="n"/>
      <c r="G137" s="2" t="n"/>
      <c r="H137" s="2" t="n"/>
      <c r="I137" s="2" t="n"/>
    </row>
    <row r="138" ht="62" customHeight="1">
      <c r="A138" s="10" t="n"/>
      <c r="B138" s="36" t="inlineStr">
        <is>
          <t>AISLADAS ()</t>
        </is>
      </c>
      <c r="C138" s="10">
        <f>IF(COUNT(H138,I138)&lt;2,"",TEXT(H138,"0.00")&amp;" x "&amp;TEXT(I138,"0.00"))</f>
        <v/>
      </c>
      <c r="D138" s="9">
        <f>IF(COUNT(H138,I138)&lt;2,"",ROUND(H138*I138,2))</f>
        <v/>
      </c>
      <c r="E138" s="27" t="n">
        <v>20</v>
      </c>
      <c r="F138" s="30">
        <f>IF(D138="","",ROUND(D138*E138,1))</f>
        <v/>
      </c>
      <c r="G138" s="2" t="n"/>
      <c r="H138" s="37" t="n">
        <v>1.7</v>
      </c>
      <c r="I138" s="37" t="n">
        <v>3</v>
      </c>
    </row>
    <row r="139" ht="62" customHeight="1">
      <c r="A139" s="10" t="n"/>
      <c r="B139" s="36" t="inlineStr">
        <is>
          <t>AISLADAS (    )</t>
        </is>
      </c>
      <c r="C139" s="10">
        <f>IF(COUNT(H139,I139)&lt;2,"",TEXT(H139,"0.00")&amp;" x "&amp;TEXT(I139,"0.00"))</f>
        <v/>
      </c>
      <c r="D139" s="9">
        <f>IF(COUNT(H139,I139)&lt;2,"",ROUND(H139*I139,2))</f>
        <v/>
      </c>
      <c r="E139" s="27" t="n">
        <v>20</v>
      </c>
      <c r="F139" s="30">
        <f>IF(D139="","",ROUND(D139*E139,1))</f>
        <v/>
      </c>
      <c r="G139" s="2" t="n"/>
      <c r="H139" s="37" t="n"/>
      <c r="I139" s="37" t="n"/>
    </row>
    <row r="140" ht="62" customHeight="1">
      <c r="A140" s="10" t="n"/>
      <c r="B140" s="36" t="inlineStr">
        <is>
          <t>INTERIORES (resto del lado largo)</t>
        </is>
      </c>
      <c r="C140" s="10">
        <f>IF(COUNT(H140,I140)&lt;2,"",TEXT(H140,"0.00")&amp;" x "&amp;TEXT(I140,"0.00"))</f>
        <v/>
      </c>
      <c r="D140" s="9">
        <f>IF(COUNT(H140,I140)&lt;2,"",ROUND(H140*I140,2))</f>
        <v/>
      </c>
      <c r="E140" s="27" t="n">
        <v>25</v>
      </c>
      <c r="F140" s="30">
        <f>IF(D140="","",ROUND(D140*E140,1))</f>
        <v/>
      </c>
      <c r="G140" s="2" t="n"/>
      <c r="H140" s="37" t="n">
        <v>3.17</v>
      </c>
      <c r="I140" s="37" t="n">
        <v>3</v>
      </c>
    </row>
    <row r="141" ht="62" customHeight="1">
      <c r="A141" s="10" t="n"/>
      <c r="B141" s="36" t="inlineStr">
        <is>
          <t>INTERIORES (    )</t>
        </is>
      </c>
      <c r="C141" s="10">
        <f>IF(COUNT(H141,I141)&lt;2,"",TEXT(H141,"0.00")&amp;" x "&amp;TEXT(I141,"0.00"))</f>
        <v/>
      </c>
      <c r="D141" s="9">
        <f>IF(COUNT(H141,I141)&lt;2,"",ROUND(H141*I141,2))</f>
        <v/>
      </c>
      <c r="E141" s="27" t="n">
        <v>25</v>
      </c>
      <c r="F141" s="30">
        <f>IF(D141="","",ROUND(D141*E141,1))</f>
        <v/>
      </c>
      <c r="G141" s="2" t="n"/>
      <c r="H141" s="37" t="n">
        <v>3.38</v>
      </c>
      <c r="I141" s="37" t="n">
        <v>3</v>
      </c>
    </row>
    <row r="142" ht="62" customHeight="1">
      <c r="A142" s="10" t="n"/>
      <c r="B142" s="36" t="inlineStr">
        <is>
          <t>INTERIORES (    )</t>
        </is>
      </c>
      <c r="C142" s="10">
        <f>IF(COUNT(H142,I142)&lt;2,"",TEXT(H142,"0.00")&amp;" x "&amp;TEXT(I142,"0.00"))</f>
        <v/>
      </c>
      <c r="D142" s="9">
        <f>IF(COUNT(H142,I142)&lt;2,"",ROUND(H142*I142,2))</f>
        <v/>
      </c>
      <c r="E142" s="27" t="n">
        <v>25</v>
      </c>
      <c r="F142" s="30">
        <f>IF(D142="","",ROUND(D142*E142,1))</f>
        <v/>
      </c>
      <c r="G142" s="2" t="n"/>
      <c r="H142" s="37" t="n">
        <v>1.66</v>
      </c>
      <c r="I142" s="37" t="n">
        <v>3</v>
      </c>
    </row>
    <row r="143" ht="62" customHeight="1">
      <c r="A143" s="10" t="n"/>
      <c r="B143" s="36" t="inlineStr">
        <is>
          <t>INTERIORES (    )</t>
        </is>
      </c>
      <c r="C143" s="10">
        <f>IF(COUNT(H143,I143)&lt;2,"",TEXT(H143,"0.00")&amp;" x "&amp;TEXT(I143,"0.00"))</f>
        <v/>
      </c>
      <c r="D143" s="9">
        <f>IF(COUNT(H143,I143)&lt;2,"",ROUND(H143*I143,2))</f>
        <v/>
      </c>
      <c r="E143" s="27" t="n">
        <v>25</v>
      </c>
      <c r="F143" s="30">
        <f>IF(D143="","",ROUND(D143*E143,1))</f>
        <v/>
      </c>
      <c r="G143" s="2" t="n"/>
      <c r="H143" s="37" t="n">
        <v>1.49</v>
      </c>
      <c r="I143" s="37" t="n">
        <v>3</v>
      </c>
    </row>
    <row r="144" ht="62" customHeight="1">
      <c r="A144" s="10" t="n"/>
      <c r="B144" s="36" t="inlineStr">
        <is>
          <t>INTERIORES (    )</t>
        </is>
      </c>
      <c r="C144" s="10">
        <f>IF(COUNT(H144,I144)&lt;2,"",TEXT(H144,"0.00")&amp;" x "&amp;TEXT(I144,"0.00"))</f>
        <v/>
      </c>
      <c r="D144" s="9">
        <f>IF(COUNT(H144,I144)&lt;2,"",ROUND(H144*I144,2))</f>
        <v/>
      </c>
      <c r="E144" s="27" t="n">
        <v>25</v>
      </c>
      <c r="F144" s="30">
        <f>IF(D144="","",ROUND(D144*E144,1))</f>
        <v/>
      </c>
      <c r="G144" s="2" t="n"/>
      <c r="H144" s="37" t="n">
        <v>1.09</v>
      </c>
      <c r="I144" s="37" t="n">
        <v>3</v>
      </c>
    </row>
    <row r="145" ht="62" customHeight="1">
      <c r="A145" s="10" t="n"/>
      <c r="B145" s="36" t="inlineStr">
        <is>
          <t>INTERIORES (    )</t>
        </is>
      </c>
      <c r="C145" s="10">
        <f>IF(COUNT(H145,I145)&lt;2,"",TEXT(H145,"0.00")&amp;" x "&amp;TEXT(I145,"0.00"))</f>
        <v/>
      </c>
      <c r="D145" s="9">
        <f>IF(COUNT(H145,I145)&lt;2,"",ROUND(H145*I145,2))</f>
        <v/>
      </c>
      <c r="E145" s="27" t="n">
        <v>25</v>
      </c>
      <c r="F145" s="30">
        <f>IF(D145="","",ROUND(D145*E145,1))</f>
        <v/>
      </c>
      <c r="G145" s="2" t="n"/>
      <c r="H145" s="37" t="n">
        <v>0.57</v>
      </c>
      <c r="I145" s="37" t="n">
        <v>3</v>
      </c>
    </row>
    <row r="146" ht="39.7" customHeight="1">
      <c r="A146" s="18" t="inlineStr">
        <is>
          <t>3</t>
        </is>
      </c>
      <c r="B146" s="35" t="inlineStr">
        <is>
          <t>TECHOS O CIELORRASOS</t>
        </is>
      </c>
      <c r="C146" s="10" t="n"/>
      <c r="D146" s="10" t="n"/>
      <c r="E146" s="10" t="n"/>
      <c r="F146" s="10" t="n"/>
      <c r="G146" s="2" t="n"/>
      <c r="H146" s="2" t="n"/>
      <c r="I146" s="2" t="n"/>
    </row>
    <row r="147" ht="62" customHeight="1">
      <c r="A147" s="10" t="n"/>
      <c r="B147" s="36" t="inlineStr">
        <is>
          <t>TECHO NO AISLADO</t>
        </is>
      </c>
      <c r="C147" s="10" t="inlineStr"/>
      <c r="D147" s="9">
        <f>IF(COUNT(H147,I147)&lt;2,"",ROUND(H147*I147,2))</f>
        <v/>
      </c>
      <c r="E147" s="27" t="n">
        <v>30</v>
      </c>
      <c r="F147" s="30">
        <f>IF(D147="","",ROUND(D147*E147,1))</f>
        <v/>
      </c>
      <c r="G147" s="2" t="n"/>
      <c r="H147" s="37" t="n"/>
      <c r="I147" s="37" t="n"/>
    </row>
    <row r="148" ht="62" customHeight="1">
      <c r="A148" s="10" t="n"/>
      <c r="B148" s="36" t="inlineStr">
        <is>
          <t>TECHO AISLADO</t>
        </is>
      </c>
      <c r="C148" s="10" t="inlineStr"/>
      <c r="D148" s="9">
        <f>IF(COUNT(H148,I148)&lt;2,"",ROUND(H148*I148,2))</f>
        <v/>
      </c>
      <c r="E148" s="27" t="n">
        <v>20</v>
      </c>
      <c r="F148" s="30">
        <f>IF(D148="","",ROUND(D148*E148,1))</f>
        <v/>
      </c>
      <c r="G148" s="2" t="n"/>
      <c r="H148" s="37" t="n"/>
      <c r="I148" s="37" t="n"/>
    </row>
    <row r="149" ht="39.7" customHeight="1">
      <c r="A149" s="10" t="n"/>
      <c r="B149" s="36" t="inlineStr">
        <is>
          <t>TECHO ENTREPISO</t>
        </is>
      </c>
      <c r="C149" s="10" t="inlineStr">
        <is>
          <t>por croquis</t>
        </is>
      </c>
      <c r="D149" s="9" t="n">
        <v>7.23</v>
      </c>
      <c r="E149" s="27" t="n">
        <v>15</v>
      </c>
      <c r="F149" s="30">
        <f>IF(D149="","",ROUND(D149*E149,1))</f>
        <v/>
      </c>
      <c r="G149" s="2" t="n"/>
      <c r="H149" s="37" t="n"/>
      <c r="I149" s="37" t="n"/>
    </row>
    <row r="150" ht="39.7" customHeight="1">
      <c r="A150" s="18" t="inlineStr">
        <is>
          <t>4</t>
        </is>
      </c>
      <c r="B150" s="35" t="inlineStr">
        <is>
          <t>PISO</t>
        </is>
      </c>
      <c r="C150" s="10" t="n"/>
      <c r="D150" s="10" t="n"/>
      <c r="E150" s="10" t="n"/>
      <c r="F150" s="10" t="n"/>
      <c r="G150" s="2" t="n"/>
      <c r="H150" s="2" t="n"/>
      <c r="I150" s="2" t="n"/>
    </row>
    <row r="151" ht="39.7" customHeight="1">
      <c r="A151" s="10" t="n"/>
      <c r="B151" s="36" t="inlineStr">
        <is>
          <t>SOBRE TIERRA</t>
        </is>
      </c>
      <c r="C151" s="10" t="inlineStr">
        <is>
          <t>por croquis</t>
        </is>
      </c>
      <c r="D151" s="9" t="n">
        <v>7.23</v>
      </c>
      <c r="E151" s="27" t="n">
        <v>10</v>
      </c>
      <c r="F151" s="30">
        <f>IF(D151="","",ROUND(D151*E151,1))</f>
        <v/>
      </c>
      <c r="G151" s="2" t="n"/>
      <c r="H151" s="37" t="n"/>
      <c r="I151" s="37" t="n"/>
    </row>
    <row r="152" ht="62" customHeight="1">
      <c r="A152" s="10" t="n"/>
      <c r="B152" s="36" t="inlineStr">
        <is>
          <t>SOBRE LOCAL OCUPADO</t>
        </is>
      </c>
      <c r="C152" s="10" t="inlineStr"/>
      <c r="D152" s="9">
        <f>IF(COUNT(H152,I152)&lt;2,"",ROUND(H152*I152,2))</f>
        <v/>
      </c>
      <c r="E152" s="27" t="n">
        <v>15</v>
      </c>
      <c r="F152" s="30">
        <f>IF(D152="","",ROUND(D152*E152,1))</f>
        <v/>
      </c>
      <c r="G152" s="2" t="n"/>
      <c r="H152" s="37" t="n"/>
      <c r="I152" s="37" t="n"/>
    </row>
    <row r="153" ht="39.7" customHeight="1">
      <c r="A153" s="18" t="inlineStr">
        <is>
          <t>5</t>
        </is>
      </c>
      <c r="B153" s="35" t="inlineStr">
        <is>
          <t>INFILTRACION</t>
        </is>
      </c>
      <c r="C153" s="10" t="n"/>
      <c r="D153" s="18" t="inlineStr">
        <is>
          <t>VOLUMEN (m3)</t>
        </is>
      </c>
      <c r="E153" s="10" t="n"/>
      <c r="F153" s="10" t="n"/>
      <c r="G153" s="2" t="n"/>
      <c r="H153" s="2" t="n"/>
      <c r="I153" s="2" t="n"/>
    </row>
    <row r="154" ht="39.7" customHeight="1">
      <c r="A154" s="10" t="n"/>
      <c r="B154" s="36" t="inlineStr">
        <is>
          <t>UNA PARED EXTERIOR</t>
        </is>
      </c>
      <c r="C154" s="10" t="inlineStr">
        <is>
          <t>7.23 m2 x 3.00</t>
        </is>
      </c>
      <c r="D154" s="9" t="n">
        <v>21.69</v>
      </c>
      <c r="E154" s="27" t="n">
        <v>6</v>
      </c>
      <c r="F154" s="30">
        <f>IF(D154="","",ROUND(D154*E154,1))</f>
        <v/>
      </c>
      <c r="G154" s="2" t="n"/>
      <c r="H154" s="37" t="n"/>
      <c r="I154" s="37" t="n"/>
    </row>
    <row r="155" ht="62" customHeight="1">
      <c r="A155" s="10" t="n"/>
      <c r="B155" s="36" t="inlineStr">
        <is>
          <t>DOS PAREDES EXTERIORES</t>
        </is>
      </c>
      <c r="C155" s="10" t="inlineStr"/>
      <c r="D155" s="9">
        <f>IF(COUNT(H155,I155)&lt;2,"",ROUND(H155*I155,2))</f>
        <v/>
      </c>
      <c r="E155" s="27" t="n">
        <v>9</v>
      </c>
      <c r="F155" s="30">
        <f>IF(D155="","",ROUND(D155*E155,1))</f>
        <v/>
      </c>
      <c r="G155" s="2" t="n"/>
      <c r="H155" s="37" t="n"/>
      <c r="I155" s="37" t="n"/>
    </row>
    <row r="156" ht="62" customHeight="1">
      <c r="A156" s="10" t="n"/>
      <c r="B156" s="36" t="inlineStr">
        <is>
          <t>TRES O MAS PAREDES EXTERIORES</t>
        </is>
      </c>
      <c r="C156" s="10" t="inlineStr"/>
      <c r="D156" s="9">
        <f>IF(COUNT(H156,I156)&lt;2,"",ROUND(H156*I156,2))</f>
        <v/>
      </c>
      <c r="E156" s="27" t="n">
        <v>12</v>
      </c>
      <c r="F156" s="30">
        <f>IF(D156="","",ROUND(D156*E156,1))</f>
        <v/>
      </c>
      <c r="G156" s="2" t="n"/>
      <c r="H156" s="37" t="n"/>
      <c r="I156" s="37" t="n"/>
    </row>
    <row r="157" ht="70" customHeight="1">
      <c r="A157" s="18" t="inlineStr">
        <is>
          <t>6</t>
        </is>
      </c>
      <c r="B157" s="35" t="inlineStr">
        <is>
          <t>SUBTOTAL</t>
        </is>
      </c>
      <c r="C157" s="10" t="n"/>
      <c r="D157" s="10" t="n"/>
      <c r="E157" s="10" t="n"/>
      <c r="F157" s="38">
        <f>IF(F136="",0,F136)+IF(F138="",0,F138)+IF(F139="",0,F139)+IF(F140="",0,F140)+IF(F141="",0,F141)+IF(F142="",0,F142)+IF(F143="",0,F143)+IF(F144="",0,F144)+IF(F145="",0,F145)+IF(F147="",0,F147)+IF(F148="",0,F148)+IF(F149="",0,F149)+IF(F151="",0,F151)+IF(F152="",0,F152)+IF(F154="",0,F154)+IF(F155="",0,F155)+IF(F156="",0,F156)</f>
        <v/>
      </c>
      <c r="G157" s="2" t="n"/>
      <c r="H157" s="2" t="n"/>
      <c r="I157" s="2" t="n"/>
    </row>
    <row r="158" ht="47" customHeight="1">
      <c r="A158" s="18" t="inlineStr">
        <is>
          <t>7</t>
        </is>
      </c>
      <c r="B158" s="35" t="inlineStr">
        <is>
          <t>PERDIDA TOTAL</t>
        </is>
      </c>
      <c r="C158" s="10">
        <f>TEXT(F157,"0.00")&amp;"  X  "&amp;Datos_balance!$B$4&amp;" (FI)  X  "&amp;Datos_balance!$B$5&amp;" (FO)  X  "&amp;Datos_balance!$B$6&amp;" (FZ)"</f>
        <v/>
      </c>
      <c r="D158" s="2" t="n"/>
      <c r="E158" s="2" t="n"/>
      <c r="F158" s="38">
        <f>ROUND(F157*Datos_balance!$B$4*Datos_balance!$B$5*Datos_balance!$B$6,1)</f>
        <v/>
      </c>
      <c r="G158" s="2" t="n"/>
      <c r="H158" s="2" t="n"/>
      <c r="I158" s="2" t="n"/>
    </row>
    <row r="159" ht="39.7" customHeight="1">
      <c r="A159" s="10" t="n"/>
      <c r="B159" s="11" t="inlineStr">
        <is>
          <t>Carga de locales sin emisor</t>
        </is>
      </c>
      <c r="C159" s="10" t="n"/>
      <c r="D159" s="2" t="n"/>
      <c r="E159" s="2" t="n"/>
      <c r="F159" s="30" t="n"/>
      <c r="G159" s="2" t="n"/>
      <c r="H159" s="2" t="n"/>
      <c r="I159" s="2" t="n"/>
    </row>
    <row r="160" ht="39.7" customHeight="1">
      <c r="A160" s="10" t="n"/>
      <c r="B160" s="35" t="inlineStr">
        <is>
          <t>CARGA TOTAL A CUBRIR</t>
        </is>
      </c>
      <c r="C160" s="10" t="n"/>
      <c r="D160" s="2" t="n"/>
      <c r="E160" s="2" t="n"/>
      <c r="F160" s="38">
        <f>F158+IF(F159="",0,F159)</f>
        <v/>
      </c>
      <c r="G160" s="2" t="n"/>
      <c r="H160" s="2" t="n"/>
      <c r="I160" s="2" t="n"/>
    </row>
    <row r="161">
      <c r="A161" s="2" t="n"/>
      <c r="B161" s="2" t="n"/>
      <c r="C161" s="2" t="n"/>
      <c r="D161" s="2" t="n"/>
      <c r="E161" s="2" t="n"/>
      <c r="F161" s="2" t="n"/>
      <c r="G161" s="2" t="n"/>
      <c r="H161" s="2" t="n"/>
      <c r="I161" s="2" t="n"/>
    </row>
    <row r="162" ht="62" customHeight="1">
      <c r="A162" s="10" t="n"/>
      <c r="B162" s="11" t="inlineStr">
        <is>
          <t>Salto termico:  dt = (te+ts)/2 - ti</t>
        </is>
      </c>
      <c r="C162" s="10">
        <f>TEXT((Datos_balance!$B$9+Datos_balance!$B$10)/2,"0")&amp;" - "&amp;TEXT(Datos_balance!$B$11,"0")&amp;" = "&amp;TEXT((Datos_balance!$B$9+Datos_balance!$B$10)/2-Datos_balance!$B$11,"0")&amp;" C"</f>
        <v/>
      </c>
      <c r="D162" s="2" t="n"/>
      <c r="E162" s="2" t="n"/>
      <c r="F162" s="10" t="n"/>
      <c r="G162" s="2" t="n"/>
      <c r="H162" s="2" t="n"/>
      <c r="I162" s="2" t="n"/>
    </row>
    <row r="163" ht="39.7" customHeight="1">
      <c r="A163" s="10" t="n"/>
      <c r="B163" s="11" t="inlineStr">
        <is>
          <t>Kcal/h por elemento</t>
        </is>
      </c>
      <c r="C163" s="9">
        <f>ROUND(Datos_balance!$B$14*Datos_balance!$B$15,2)</f>
        <v/>
      </c>
      <c r="D163" s="2" t="n"/>
      <c r="E163" s="2" t="n"/>
      <c r="F163" s="10" t="n"/>
      <c r="G163" s="2" t="n"/>
      <c r="H163" s="2" t="n"/>
      <c r="I163" s="2" t="n"/>
    </row>
    <row r="164" ht="39.7" customHeight="1">
      <c r="A164" s="10" t="n"/>
      <c r="B164" s="11" t="inlineStr">
        <is>
          <t>Elementos necesarios</t>
        </is>
      </c>
      <c r="C164" s="27">
        <f>ROUNDUP(F160/(Datos_balance!$B$14*Datos_balance!$B$15),0)</f>
        <v/>
      </c>
      <c r="D164" s="2" t="n"/>
      <c r="E164" s="2" t="n"/>
      <c r="F164" s="10" t="n"/>
      <c r="G164" s="2" t="n"/>
      <c r="H164" s="2" t="n"/>
      <c r="I164" s="2" t="n"/>
    </row>
    <row r="165" ht="39.7" customHeight="1">
      <c r="A165" s="10" t="n"/>
      <c r="B165" s="11" t="inlineStr">
        <is>
          <t>Ancho del radiador (cm)</t>
        </is>
      </c>
      <c r="C165" s="27">
        <f>ROUNDUP(F160/(Datos_balance!$B$14*Datos_balance!$B$15),0)*Datos_balance!$B$16</f>
        <v/>
      </c>
      <c r="D165" s="2" t="n"/>
      <c r="E165" s="2" t="n"/>
      <c r="F165" s="10" t="n"/>
      <c r="G165" s="2" t="n"/>
      <c r="H165" s="2" t="n"/>
      <c r="I165" s="2" t="n"/>
    </row>
    <row r="166" ht="39.7" customHeight="1">
      <c r="A166" s="14" t="n"/>
      <c r="B166" s="15" t="inlineStr">
        <is>
          <t>Radiador adoptado</t>
        </is>
      </c>
      <c r="C166" s="14">
        <f>Datos_balance!$B$13</f>
        <v/>
      </c>
      <c r="D166" s="22" t="n"/>
      <c r="E166" s="22" t="n"/>
      <c r="F166" s="14" t="n"/>
      <c r="G166" s="2" t="n"/>
      <c r="H166" s="2" t="n"/>
      <c r="I166" s="2" t="n"/>
    </row>
    <row r="167">
      <c r="A167" s="2" t="n"/>
      <c r="B167" s="2" t="n"/>
      <c r="C167" s="2" t="n"/>
      <c r="D167" s="2" t="n"/>
      <c r="E167" s="2" t="n"/>
      <c r="F167" s="2" t="n"/>
      <c r="G167" s="2" t="n"/>
      <c r="H167" s="2" t="n"/>
      <c r="I167" s="2" t="n"/>
    </row>
    <row r="168" ht="39.7" customHeight="1">
      <c r="A168" s="2" t="n"/>
      <c r="B168" s="39" t="inlineStr">
        <is>
          <t>Ubicacion del local en planta</t>
        </is>
      </c>
      <c r="C168" s="2" t="n"/>
      <c r="D168" s="2" t="n"/>
      <c r="E168" s="2" t="n"/>
      <c r="F168" s="2" t="n"/>
      <c r="G168" s="2" t="n"/>
      <c r="H168" s="2" t="n"/>
      <c r="I168" s="2" t="n"/>
    </row>
    <row r="169" ht="39.7" customHeight="1">
      <c r="A169" s="2" t="n"/>
      <c r="B169" s="2" t="n"/>
      <c r="C169" s="2" t="n"/>
      <c r="D169" s="2" t="n"/>
      <c r="E169" s="2" t="n"/>
      <c r="F169" s="2" t="n"/>
      <c r="G169" s="2" t="n"/>
      <c r="H169" s="2" t="n"/>
      <c r="I169" s="2" t="n"/>
    </row>
    <row r="170" ht="39.7" customHeight="1">
      <c r="A170" s="2" t="n"/>
      <c r="B170" s="2" t="n"/>
      <c r="C170" s="2" t="n"/>
      <c r="D170" s="2" t="n"/>
      <c r="E170" s="2" t="n"/>
      <c r="F170" s="2" t="n"/>
      <c r="G170" s="2" t="n"/>
      <c r="H170" s="2" t="n"/>
      <c r="I170" s="2" t="n"/>
    </row>
    <row r="171" ht="39.7" customHeight="1">
      <c r="A171" s="2" t="n"/>
      <c r="B171" s="2" t="n"/>
      <c r="C171" s="2" t="n"/>
      <c r="D171" s="2" t="n"/>
      <c r="E171" s="2" t="n"/>
      <c r="F171" s="2" t="n"/>
      <c r="G171" s="2" t="n"/>
      <c r="H171" s="2" t="n"/>
      <c r="I171" s="2" t="n"/>
    </row>
    <row r="172" ht="39.7" customHeight="1">
      <c r="A172" s="2" t="n"/>
      <c r="B172" s="2" t="n"/>
      <c r="C172" s="2" t="n"/>
      <c r="D172" s="2" t="n"/>
      <c r="E172" s="2" t="n"/>
      <c r="F172" s="2" t="n"/>
      <c r="G172" s="2" t="n"/>
      <c r="H172" s="2" t="n"/>
      <c r="I172" s="2" t="n"/>
    </row>
    <row r="173" ht="39.7" customHeight="1">
      <c r="A173" s="2" t="n"/>
      <c r="B173" s="2" t="n"/>
      <c r="C173" s="2" t="n"/>
      <c r="D173" s="2" t="n"/>
      <c r="E173" s="2" t="n"/>
      <c r="F173" s="2" t="n"/>
      <c r="G173" s="2" t="n"/>
      <c r="H173" s="2" t="n"/>
      <c r="I173" s="2" t="n"/>
    </row>
    <row r="174" ht="39.7" customHeight="1">
      <c r="A174" s="2" t="n"/>
      <c r="B174" s="2" t="n"/>
      <c r="C174" s="2" t="n"/>
      <c r="D174" s="2" t="n"/>
      <c r="E174" s="2" t="n"/>
      <c r="F174" s="2" t="n"/>
      <c r="G174" s="2" t="n"/>
      <c r="H174" s="2" t="n"/>
      <c r="I174" s="2" t="n"/>
    </row>
    <row r="175" ht="39.7" customHeight="1">
      <c r="A175" s="2" t="n"/>
      <c r="B175" s="2" t="n"/>
      <c r="C175" s="2" t="n"/>
      <c r="D175" s="2" t="n"/>
      <c r="E175" s="2" t="n"/>
      <c r="F175" s="2" t="n"/>
      <c r="G175" s="2" t="n"/>
      <c r="H175" s="2" t="n"/>
      <c r="I175" s="2" t="n"/>
    </row>
    <row r="176" ht="39.7" customHeight="1">
      <c r="A176" s="2" t="n"/>
      <c r="B176" s="2" t="n"/>
      <c r="C176" s="2" t="n"/>
      <c r="D176" s="2" t="n"/>
      <c r="E176" s="2" t="n"/>
      <c r="F176" s="2" t="n"/>
      <c r="G176" s="2" t="n"/>
      <c r="H176" s="2" t="n"/>
      <c r="I176" s="2" t="n"/>
    </row>
    <row r="177">
      <c r="A177" s="2" t="n"/>
      <c r="B177" s="2" t="n"/>
      <c r="C177" s="2" t="n"/>
      <c r="D177" s="2" t="n"/>
      <c r="E177" s="2" t="n"/>
      <c r="F177" s="2" t="n"/>
      <c r="G177" s="2" t="n"/>
      <c r="H177" s="2" t="n"/>
      <c r="I177" s="2" t="n"/>
    </row>
    <row r="178">
      <c r="A178" s="2" t="n"/>
      <c r="B178" s="2" t="n"/>
      <c r="C178" s="2" t="n"/>
      <c r="D178" s="2" t="n"/>
      <c r="E178" s="2" t="n"/>
      <c r="F178" s="2" t="n"/>
      <c r="G178" s="2" t="n"/>
      <c r="H178" s="2" t="n"/>
      <c r="I178" s="2" t="n"/>
    </row>
    <row r="179">
      <c r="A179" s="2" t="n"/>
      <c r="B179" s="2" t="n"/>
      <c r="C179" s="2" t="n"/>
      <c r="D179" s="2" t="n"/>
      <c r="E179" s="2" t="n"/>
      <c r="F179" s="2" t="n"/>
      <c r="G179" s="2" t="n"/>
      <c r="H179" s="2" t="n"/>
      <c r="I179" s="2" t="n"/>
    </row>
    <row r="180" ht="39.7" customHeight="1">
      <c r="A180" s="5" t="inlineStr">
        <is>
          <t>LOCAL  Escalera   (PB)   -   altura 3.00 m</t>
        </is>
      </c>
      <c r="B180" s="2" t="n"/>
      <c r="C180" s="2" t="n"/>
      <c r="D180" s="2" t="n"/>
      <c r="E180" s="2" t="n"/>
      <c r="F180" s="2" t="n"/>
      <c r="G180" s="2" t="n"/>
      <c r="H180" s="2" t="n"/>
      <c r="I180" s="2" t="n"/>
    </row>
    <row r="181" ht="39.7" customHeight="1">
      <c r="A181" s="3" t="inlineStr">
        <is>
          <t>Nro</t>
        </is>
      </c>
      <c r="B181" s="3" t="inlineStr">
        <is>
          <t>DESCRIPCION</t>
        </is>
      </c>
      <c r="C181" s="3" t="inlineStr">
        <is>
          <t>DIMENSIONES (m)</t>
        </is>
      </c>
      <c r="D181" s="3" t="inlineStr">
        <is>
          <t>AREA (m2)</t>
        </is>
      </c>
      <c r="E181" s="3" t="inlineStr">
        <is>
          <t>FACTOR</t>
        </is>
      </c>
      <c r="F181" s="3" t="inlineStr">
        <is>
          <t>PERDIDA CALOR (Kcal/h)</t>
        </is>
      </c>
      <c r="G181" s="2" t="n"/>
      <c r="H181" s="2" t="n"/>
      <c r="I181" s="2" t="n"/>
    </row>
    <row r="182" ht="39.7" customHeight="1">
      <c r="A182" s="18" t="inlineStr">
        <is>
          <t>1</t>
        </is>
      </c>
      <c r="B182" s="35" t="inlineStr">
        <is>
          <t>VENTANA</t>
        </is>
      </c>
      <c r="C182" s="10" t="n"/>
      <c r="D182" s="10" t="n"/>
      <c r="E182" s="10" t="n"/>
      <c r="F182" s="10" t="n"/>
      <c r="G182" s="2" t="n"/>
      <c r="H182" s="2" t="n"/>
      <c r="I182" s="2" t="n"/>
    </row>
    <row r="183" ht="62" customHeight="1">
      <c r="A183" s="10" t="n"/>
      <c r="B183" s="36" t="inlineStr">
        <is>
          <t>PF05</t>
        </is>
      </c>
      <c r="C183" s="10">
        <f>IF(COUNT(H183,I183)&lt;2,"",TEXT(H183,"0.00")&amp;" x "&amp;TEXT(I183,"0.00"))</f>
        <v/>
      </c>
      <c r="D183" s="9">
        <f>IF(COUNT(H183,I183)&lt;2,"",ROUND(H183*I183,2))</f>
        <v/>
      </c>
      <c r="E183" s="27" t="n">
        <v>60</v>
      </c>
      <c r="F183" s="30">
        <f>IF(D183="","",ROUND(D183*E183,1))</f>
        <v/>
      </c>
      <c r="G183" s="2" t="n"/>
      <c r="H183" s="37" t="n">
        <v>0.75</v>
      </c>
      <c r="I183" s="37" t="n">
        <v>2.52</v>
      </c>
    </row>
    <row r="184" ht="39.7" customHeight="1">
      <c r="A184" s="18" t="inlineStr">
        <is>
          <t>2</t>
        </is>
      </c>
      <c r="B184" s="35" t="inlineStr">
        <is>
          <t>PAREDES EXTERIORES</t>
        </is>
      </c>
      <c r="C184" s="10" t="n"/>
      <c r="D184" s="10" t="n"/>
      <c r="E184" s="10" t="n"/>
      <c r="F184" s="10" t="n"/>
      <c r="G184" s="2" t="n"/>
      <c r="H184" s="2" t="n"/>
      <c r="I184" s="2" t="n"/>
    </row>
    <row r="185" ht="62" customHeight="1">
      <c r="A185" s="10" t="n"/>
      <c r="B185" s="36" t="inlineStr">
        <is>
          <t>AISLADAS ()</t>
        </is>
      </c>
      <c r="C185" s="10">
        <f>IF(COUNT(H185,I185)&lt;2,"",TEXT(H185,"0.00")&amp;" x "&amp;TEXT(I185,"0.00"))</f>
        <v/>
      </c>
      <c r="D185" s="9">
        <f>IF(COUNT(H185,I185)&lt;2,"",ROUND(H185*I185,2))</f>
        <v/>
      </c>
      <c r="E185" s="27" t="n">
        <v>20</v>
      </c>
      <c r="F185" s="30">
        <f>IF(D185="","",ROUND(D185*E185,1))</f>
        <v/>
      </c>
      <c r="G185" s="2" t="n"/>
      <c r="H185" s="37" t="n">
        <v>4.06</v>
      </c>
      <c r="I185" s="37" t="n">
        <v>3</v>
      </c>
    </row>
    <row r="186" ht="62" customHeight="1">
      <c r="A186" s="10" t="n"/>
      <c r="B186" s="36" t="inlineStr">
        <is>
          <t>AISLADAS ()</t>
        </is>
      </c>
      <c r="C186" s="10">
        <f>IF(COUNT(H186,I186)&lt;2,"",TEXT(H186,"0.00")&amp;" x "&amp;TEXT(I186,"0.00"))</f>
        <v/>
      </c>
      <c r="D186" s="9">
        <f>IF(COUNT(H186,I186)&lt;2,"",ROUND(H186*I186,2))</f>
        <v/>
      </c>
      <c r="E186" s="27" t="n">
        <v>20</v>
      </c>
      <c r="F186" s="30">
        <f>IF(D186="","",ROUND(D186*E186,1))</f>
        <v/>
      </c>
      <c r="G186" s="2" t="n"/>
      <c r="H186" s="37" t="n">
        <v>1.73</v>
      </c>
      <c r="I186" s="37" t="n">
        <v>3</v>
      </c>
    </row>
    <row r="187" ht="62" customHeight="1">
      <c r="A187" s="10" t="n"/>
      <c r="B187" s="36" t="inlineStr">
        <is>
          <t>INTERIORES (    )</t>
        </is>
      </c>
      <c r="C187" s="10">
        <f>IF(COUNT(H187,I187)&lt;2,"",TEXT(H187,"0.00")&amp;" x "&amp;TEXT(I187,"0.00"))</f>
        <v/>
      </c>
      <c r="D187" s="9">
        <f>IF(COUNT(H187,I187)&lt;2,"",ROUND(H187*I187,2))</f>
        <v/>
      </c>
      <c r="E187" s="27" t="n">
        <v>25</v>
      </c>
      <c r="F187" s="30">
        <f>IF(D187="","",ROUND(D187*E187,1))</f>
        <v/>
      </c>
      <c r="G187" s="2" t="n"/>
      <c r="H187" s="37" t="n">
        <v>4.06</v>
      </c>
      <c r="I187" s="37" t="n">
        <v>3</v>
      </c>
    </row>
    <row r="188" ht="62" customHeight="1">
      <c r="A188" s="10" t="n"/>
      <c r="B188" s="36" t="inlineStr">
        <is>
          <t>INTERIORES (    )</t>
        </is>
      </c>
      <c r="C188" s="10">
        <f>IF(COUNT(H188,I188)&lt;2,"",TEXT(H188,"0.00")&amp;" x "&amp;TEXT(I188,"0.00"))</f>
        <v/>
      </c>
      <c r="D188" s="9">
        <f>IF(COUNT(H188,I188)&lt;2,"",ROUND(H188*I188,2))</f>
        <v/>
      </c>
      <c r="E188" s="27" t="n">
        <v>25</v>
      </c>
      <c r="F188" s="30">
        <f>IF(D188="","",ROUND(D188*E188,1))</f>
        <v/>
      </c>
      <c r="G188" s="2" t="n"/>
      <c r="H188" s="37" t="n">
        <v>1.73</v>
      </c>
      <c r="I188" s="37" t="n">
        <v>3</v>
      </c>
    </row>
    <row r="189" ht="39.7" customHeight="1">
      <c r="A189" s="18" t="inlineStr">
        <is>
          <t>3</t>
        </is>
      </c>
      <c r="B189" s="35" t="inlineStr">
        <is>
          <t>TECHOS O CIELORRASOS</t>
        </is>
      </c>
      <c r="C189" s="10" t="n"/>
      <c r="D189" s="10" t="n"/>
      <c r="E189" s="10" t="n"/>
      <c r="F189" s="10" t="n"/>
      <c r="G189" s="2" t="n"/>
      <c r="H189" s="2" t="n"/>
      <c r="I189" s="2" t="n"/>
    </row>
    <row r="190" ht="62" customHeight="1">
      <c r="A190" s="10" t="n"/>
      <c r="B190" s="36" t="inlineStr">
        <is>
          <t>TECHO NO AISLADO</t>
        </is>
      </c>
      <c r="C190" s="10" t="inlineStr"/>
      <c r="D190" s="9">
        <f>IF(COUNT(H190,I190)&lt;2,"",ROUND(H190*I190,2))</f>
        <v/>
      </c>
      <c r="E190" s="27" t="n">
        <v>30</v>
      </c>
      <c r="F190" s="30">
        <f>IF(D190="","",ROUND(D190*E190,1))</f>
        <v/>
      </c>
      <c r="G190" s="2" t="n"/>
      <c r="H190" s="37" t="n"/>
      <c r="I190" s="37" t="n"/>
    </row>
    <row r="191" ht="62" customHeight="1">
      <c r="A191" s="10" t="n"/>
      <c r="B191" s="36" t="inlineStr">
        <is>
          <t>TECHO AISLADO</t>
        </is>
      </c>
      <c r="C191" s="10" t="inlineStr"/>
      <c r="D191" s="9">
        <f>IF(COUNT(H191,I191)&lt;2,"",ROUND(H191*I191,2))</f>
        <v/>
      </c>
      <c r="E191" s="27" t="n">
        <v>20</v>
      </c>
      <c r="F191" s="30">
        <f>IF(D191="","",ROUND(D191*E191,1))</f>
        <v/>
      </c>
      <c r="G191" s="2" t="n"/>
      <c r="H191" s="37" t="n"/>
      <c r="I191" s="37" t="n"/>
    </row>
    <row r="192" ht="39.7" customHeight="1">
      <c r="A192" s="10" t="n"/>
      <c r="B192" s="36" t="inlineStr">
        <is>
          <t>TECHO ENTREPISO</t>
        </is>
      </c>
      <c r="C192" s="10" t="inlineStr">
        <is>
          <t>por croquis</t>
        </is>
      </c>
      <c r="D192" s="9" t="n">
        <v>7.02</v>
      </c>
      <c r="E192" s="27" t="n">
        <v>15</v>
      </c>
      <c r="F192" s="30">
        <f>IF(D192="","",ROUND(D192*E192,1))</f>
        <v/>
      </c>
      <c r="G192" s="2" t="n"/>
      <c r="H192" s="37" t="n"/>
      <c r="I192" s="37" t="n"/>
    </row>
    <row r="193" ht="39.7" customHeight="1">
      <c r="A193" s="18" t="inlineStr">
        <is>
          <t>4</t>
        </is>
      </c>
      <c r="B193" s="35" t="inlineStr">
        <is>
          <t>PISO</t>
        </is>
      </c>
      <c r="C193" s="10" t="n"/>
      <c r="D193" s="10" t="n"/>
      <c r="E193" s="10" t="n"/>
      <c r="F193" s="10" t="n"/>
      <c r="G193" s="2" t="n"/>
      <c r="H193" s="2" t="n"/>
      <c r="I193" s="2" t="n"/>
    </row>
    <row r="194" ht="39.7" customHeight="1">
      <c r="A194" s="10" t="n"/>
      <c r="B194" s="36" t="inlineStr">
        <is>
          <t>SOBRE TIERRA</t>
        </is>
      </c>
      <c r="C194" s="10" t="inlineStr">
        <is>
          <t>por croquis</t>
        </is>
      </c>
      <c r="D194" s="9" t="n">
        <v>7.02</v>
      </c>
      <c r="E194" s="27" t="n">
        <v>10</v>
      </c>
      <c r="F194" s="30">
        <f>IF(D194="","",ROUND(D194*E194,1))</f>
        <v/>
      </c>
      <c r="G194" s="2" t="n"/>
      <c r="H194" s="37" t="n"/>
      <c r="I194" s="37" t="n"/>
    </row>
    <row r="195" ht="62" customHeight="1">
      <c r="A195" s="10" t="n"/>
      <c r="B195" s="36" t="inlineStr">
        <is>
          <t>SOBRE LOCAL OCUPADO</t>
        </is>
      </c>
      <c r="C195" s="10" t="inlineStr"/>
      <c r="D195" s="9">
        <f>IF(COUNT(H195,I195)&lt;2,"",ROUND(H195*I195,2))</f>
        <v/>
      </c>
      <c r="E195" s="27" t="n">
        <v>15</v>
      </c>
      <c r="F195" s="30">
        <f>IF(D195="","",ROUND(D195*E195,1))</f>
        <v/>
      </c>
      <c r="G195" s="2" t="n"/>
      <c r="H195" s="37" t="n"/>
      <c r="I195" s="37" t="n"/>
    </row>
    <row r="196" ht="39.7" customHeight="1">
      <c r="A196" s="18" t="inlineStr">
        <is>
          <t>5</t>
        </is>
      </c>
      <c r="B196" s="35" t="inlineStr">
        <is>
          <t>INFILTRACION</t>
        </is>
      </c>
      <c r="C196" s="10" t="n"/>
      <c r="D196" s="18" t="inlineStr">
        <is>
          <t>VOLUMEN (m3)</t>
        </is>
      </c>
      <c r="E196" s="10" t="n"/>
      <c r="F196" s="10" t="n"/>
      <c r="G196" s="2" t="n"/>
      <c r="H196" s="2" t="n"/>
      <c r="I196" s="2" t="n"/>
    </row>
    <row r="197" ht="62" customHeight="1">
      <c r="A197" s="10" t="n"/>
      <c r="B197" s="36" t="inlineStr">
        <is>
          <t>UNA PARED EXTERIOR</t>
        </is>
      </c>
      <c r="C197" s="10" t="inlineStr"/>
      <c r="D197" s="9">
        <f>IF(COUNT(H197,I197)&lt;2,"",ROUND(H197*I197,2))</f>
        <v/>
      </c>
      <c r="E197" s="27" t="n">
        <v>6</v>
      </c>
      <c r="F197" s="30">
        <f>IF(D197="","",ROUND(D197*E197,1))</f>
        <v/>
      </c>
      <c r="G197" s="2" t="n"/>
      <c r="H197" s="37" t="n"/>
      <c r="I197" s="37" t="n"/>
    </row>
    <row r="198" ht="39.7" customHeight="1">
      <c r="A198" s="10" t="n"/>
      <c r="B198" s="36" t="inlineStr">
        <is>
          <t>DOS PAREDES EXTERIORES</t>
        </is>
      </c>
      <c r="C198" s="10" t="inlineStr">
        <is>
          <t>7.02 m2 x 3.00</t>
        </is>
      </c>
      <c r="D198" s="9" t="n">
        <v>21.06</v>
      </c>
      <c r="E198" s="27" t="n">
        <v>9</v>
      </c>
      <c r="F198" s="30">
        <f>IF(D198="","",ROUND(D198*E198,1))</f>
        <v/>
      </c>
      <c r="G198" s="2" t="n"/>
      <c r="H198" s="37" t="n"/>
      <c r="I198" s="37" t="n"/>
    </row>
    <row r="199" ht="62" customHeight="1">
      <c r="A199" s="10" t="n"/>
      <c r="B199" s="36" t="inlineStr">
        <is>
          <t>TRES O MAS PAREDES EXTERIORES</t>
        </is>
      </c>
      <c r="C199" s="10" t="inlineStr"/>
      <c r="D199" s="9">
        <f>IF(COUNT(H199,I199)&lt;2,"",ROUND(H199*I199,2))</f>
        <v/>
      </c>
      <c r="E199" s="27" t="n">
        <v>12</v>
      </c>
      <c r="F199" s="30">
        <f>IF(D199="","",ROUND(D199*E199,1))</f>
        <v/>
      </c>
      <c r="G199" s="2" t="n"/>
      <c r="H199" s="37" t="n"/>
      <c r="I199" s="37" t="n"/>
    </row>
    <row r="200" ht="70" customHeight="1">
      <c r="A200" s="18" t="inlineStr">
        <is>
          <t>6</t>
        </is>
      </c>
      <c r="B200" s="35" t="inlineStr">
        <is>
          <t>SUBTOTAL</t>
        </is>
      </c>
      <c r="C200" s="10" t="n"/>
      <c r="D200" s="10" t="n"/>
      <c r="E200" s="10" t="n"/>
      <c r="F200" s="38">
        <f>IF(F183="",0,F183)+IF(F185="",0,F185)+IF(F186="",0,F186)+IF(F187="",0,F187)+IF(F188="",0,F188)+IF(F190="",0,F190)+IF(F191="",0,F191)+IF(F192="",0,F192)+IF(F194="",0,F194)+IF(F195="",0,F195)+IF(F197="",0,F197)+IF(F198="",0,F198)+IF(F199="",0,F199)</f>
        <v/>
      </c>
      <c r="G200" s="2" t="n"/>
      <c r="H200" s="2" t="n"/>
      <c r="I200" s="2" t="n"/>
    </row>
    <row r="201" ht="47" customHeight="1">
      <c r="A201" s="18" t="inlineStr">
        <is>
          <t>7</t>
        </is>
      </c>
      <c r="B201" s="35" t="inlineStr">
        <is>
          <t>PERDIDA TOTAL</t>
        </is>
      </c>
      <c r="C201" s="10">
        <f>TEXT(F200,"0.00")&amp;"  X  "&amp;Datos_balance!$B$4&amp;" (FI)  X  "&amp;Datos_balance!$B$5&amp;" (FO)  X  "&amp;Datos_balance!$B$6&amp;" (FZ)"</f>
        <v/>
      </c>
      <c r="D201" s="2" t="n"/>
      <c r="E201" s="2" t="n"/>
      <c r="F201" s="38">
        <f>ROUND(F200*Datos_balance!$B$4*Datos_balance!$B$5*Datos_balance!$B$6,1)</f>
        <v/>
      </c>
      <c r="G201" s="2" t="n"/>
      <c r="H201" s="2" t="n"/>
      <c r="I201" s="2" t="n"/>
    </row>
    <row r="202" ht="39.7" customHeight="1">
      <c r="A202" s="10" t="n"/>
      <c r="B202" s="11" t="inlineStr">
        <is>
          <t>Carga de locales sin emisor</t>
        </is>
      </c>
      <c r="C202" s="10" t="n"/>
      <c r="D202" s="2" t="n"/>
      <c r="E202" s="2" t="n"/>
      <c r="F202" s="30" t="n"/>
      <c r="G202" s="2" t="n"/>
      <c r="H202" s="2" t="n"/>
      <c r="I202" s="2" t="n"/>
    </row>
    <row r="203" ht="39.7" customHeight="1">
      <c r="A203" s="10" t="n"/>
      <c r="B203" s="35" t="inlineStr">
        <is>
          <t>CARGA TOTAL A CUBRIR</t>
        </is>
      </c>
      <c r="C203" s="10" t="n"/>
      <c r="D203" s="2" t="n"/>
      <c r="E203" s="2" t="n"/>
      <c r="F203" s="38">
        <f>F201+IF(F202="",0,F202)</f>
        <v/>
      </c>
      <c r="G203" s="2" t="n"/>
      <c r="H203" s="2" t="n"/>
      <c r="I203" s="2" t="n"/>
    </row>
    <row r="204">
      <c r="A204" s="2" t="n"/>
      <c r="B204" s="2" t="n"/>
      <c r="C204" s="2" t="n"/>
      <c r="D204" s="2" t="n"/>
      <c r="E204" s="2" t="n"/>
      <c r="F204" s="2" t="n"/>
      <c r="G204" s="2" t="n"/>
      <c r="H204" s="2" t="n"/>
      <c r="I204" s="2" t="n"/>
    </row>
    <row r="205" ht="39.7" customHeight="1">
      <c r="A205" s="14" t="n"/>
      <c r="B205" s="40" t="inlineStr">
        <is>
          <t>SIN EMISOR</t>
        </is>
      </c>
      <c r="C205" s="14" t="inlineStr">
        <is>
          <t>la cubre el radiador de 14 - Play room</t>
        </is>
      </c>
      <c r="D205" s="22" t="n"/>
      <c r="E205" s="22" t="n"/>
      <c r="F205" s="14" t="n"/>
      <c r="G205" s="2" t="n"/>
      <c r="H205" s="2" t="n"/>
      <c r="I205" s="2" t="n"/>
    </row>
    <row r="206">
      <c r="A206" s="2" t="n"/>
      <c r="B206" s="2" t="n"/>
      <c r="C206" s="2" t="n"/>
      <c r="D206" s="2" t="n"/>
      <c r="E206" s="2" t="n"/>
      <c r="F206" s="2" t="n"/>
      <c r="G206" s="2" t="n"/>
      <c r="H206" s="2" t="n"/>
      <c r="I206" s="2" t="n"/>
    </row>
    <row r="207" ht="39.7" customHeight="1">
      <c r="A207" s="2" t="n"/>
      <c r="B207" s="39" t="inlineStr">
        <is>
          <t>Ubicacion del local en planta</t>
        </is>
      </c>
      <c r="C207" s="2" t="n"/>
      <c r="D207" s="2" t="n"/>
      <c r="E207" s="2" t="n"/>
      <c r="F207" s="2" t="n"/>
      <c r="G207" s="2" t="n"/>
      <c r="H207" s="2" t="n"/>
      <c r="I207" s="2" t="n"/>
    </row>
    <row r="208" ht="39.7" customHeight="1">
      <c r="A208" s="2" t="n"/>
      <c r="B208" s="2" t="n"/>
      <c r="C208" s="2" t="n"/>
      <c r="D208" s="2" t="n"/>
      <c r="E208" s="2" t="n"/>
      <c r="F208" s="2" t="n"/>
      <c r="G208" s="2" t="n"/>
      <c r="H208" s="2" t="n"/>
      <c r="I208" s="2" t="n"/>
    </row>
    <row r="209" ht="39.7" customHeight="1">
      <c r="A209" s="2" t="n"/>
      <c r="B209" s="2" t="n"/>
      <c r="C209" s="2" t="n"/>
      <c r="D209" s="2" t="n"/>
      <c r="E209" s="2" t="n"/>
      <c r="F209" s="2" t="n"/>
      <c r="G209" s="2" t="n"/>
      <c r="H209" s="2" t="n"/>
      <c r="I209" s="2" t="n"/>
    </row>
    <row r="210" ht="39.7" customHeight="1">
      <c r="A210" s="2" t="n"/>
      <c r="B210" s="2" t="n"/>
      <c r="C210" s="2" t="n"/>
      <c r="D210" s="2" t="n"/>
      <c r="E210" s="2" t="n"/>
      <c r="F210" s="2" t="n"/>
      <c r="G210" s="2" t="n"/>
      <c r="H210" s="2" t="n"/>
      <c r="I210" s="2" t="n"/>
    </row>
    <row r="211" ht="39.7" customHeight="1">
      <c r="A211" s="2" t="n"/>
      <c r="B211" s="2" t="n"/>
      <c r="C211" s="2" t="n"/>
      <c r="D211" s="2" t="n"/>
      <c r="E211" s="2" t="n"/>
      <c r="F211" s="2" t="n"/>
      <c r="G211" s="2" t="n"/>
      <c r="H211" s="2" t="n"/>
      <c r="I211" s="2" t="n"/>
    </row>
    <row r="212" ht="39.7" customHeight="1">
      <c r="A212" s="2" t="n"/>
      <c r="B212" s="2" t="n"/>
      <c r="C212" s="2" t="n"/>
      <c r="D212" s="2" t="n"/>
      <c r="E212" s="2" t="n"/>
      <c r="F212" s="2" t="n"/>
      <c r="G212" s="2" t="n"/>
      <c r="H212" s="2" t="n"/>
      <c r="I212" s="2" t="n"/>
    </row>
    <row r="213" ht="39.7" customHeight="1">
      <c r="A213" s="2" t="n"/>
      <c r="B213" s="2" t="n"/>
      <c r="C213" s="2" t="n"/>
      <c r="D213" s="2" t="n"/>
      <c r="E213" s="2" t="n"/>
      <c r="F213" s="2" t="n"/>
      <c r="G213" s="2" t="n"/>
      <c r="H213" s="2" t="n"/>
      <c r="I213" s="2" t="n"/>
    </row>
    <row r="214" ht="39.7" customHeight="1">
      <c r="A214" s="2" t="n"/>
      <c r="B214" s="2" t="n"/>
      <c r="C214" s="2" t="n"/>
      <c r="D214" s="2" t="n"/>
      <c r="E214" s="2" t="n"/>
      <c r="F214" s="2" t="n"/>
      <c r="G214" s="2" t="n"/>
      <c r="H214" s="2" t="n"/>
      <c r="I214" s="2" t="n"/>
    </row>
    <row r="215">
      <c r="A215" s="2" t="n"/>
      <c r="B215" s="2" t="n"/>
      <c r="C215" s="2" t="n"/>
      <c r="D215" s="2" t="n"/>
      <c r="E215" s="2" t="n"/>
      <c r="F215" s="2" t="n"/>
      <c r="G215" s="2" t="n"/>
      <c r="H215" s="2" t="n"/>
      <c r="I215" s="2" t="n"/>
    </row>
    <row r="216">
      <c r="A216" s="2" t="n"/>
      <c r="B216" s="2" t="n"/>
      <c r="C216" s="2" t="n"/>
      <c r="D216" s="2" t="n"/>
      <c r="E216" s="2" t="n"/>
      <c r="F216" s="2" t="n"/>
      <c r="G216" s="2" t="n"/>
      <c r="H216" s="2" t="n"/>
      <c r="I216" s="2" t="n"/>
    </row>
    <row r="217">
      <c r="A217" s="2" t="n"/>
      <c r="B217" s="2" t="n"/>
      <c r="C217" s="2" t="n"/>
      <c r="D217" s="2" t="n"/>
      <c r="E217" s="2" t="n"/>
      <c r="F217" s="2" t="n"/>
      <c r="G217" s="2" t="n"/>
      <c r="H217" s="2" t="n"/>
      <c r="I217" s="2" t="n"/>
    </row>
    <row r="218" ht="39.7" customHeight="1">
      <c r="A218" s="5" t="inlineStr">
        <is>
          <t>LOCAL  09 - Dormitorio suite   (PB)   -   altura 3.00 m</t>
        </is>
      </c>
      <c r="B218" s="2" t="n"/>
      <c r="C218" s="2" t="n"/>
      <c r="D218" s="2" t="n"/>
      <c r="E218" s="2" t="n"/>
      <c r="F218" s="2" t="n"/>
      <c r="G218" s="2" t="n"/>
      <c r="H218" s="2" t="n"/>
      <c r="I218" s="2" t="n"/>
    </row>
    <row r="219" ht="39.7" customHeight="1">
      <c r="A219" s="3" t="inlineStr">
        <is>
          <t>Nro</t>
        </is>
      </c>
      <c r="B219" s="3" t="inlineStr">
        <is>
          <t>DESCRIPCION</t>
        </is>
      </c>
      <c r="C219" s="3" t="inlineStr">
        <is>
          <t>DIMENSIONES (m)</t>
        </is>
      </c>
      <c r="D219" s="3" t="inlineStr">
        <is>
          <t>AREA (m2)</t>
        </is>
      </c>
      <c r="E219" s="3" t="inlineStr">
        <is>
          <t>FACTOR</t>
        </is>
      </c>
      <c r="F219" s="3" t="inlineStr">
        <is>
          <t>PERDIDA CALOR (Kcal/h)</t>
        </is>
      </c>
      <c r="G219" s="2" t="n"/>
      <c r="H219" s="2" t="n"/>
      <c r="I219" s="2" t="n"/>
    </row>
    <row r="220" ht="39.7" customHeight="1">
      <c r="A220" s="18" t="inlineStr">
        <is>
          <t>1</t>
        </is>
      </c>
      <c r="B220" s="35" t="inlineStr">
        <is>
          <t>VENTANA</t>
        </is>
      </c>
      <c r="C220" s="10" t="n"/>
      <c r="D220" s="10" t="n"/>
      <c r="E220" s="10" t="n"/>
      <c r="F220" s="10" t="n"/>
      <c r="G220" s="2" t="n"/>
      <c r="H220" s="2" t="n"/>
      <c r="I220" s="2" t="n"/>
    </row>
    <row r="221" ht="62" customHeight="1">
      <c r="A221" s="10" t="n"/>
      <c r="B221" s="36" t="inlineStr">
        <is>
          <t>VA01 (2)</t>
        </is>
      </c>
      <c r="C221" s="10">
        <f>IF(COUNT(H221,I221)&lt;2,"",TEXT(H221,"0.00")&amp;" x "&amp;TEXT(I221,"0.00"))</f>
        <v/>
      </c>
      <c r="D221" s="9">
        <f>IF(COUNT(H221,I221)&lt;2,"",ROUND(H221*I221,2))</f>
        <v/>
      </c>
      <c r="E221" s="27" t="n">
        <v>60</v>
      </c>
      <c r="F221" s="30">
        <f>IF(D221="","",ROUND(D221*E221,1))</f>
        <v/>
      </c>
      <c r="G221" s="2" t="n"/>
      <c r="H221" s="37" t="n">
        <v>0.75</v>
      </c>
      <c r="I221" s="37" t="n">
        <v>3</v>
      </c>
    </row>
    <row r="222" ht="62" customHeight="1">
      <c r="A222" s="10" t="n"/>
      <c r="B222" s="36" t="inlineStr">
        <is>
          <t>PV03</t>
        </is>
      </c>
      <c r="C222" s="10">
        <f>IF(COUNT(H222,I222)&lt;2,"",TEXT(H222,"0.00")&amp;" x "&amp;TEXT(I222,"0.00"))</f>
        <v/>
      </c>
      <c r="D222" s="9">
        <f>IF(COUNT(H222,I222)&lt;2,"",ROUND(H222*I222,2))</f>
        <v/>
      </c>
      <c r="E222" s="27" t="n">
        <v>60</v>
      </c>
      <c r="F222" s="30">
        <f>IF(D222="","",ROUND(D222*E222,1))</f>
        <v/>
      </c>
      <c r="G222" s="2" t="n"/>
      <c r="H222" s="37" t="n">
        <v>1.76</v>
      </c>
      <c r="I222" s="37" t="n">
        <v>3</v>
      </c>
    </row>
    <row r="223" ht="39.7" customHeight="1">
      <c r="A223" s="18" t="inlineStr">
        <is>
          <t>2</t>
        </is>
      </c>
      <c r="B223" s="35" t="inlineStr">
        <is>
          <t>PAREDES EXTERIORES</t>
        </is>
      </c>
      <c r="C223" s="10" t="n"/>
      <c r="D223" s="10" t="n"/>
      <c r="E223" s="10" t="n"/>
      <c r="F223" s="10" t="n"/>
      <c r="G223" s="2" t="n"/>
      <c r="H223" s="2" t="n"/>
      <c r="I223" s="2" t="n"/>
    </row>
    <row r="224" ht="62" customHeight="1">
      <c r="A224" s="10" t="n"/>
      <c r="B224" s="36" t="inlineStr">
        <is>
          <t>AISLADAS (NE)</t>
        </is>
      </c>
      <c r="C224" s="10">
        <f>IF(COUNT(H224,I224)&lt;2,"",TEXT(H224,"0.00")&amp;" x "&amp;TEXT(I224,"0.00"))</f>
        <v/>
      </c>
      <c r="D224" s="9">
        <f>IF(COUNT(H224,I224)&lt;2,"",ROUND(H224*I224,2))</f>
        <v/>
      </c>
      <c r="E224" s="27" t="n">
        <v>20</v>
      </c>
      <c r="F224" s="30">
        <f>IF(D224="","",ROUND(D224*E224,1))</f>
        <v/>
      </c>
      <c r="G224" s="2" t="n"/>
      <c r="H224" s="37" t="n">
        <v>3.5</v>
      </c>
      <c r="I224" s="37" t="n">
        <v>3</v>
      </c>
    </row>
    <row r="225" ht="62" customHeight="1">
      <c r="A225" s="10" t="n"/>
      <c r="B225" s="36" t="inlineStr">
        <is>
          <t>AISLADAS (SO)</t>
        </is>
      </c>
      <c r="C225" s="10">
        <f>IF(COUNT(H225,I225)&lt;2,"",TEXT(H225,"0.00")&amp;" x "&amp;TEXT(I225,"0.00"))</f>
        <v/>
      </c>
      <c r="D225" s="9">
        <f>IF(COUNT(H225,I225)&lt;2,"",ROUND(H225*I225,2))</f>
        <v/>
      </c>
      <c r="E225" s="27" t="n">
        <v>20</v>
      </c>
      <c r="F225" s="30">
        <f>IF(D225="","",ROUND(D225*E225,1))</f>
        <v/>
      </c>
      <c r="G225" s="2" t="n"/>
      <c r="H225" s="37" t="n">
        <v>3.5</v>
      </c>
      <c r="I225" s="37" t="n">
        <v>3</v>
      </c>
    </row>
    <row r="226" ht="62" customHeight="1">
      <c r="A226" s="10" t="n"/>
      <c r="B226" s="36" t="inlineStr">
        <is>
          <t>AISLADAS ()</t>
        </is>
      </c>
      <c r="C226" s="10">
        <f>IF(COUNT(H226,I226)&lt;2,"",TEXT(H226,"0.00")&amp;" x "&amp;TEXT(I226,"0.00"))</f>
        <v/>
      </c>
      <c r="D226" s="9">
        <f>IF(COUNT(H226,I226)&lt;2,"",ROUND(H226*I226,2))</f>
        <v/>
      </c>
      <c r="E226" s="27" t="n">
        <v>20</v>
      </c>
      <c r="F226" s="30">
        <f>IF(D226="","",ROUND(D226*E226,1))</f>
        <v/>
      </c>
      <c r="G226" s="2" t="n"/>
      <c r="H226" s="37" t="n">
        <v>3.5</v>
      </c>
      <c r="I226" s="37" t="n">
        <v>3</v>
      </c>
    </row>
    <row r="227" ht="62" customHeight="1">
      <c r="A227" s="10" t="n"/>
      <c r="B227" s="36" t="inlineStr">
        <is>
          <t>INTERIORES (    )</t>
        </is>
      </c>
      <c r="C227" s="10">
        <f>IF(COUNT(H227,I227)&lt;2,"",TEXT(H227,"0.00")&amp;" x "&amp;TEXT(I227,"0.00"))</f>
        <v/>
      </c>
      <c r="D227" s="9">
        <f>IF(COUNT(H227,I227)&lt;2,"",ROUND(H227*I227,2))</f>
        <v/>
      </c>
      <c r="E227" s="27" t="n">
        <v>25</v>
      </c>
      <c r="F227" s="30">
        <f>IF(D227="","",ROUND(D227*E227,1))</f>
        <v/>
      </c>
      <c r="G227" s="2" t="n"/>
      <c r="H227" s="37" t="n">
        <v>3.5</v>
      </c>
      <c r="I227" s="37" t="n">
        <v>3</v>
      </c>
    </row>
    <row r="228" ht="62" customHeight="1">
      <c r="A228" s="10" t="n"/>
      <c r="B228" s="36" t="inlineStr">
        <is>
          <t>INTERIORES (    )</t>
        </is>
      </c>
      <c r="C228" s="10">
        <f>IF(COUNT(H228,I228)&lt;2,"",TEXT(H228,"0.00")&amp;" x "&amp;TEXT(I228,"0.00"))</f>
        <v/>
      </c>
      <c r="D228" s="9">
        <f>IF(COUNT(H228,I228)&lt;2,"",ROUND(H228*I228,2))</f>
        <v/>
      </c>
      <c r="E228" s="27" t="n">
        <v>25</v>
      </c>
      <c r="F228" s="30">
        <f>IF(D228="","",ROUND(D228*E228,1))</f>
        <v/>
      </c>
      <c r="G228" s="2" t="n"/>
      <c r="H228" s="37" t="n"/>
      <c r="I228" s="37" t="n"/>
    </row>
    <row r="229" ht="39.7" customHeight="1">
      <c r="A229" s="18" t="inlineStr">
        <is>
          <t>3</t>
        </is>
      </c>
      <c r="B229" s="35" t="inlineStr">
        <is>
          <t>TECHOS O CIELORRASOS</t>
        </is>
      </c>
      <c r="C229" s="10" t="n"/>
      <c r="D229" s="10" t="n"/>
      <c r="E229" s="10" t="n"/>
      <c r="F229" s="10" t="n"/>
      <c r="G229" s="2" t="n"/>
      <c r="H229" s="2" t="n"/>
      <c r="I229" s="2" t="n"/>
    </row>
    <row r="230" ht="62" customHeight="1">
      <c r="A230" s="10" t="n"/>
      <c r="B230" s="36" t="inlineStr">
        <is>
          <t>TECHO NO AISLADO</t>
        </is>
      </c>
      <c r="C230" s="10" t="inlineStr"/>
      <c r="D230" s="9">
        <f>IF(COUNT(H230,I230)&lt;2,"",ROUND(H230*I230,2))</f>
        <v/>
      </c>
      <c r="E230" s="27" t="n">
        <v>30</v>
      </c>
      <c r="F230" s="30">
        <f>IF(D230="","",ROUND(D230*E230,1))</f>
        <v/>
      </c>
      <c r="G230" s="2" t="n"/>
      <c r="H230" s="37" t="n"/>
      <c r="I230" s="37" t="n"/>
    </row>
    <row r="231" ht="62" customHeight="1">
      <c r="A231" s="10" t="n"/>
      <c r="B231" s="36" t="inlineStr">
        <is>
          <t>TECHO AISLADO</t>
        </is>
      </c>
      <c r="C231" s="10" t="inlineStr"/>
      <c r="D231" s="9">
        <f>IF(COUNT(H231,I231)&lt;2,"",ROUND(H231*I231,2))</f>
        <v/>
      </c>
      <c r="E231" s="27" t="n">
        <v>20</v>
      </c>
      <c r="F231" s="30">
        <f>IF(D231="","",ROUND(D231*E231,1))</f>
        <v/>
      </c>
      <c r="G231" s="2" t="n"/>
      <c r="H231" s="37" t="n"/>
      <c r="I231" s="37" t="n"/>
    </row>
    <row r="232" ht="39.7" customHeight="1">
      <c r="A232" s="10" t="n"/>
      <c r="B232" s="36" t="inlineStr">
        <is>
          <t>TECHO ENTREPISO</t>
        </is>
      </c>
      <c r="C232" s="10" t="inlineStr">
        <is>
          <t>por croquis</t>
        </is>
      </c>
      <c r="D232" s="9" t="n">
        <v>12.25</v>
      </c>
      <c r="E232" s="27" t="n">
        <v>15</v>
      </c>
      <c r="F232" s="30">
        <f>IF(D232="","",ROUND(D232*E232,1))</f>
        <v/>
      </c>
      <c r="G232" s="2" t="n"/>
      <c r="H232" s="37" t="n"/>
      <c r="I232" s="37" t="n"/>
    </row>
    <row r="233" ht="39.7" customHeight="1">
      <c r="A233" s="18" t="inlineStr">
        <is>
          <t>4</t>
        </is>
      </c>
      <c r="B233" s="35" t="inlineStr">
        <is>
          <t>PISO</t>
        </is>
      </c>
      <c r="C233" s="10" t="n"/>
      <c r="D233" s="10" t="n"/>
      <c r="E233" s="10" t="n"/>
      <c r="F233" s="10" t="n"/>
      <c r="G233" s="2" t="n"/>
      <c r="H233" s="2" t="n"/>
      <c r="I233" s="2" t="n"/>
    </row>
    <row r="234" ht="39.7" customHeight="1">
      <c r="A234" s="10" t="n"/>
      <c r="B234" s="36" t="inlineStr">
        <is>
          <t>SOBRE TIERRA</t>
        </is>
      </c>
      <c r="C234" s="10" t="inlineStr">
        <is>
          <t>por croquis</t>
        </is>
      </c>
      <c r="D234" s="9" t="n">
        <v>12.25</v>
      </c>
      <c r="E234" s="27" t="n">
        <v>10</v>
      </c>
      <c r="F234" s="30">
        <f>IF(D234="","",ROUND(D234*E234,1))</f>
        <v/>
      </c>
      <c r="G234" s="2" t="n"/>
      <c r="H234" s="37" t="n"/>
      <c r="I234" s="37" t="n"/>
    </row>
    <row r="235" ht="62" customHeight="1">
      <c r="A235" s="10" t="n"/>
      <c r="B235" s="36" t="inlineStr">
        <is>
          <t>SOBRE LOCAL OCUPADO</t>
        </is>
      </c>
      <c r="C235" s="10" t="inlineStr"/>
      <c r="D235" s="9">
        <f>IF(COUNT(H235,I235)&lt;2,"",ROUND(H235*I235,2))</f>
        <v/>
      </c>
      <c r="E235" s="27" t="n">
        <v>15</v>
      </c>
      <c r="F235" s="30">
        <f>IF(D235="","",ROUND(D235*E235,1))</f>
        <v/>
      </c>
      <c r="G235" s="2" t="n"/>
      <c r="H235" s="37" t="n"/>
      <c r="I235" s="37" t="n"/>
    </row>
    <row r="236" ht="39.7" customHeight="1">
      <c r="A236" s="18" t="inlineStr">
        <is>
          <t>5</t>
        </is>
      </c>
      <c r="B236" s="35" t="inlineStr">
        <is>
          <t>INFILTRACION</t>
        </is>
      </c>
      <c r="C236" s="10" t="n"/>
      <c r="D236" s="18" t="inlineStr">
        <is>
          <t>VOLUMEN (m3)</t>
        </is>
      </c>
      <c r="E236" s="10" t="n"/>
      <c r="F236" s="10" t="n"/>
      <c r="G236" s="2" t="n"/>
      <c r="H236" s="2" t="n"/>
      <c r="I236" s="2" t="n"/>
    </row>
    <row r="237" ht="62" customHeight="1">
      <c r="A237" s="10" t="n"/>
      <c r="B237" s="36" t="inlineStr">
        <is>
          <t>UNA PARED EXTERIOR</t>
        </is>
      </c>
      <c r="C237" s="10" t="inlineStr"/>
      <c r="D237" s="9">
        <f>IF(COUNT(H237,I237)&lt;2,"",ROUND(H237*I237,2))</f>
        <v/>
      </c>
      <c r="E237" s="27" t="n">
        <v>6</v>
      </c>
      <c r="F237" s="30">
        <f>IF(D237="","",ROUND(D237*E237,1))</f>
        <v/>
      </c>
      <c r="G237" s="2" t="n"/>
      <c r="H237" s="37" t="n"/>
      <c r="I237" s="37" t="n"/>
    </row>
    <row r="238" ht="62" customHeight="1">
      <c r="A238" s="10" t="n"/>
      <c r="B238" s="36" t="inlineStr">
        <is>
          <t>DOS PAREDES EXTERIORES</t>
        </is>
      </c>
      <c r="C238" s="10" t="inlineStr"/>
      <c r="D238" s="9">
        <f>IF(COUNT(H238,I238)&lt;2,"",ROUND(H238*I238,2))</f>
        <v/>
      </c>
      <c r="E238" s="27" t="n">
        <v>9</v>
      </c>
      <c r="F238" s="30">
        <f>IF(D238="","",ROUND(D238*E238,1))</f>
        <v/>
      </c>
      <c r="G238" s="2" t="n"/>
      <c r="H238" s="37" t="n"/>
      <c r="I238" s="37" t="n"/>
    </row>
    <row r="239" ht="39.7" customHeight="1">
      <c r="A239" s="10" t="n"/>
      <c r="B239" s="36" t="inlineStr">
        <is>
          <t>TRES O MAS PAREDES EXTERIORES</t>
        </is>
      </c>
      <c r="C239" s="10" t="inlineStr">
        <is>
          <t>12.25 m2 x 3.00</t>
        </is>
      </c>
      <c r="D239" s="9" t="n">
        <v>36.75</v>
      </c>
      <c r="E239" s="27" t="n">
        <v>12</v>
      </c>
      <c r="F239" s="30">
        <f>IF(D239="","",ROUND(D239*E239,1))</f>
        <v/>
      </c>
      <c r="G239" s="2" t="n"/>
      <c r="H239" s="37" t="n"/>
      <c r="I239" s="37" t="n"/>
    </row>
    <row r="240" ht="70" customHeight="1">
      <c r="A240" s="18" t="inlineStr">
        <is>
          <t>6</t>
        </is>
      </c>
      <c r="B240" s="35" t="inlineStr">
        <is>
          <t>SUBTOTAL</t>
        </is>
      </c>
      <c r="C240" s="10" t="n"/>
      <c r="D240" s="10" t="n"/>
      <c r="E240" s="10" t="n"/>
      <c r="F240" s="38">
        <f>IF(F221="",0,F221)+IF(F222="",0,F222)+IF(F224="",0,F224)+IF(F225="",0,F225)+IF(F226="",0,F226)+IF(F227="",0,F227)+IF(F228="",0,F228)+IF(F230="",0,F230)+IF(F231="",0,F231)+IF(F232="",0,F232)+IF(F234="",0,F234)+IF(F235="",0,F235)+IF(F237="",0,F237)+IF(F238="",0,F238)+IF(F239="",0,F239)</f>
        <v/>
      </c>
      <c r="G240" s="2" t="n"/>
      <c r="H240" s="2" t="n"/>
      <c r="I240" s="2" t="n"/>
    </row>
    <row r="241" ht="47" customHeight="1">
      <c r="A241" s="18" t="inlineStr">
        <is>
          <t>7</t>
        </is>
      </c>
      <c r="B241" s="35" t="inlineStr">
        <is>
          <t>PERDIDA TOTAL</t>
        </is>
      </c>
      <c r="C241" s="10">
        <f>TEXT(F240,"0.00")&amp;"  X  "&amp;Datos_balance!$B$4&amp;" (FI)  X  "&amp;Datos_balance!$B$5&amp;" (FO)  X  "&amp;Datos_balance!$B$6&amp;" (FZ)"</f>
        <v/>
      </c>
      <c r="D241" s="2" t="n"/>
      <c r="E241" s="2" t="n"/>
      <c r="F241" s="38">
        <f>ROUND(F240*Datos_balance!$B$4*Datos_balance!$B$5*Datos_balance!$B$6,1)</f>
        <v/>
      </c>
      <c r="G241" s="2" t="n"/>
      <c r="H241" s="2" t="n"/>
      <c r="I241" s="2" t="n"/>
    </row>
    <row r="242" ht="39.7" customHeight="1">
      <c r="A242" s="10" t="n"/>
      <c r="B242" s="11" t="inlineStr">
        <is>
          <t>Carga de locales sin emisor</t>
        </is>
      </c>
      <c r="C242" s="10" t="n"/>
      <c r="D242" s="2" t="n"/>
      <c r="E242" s="2" t="n"/>
      <c r="F242" s="30" t="n"/>
      <c r="G242" s="2" t="n"/>
      <c r="H242" s="2" t="n"/>
      <c r="I242" s="2" t="n"/>
    </row>
    <row r="243" ht="39.7" customHeight="1">
      <c r="A243" s="10" t="n"/>
      <c r="B243" s="35" t="inlineStr">
        <is>
          <t>CARGA TOTAL A CUBRIR</t>
        </is>
      </c>
      <c r="C243" s="10" t="n"/>
      <c r="D243" s="2" t="n"/>
      <c r="E243" s="2" t="n"/>
      <c r="F243" s="38">
        <f>F241+IF(F242="",0,F242)</f>
        <v/>
      </c>
      <c r="G243" s="2" t="n"/>
      <c r="H243" s="2" t="n"/>
      <c r="I243" s="2" t="n"/>
    </row>
    <row r="244">
      <c r="A244" s="2" t="n"/>
      <c r="B244" s="2" t="n"/>
      <c r="C244" s="2" t="n"/>
      <c r="D244" s="2" t="n"/>
      <c r="E244" s="2" t="n"/>
      <c r="F244" s="2" t="n"/>
      <c r="G244" s="2" t="n"/>
      <c r="H244" s="2" t="n"/>
      <c r="I244" s="2" t="n"/>
    </row>
    <row r="245" ht="62" customHeight="1">
      <c r="A245" s="10" t="n"/>
      <c r="B245" s="11" t="inlineStr">
        <is>
          <t>Salto termico:  dt = (te+ts)/2 - ti</t>
        </is>
      </c>
      <c r="C245" s="10">
        <f>TEXT((Datos_balance!$B$9+Datos_balance!$B$10)/2,"0")&amp;" - "&amp;TEXT(Datos_balance!$B$11,"0")&amp;" = "&amp;TEXT((Datos_balance!$B$9+Datos_balance!$B$10)/2-Datos_balance!$B$11,"0")&amp;" C"</f>
        <v/>
      </c>
      <c r="D245" s="2" t="n"/>
      <c r="E245" s="2" t="n"/>
      <c r="F245" s="10" t="n"/>
      <c r="G245" s="2" t="n"/>
      <c r="H245" s="2" t="n"/>
      <c r="I245" s="2" t="n"/>
    </row>
    <row r="246" ht="39.7" customHeight="1">
      <c r="A246" s="10" t="n"/>
      <c r="B246" s="11" t="inlineStr">
        <is>
          <t>Kcal/h por elemento</t>
        </is>
      </c>
      <c r="C246" s="9">
        <f>ROUND(Datos_balance!$B$14*Datos_balance!$B$15,2)</f>
        <v/>
      </c>
      <c r="D246" s="2" t="n"/>
      <c r="E246" s="2" t="n"/>
      <c r="F246" s="10" t="n"/>
      <c r="G246" s="2" t="n"/>
      <c r="H246" s="2" t="n"/>
      <c r="I246" s="2" t="n"/>
    </row>
    <row r="247" ht="39.7" customHeight="1">
      <c r="A247" s="10" t="n"/>
      <c r="B247" s="11" t="inlineStr">
        <is>
          <t>Elementos necesarios</t>
        </is>
      </c>
      <c r="C247" s="27">
        <f>ROUNDUP(F243/(Datos_balance!$B$14*Datos_balance!$B$15),0)</f>
        <v/>
      </c>
      <c r="D247" s="2" t="n"/>
      <c r="E247" s="2" t="n"/>
      <c r="F247" s="10" t="n"/>
      <c r="G247" s="2" t="n"/>
      <c r="H247" s="2" t="n"/>
      <c r="I247" s="2" t="n"/>
    </row>
    <row r="248" ht="39.7" customHeight="1">
      <c r="A248" s="10" t="n"/>
      <c r="B248" s="11" t="inlineStr">
        <is>
          <t>Ancho del radiador (cm)</t>
        </is>
      </c>
      <c r="C248" s="27">
        <f>ROUNDUP(F243/(Datos_balance!$B$14*Datos_balance!$B$15),0)*Datos_balance!$B$16</f>
        <v/>
      </c>
      <c r="D248" s="2" t="n"/>
      <c r="E248" s="2" t="n"/>
      <c r="F248" s="10" t="n"/>
      <c r="G248" s="2" t="n"/>
      <c r="H248" s="2" t="n"/>
      <c r="I248" s="2" t="n"/>
    </row>
    <row r="249" ht="39.7" customHeight="1">
      <c r="A249" s="14" t="n"/>
      <c r="B249" s="15" t="inlineStr">
        <is>
          <t>Radiador adoptado</t>
        </is>
      </c>
      <c r="C249" s="14">
        <f>Datos_balance!$B$13</f>
        <v/>
      </c>
      <c r="D249" s="22" t="n"/>
      <c r="E249" s="22" t="n"/>
      <c r="F249" s="14" t="n"/>
      <c r="G249" s="2" t="n"/>
      <c r="H249" s="2" t="n"/>
      <c r="I249" s="2" t="n"/>
    </row>
    <row r="250">
      <c r="A250" s="2" t="n"/>
      <c r="B250" s="2" t="n"/>
      <c r="C250" s="2" t="n"/>
      <c r="D250" s="2" t="n"/>
      <c r="E250" s="2" t="n"/>
      <c r="F250" s="2" t="n"/>
      <c r="G250" s="2" t="n"/>
      <c r="H250" s="2" t="n"/>
      <c r="I250" s="2" t="n"/>
    </row>
    <row r="251" ht="39.7" customHeight="1">
      <c r="A251" s="2" t="n"/>
      <c r="B251" s="39" t="inlineStr">
        <is>
          <t>Ubicacion del local en planta</t>
        </is>
      </c>
      <c r="C251" s="2" t="n"/>
      <c r="D251" s="2" t="n"/>
      <c r="E251" s="2" t="n"/>
      <c r="F251" s="2" t="n"/>
      <c r="G251" s="2" t="n"/>
      <c r="H251" s="2" t="n"/>
      <c r="I251" s="2" t="n"/>
    </row>
    <row r="252" ht="39.7" customHeight="1">
      <c r="A252" s="2" t="n"/>
      <c r="B252" s="2" t="n"/>
      <c r="C252" s="2" t="n"/>
      <c r="D252" s="2" t="n"/>
      <c r="E252" s="2" t="n"/>
      <c r="F252" s="2" t="n"/>
      <c r="G252" s="2" t="n"/>
      <c r="H252" s="2" t="n"/>
      <c r="I252" s="2" t="n"/>
    </row>
    <row r="253" ht="39.7" customHeight="1">
      <c r="A253" s="2" t="n"/>
      <c r="B253" s="2" t="n"/>
      <c r="C253" s="2" t="n"/>
      <c r="D253" s="2" t="n"/>
      <c r="E253" s="2" t="n"/>
      <c r="F253" s="2" t="n"/>
      <c r="G253" s="2" t="n"/>
      <c r="H253" s="2" t="n"/>
      <c r="I253" s="2" t="n"/>
    </row>
    <row r="254" ht="39.7" customHeight="1">
      <c r="A254" s="2" t="n"/>
      <c r="B254" s="2" t="n"/>
      <c r="C254" s="2" t="n"/>
      <c r="D254" s="2" t="n"/>
      <c r="E254" s="2" t="n"/>
      <c r="F254" s="2" t="n"/>
      <c r="G254" s="2" t="n"/>
      <c r="H254" s="2" t="n"/>
      <c r="I254" s="2" t="n"/>
    </row>
    <row r="255" ht="39.7" customHeight="1">
      <c r="A255" s="2" t="n"/>
      <c r="B255" s="2" t="n"/>
      <c r="C255" s="2" t="n"/>
      <c r="D255" s="2" t="n"/>
      <c r="E255" s="2" t="n"/>
      <c r="F255" s="2" t="n"/>
      <c r="G255" s="2" t="n"/>
      <c r="H255" s="2" t="n"/>
      <c r="I255" s="2" t="n"/>
    </row>
    <row r="256" ht="39.7" customHeight="1">
      <c r="A256" s="2" t="n"/>
      <c r="B256" s="2" t="n"/>
      <c r="C256" s="2" t="n"/>
      <c r="D256" s="2" t="n"/>
      <c r="E256" s="2" t="n"/>
      <c r="F256" s="2" t="n"/>
      <c r="G256" s="2" t="n"/>
      <c r="H256" s="2" t="n"/>
      <c r="I256" s="2" t="n"/>
    </row>
    <row r="257" ht="39.7" customHeight="1">
      <c r="A257" s="2" t="n"/>
      <c r="B257" s="2" t="n"/>
      <c r="C257" s="2" t="n"/>
      <c r="D257" s="2" t="n"/>
      <c r="E257" s="2" t="n"/>
      <c r="F257" s="2" t="n"/>
      <c r="G257" s="2" t="n"/>
      <c r="H257" s="2" t="n"/>
      <c r="I257" s="2" t="n"/>
    </row>
    <row r="258" ht="39.7" customHeight="1">
      <c r="A258" s="2" t="n"/>
      <c r="B258" s="2" t="n"/>
      <c r="C258" s="2" t="n"/>
      <c r="D258" s="2" t="n"/>
      <c r="E258" s="2" t="n"/>
      <c r="F258" s="2" t="n"/>
      <c r="G258" s="2" t="n"/>
      <c r="H258" s="2" t="n"/>
      <c r="I258" s="2" t="n"/>
    </row>
    <row r="259" ht="39.7" customHeight="1">
      <c r="A259" s="2" t="n"/>
      <c r="B259" s="2" t="n"/>
      <c r="C259" s="2" t="n"/>
      <c r="D259" s="2" t="n"/>
      <c r="E259" s="2" t="n"/>
      <c r="F259" s="2" t="n"/>
      <c r="G259" s="2" t="n"/>
      <c r="H259" s="2" t="n"/>
      <c r="I259" s="2" t="n"/>
    </row>
    <row r="260">
      <c r="A260" s="2" t="n"/>
      <c r="B260" s="2" t="n"/>
      <c r="C260" s="2" t="n"/>
      <c r="D260" s="2" t="n"/>
      <c r="E260" s="2" t="n"/>
      <c r="F260" s="2" t="n"/>
      <c r="G260" s="2" t="n"/>
      <c r="H260" s="2" t="n"/>
      <c r="I260" s="2" t="n"/>
    </row>
    <row r="261">
      <c r="A261" s="2" t="n"/>
      <c r="B261" s="2" t="n"/>
      <c r="C261" s="2" t="n"/>
      <c r="D261" s="2" t="n"/>
      <c r="E261" s="2" t="n"/>
      <c r="F261" s="2" t="n"/>
      <c r="G261" s="2" t="n"/>
      <c r="H261" s="2" t="n"/>
      <c r="I261" s="2" t="n"/>
    </row>
    <row r="262">
      <c r="A262" s="2" t="n"/>
      <c r="B262" s="2" t="n"/>
      <c r="C262" s="2" t="n"/>
      <c r="D262" s="2" t="n"/>
      <c r="E262" s="2" t="n"/>
      <c r="F262" s="2" t="n"/>
      <c r="G262" s="2" t="n"/>
      <c r="H262" s="2" t="n"/>
      <c r="I262" s="2" t="n"/>
    </row>
    <row r="263" ht="39.7" customHeight="1">
      <c r="A263" s="5" t="inlineStr">
        <is>
          <t>LOCAL  10 - Bano suite   (PB)   -   altura 3.00 m</t>
        </is>
      </c>
      <c r="B263" s="2" t="n"/>
      <c r="C263" s="2" t="n"/>
      <c r="D263" s="2" t="n"/>
      <c r="E263" s="2" t="n"/>
      <c r="F263" s="2" t="n"/>
      <c r="G263" s="2" t="n"/>
      <c r="H263" s="2" t="n"/>
      <c r="I263" s="2" t="n"/>
    </row>
    <row r="264" ht="39.7" customHeight="1">
      <c r="A264" s="3" t="inlineStr">
        <is>
          <t>Nro</t>
        </is>
      </c>
      <c r="B264" s="3" t="inlineStr">
        <is>
          <t>DESCRIPCION</t>
        </is>
      </c>
      <c r="C264" s="3" t="inlineStr">
        <is>
          <t>DIMENSIONES (m)</t>
        </is>
      </c>
      <c r="D264" s="3" t="inlineStr">
        <is>
          <t>AREA (m2)</t>
        </is>
      </c>
      <c r="E264" s="3" t="inlineStr">
        <is>
          <t>FACTOR</t>
        </is>
      </c>
      <c r="F264" s="3" t="inlineStr">
        <is>
          <t>PERDIDA CALOR (Kcal/h)</t>
        </is>
      </c>
      <c r="G264" s="2" t="n"/>
      <c r="H264" s="2" t="n"/>
      <c r="I264" s="2" t="n"/>
    </row>
    <row r="265" ht="39.7" customHeight="1">
      <c r="A265" s="18" t="inlineStr">
        <is>
          <t>1</t>
        </is>
      </c>
      <c r="B265" s="35" t="inlineStr">
        <is>
          <t>VENTANA</t>
        </is>
      </c>
      <c r="C265" s="10" t="n"/>
      <c r="D265" s="10" t="n"/>
      <c r="E265" s="10" t="n"/>
      <c r="F265" s="10" t="n"/>
      <c r="G265" s="2" t="n"/>
      <c r="H265" s="2" t="n"/>
      <c r="I265" s="2" t="n"/>
    </row>
    <row r="266" ht="62" customHeight="1">
      <c r="A266" s="10" t="n"/>
      <c r="B266" s="36" t="inlineStr">
        <is>
          <t>VA02</t>
        </is>
      </c>
      <c r="C266" s="10">
        <f>IF(COUNT(H266,I266)&lt;2,"",TEXT(H266,"0.00")&amp;" x "&amp;TEXT(I266,"0.00"))</f>
        <v/>
      </c>
      <c r="D266" s="9">
        <f>IF(COUNT(H266,I266)&lt;2,"",ROUND(H266*I266,2))</f>
        <v/>
      </c>
      <c r="E266" s="27" t="n">
        <v>60</v>
      </c>
      <c r="F266" s="30">
        <f>IF(D266="","",ROUND(D266*E266,1))</f>
        <v/>
      </c>
      <c r="G266" s="2" t="n"/>
      <c r="H266" s="37" t="n">
        <v>0.75</v>
      </c>
      <c r="I266" s="37" t="n">
        <v>2.15</v>
      </c>
    </row>
    <row r="267" ht="39.7" customHeight="1">
      <c r="A267" s="18" t="inlineStr">
        <is>
          <t>2</t>
        </is>
      </c>
      <c r="B267" s="35" t="inlineStr">
        <is>
          <t>PAREDES EXTERIORES</t>
        </is>
      </c>
      <c r="C267" s="10" t="n"/>
      <c r="D267" s="10" t="n"/>
      <c r="E267" s="10" t="n"/>
      <c r="F267" s="10" t="n"/>
      <c r="G267" s="2" t="n"/>
      <c r="H267" s="2" t="n"/>
      <c r="I267" s="2" t="n"/>
    </row>
    <row r="268" ht="62" customHeight="1">
      <c r="A268" s="10" t="n"/>
      <c r="B268" s="36" t="inlineStr">
        <is>
          <t>AISLADAS (NE)</t>
        </is>
      </c>
      <c r="C268" s="10">
        <f>IF(COUNT(H268,I268)&lt;2,"",TEXT(H268,"0.00")&amp;" x "&amp;TEXT(I268,"0.00"))</f>
        <v/>
      </c>
      <c r="D268" s="9">
        <f>IF(COUNT(H268,I268)&lt;2,"",ROUND(H268*I268,2))</f>
        <v/>
      </c>
      <c r="E268" s="27" t="n">
        <v>20</v>
      </c>
      <c r="F268" s="30">
        <f>IF(D268="","",ROUND(D268*E268,1))</f>
        <v/>
      </c>
      <c r="G268" s="2" t="n"/>
      <c r="H268" s="37" t="n">
        <v>3.38</v>
      </c>
      <c r="I268" s="37" t="n">
        <v>3</v>
      </c>
    </row>
    <row r="269" ht="62" customHeight="1">
      <c r="A269" s="10" t="n"/>
      <c r="B269" s="36" t="inlineStr">
        <is>
          <t>AISLADAS (    )</t>
        </is>
      </c>
      <c r="C269" s="10">
        <f>IF(COUNT(H269,I269)&lt;2,"",TEXT(H269,"0.00")&amp;" x "&amp;TEXT(I269,"0.00"))</f>
        <v/>
      </c>
      <c r="D269" s="9">
        <f>IF(COUNT(H269,I269)&lt;2,"",ROUND(H269*I269,2))</f>
        <v/>
      </c>
      <c r="E269" s="27" t="n">
        <v>20</v>
      </c>
      <c r="F269" s="30">
        <f>IF(D269="","",ROUND(D269*E269,1))</f>
        <v/>
      </c>
      <c r="G269" s="2" t="n"/>
      <c r="H269" s="37" t="n"/>
      <c r="I269" s="37" t="n"/>
    </row>
    <row r="270" ht="62" customHeight="1">
      <c r="A270" s="10" t="n"/>
      <c r="B270" s="36" t="inlineStr">
        <is>
          <t>INTERIORES (    )</t>
        </is>
      </c>
      <c r="C270" s="10">
        <f>IF(COUNT(H270,I270)&lt;2,"",TEXT(H270,"0.00")&amp;" x "&amp;TEXT(I270,"0.00"))</f>
        <v/>
      </c>
      <c r="D270" s="9">
        <f>IF(COUNT(H270,I270)&lt;2,"",ROUND(H270*I270,2))</f>
        <v/>
      </c>
      <c r="E270" s="27" t="n">
        <v>25</v>
      </c>
      <c r="F270" s="30">
        <f>IF(D270="","",ROUND(D270*E270,1))</f>
        <v/>
      </c>
      <c r="G270" s="2" t="n"/>
      <c r="H270" s="37" t="n">
        <v>1.72</v>
      </c>
      <c r="I270" s="37" t="n">
        <v>3</v>
      </c>
    </row>
    <row r="271" ht="62" customHeight="1">
      <c r="A271" s="10" t="n"/>
      <c r="B271" s="36" t="inlineStr">
        <is>
          <t>INTERIORES (    )</t>
        </is>
      </c>
      <c r="C271" s="10">
        <f>IF(COUNT(H271,I271)&lt;2,"",TEXT(H271,"0.00")&amp;" x "&amp;TEXT(I271,"0.00"))</f>
        <v/>
      </c>
      <c r="D271" s="9">
        <f>IF(COUNT(H271,I271)&lt;2,"",ROUND(H271*I271,2))</f>
        <v/>
      </c>
      <c r="E271" s="27" t="n">
        <v>25</v>
      </c>
      <c r="F271" s="30">
        <f>IF(D271="","",ROUND(D271*E271,1))</f>
        <v/>
      </c>
      <c r="G271" s="2" t="n"/>
      <c r="H271" s="37" t="n">
        <v>3.38</v>
      </c>
      <c r="I271" s="37" t="n">
        <v>3</v>
      </c>
    </row>
    <row r="272" ht="62" customHeight="1">
      <c r="A272" s="10" t="n"/>
      <c r="B272" s="36" t="inlineStr">
        <is>
          <t>INTERIORES (    )</t>
        </is>
      </c>
      <c r="C272" s="10">
        <f>IF(COUNT(H272,I272)&lt;2,"",TEXT(H272,"0.00")&amp;" x "&amp;TEXT(I272,"0.00"))</f>
        <v/>
      </c>
      <c r="D272" s="9">
        <f>IF(COUNT(H272,I272)&lt;2,"",ROUND(H272*I272,2))</f>
        <v/>
      </c>
      <c r="E272" s="27" t="n">
        <v>25</v>
      </c>
      <c r="F272" s="30">
        <f>IF(D272="","",ROUND(D272*E272,1))</f>
        <v/>
      </c>
      <c r="G272" s="2" t="n"/>
      <c r="H272" s="37" t="n">
        <v>1.72</v>
      </c>
      <c r="I272" s="37" t="n">
        <v>3</v>
      </c>
    </row>
    <row r="273" ht="39.7" customHeight="1">
      <c r="A273" s="18" t="inlineStr">
        <is>
          <t>3</t>
        </is>
      </c>
      <c r="B273" s="35" t="inlineStr">
        <is>
          <t>TECHOS O CIELORRASOS</t>
        </is>
      </c>
      <c r="C273" s="10" t="n"/>
      <c r="D273" s="10" t="n"/>
      <c r="E273" s="10" t="n"/>
      <c r="F273" s="10" t="n"/>
      <c r="G273" s="2" t="n"/>
      <c r="H273" s="2" t="n"/>
      <c r="I273" s="2" t="n"/>
    </row>
    <row r="274" ht="62" customHeight="1">
      <c r="A274" s="10" t="n"/>
      <c r="B274" s="36" t="inlineStr">
        <is>
          <t>TECHO NO AISLADO</t>
        </is>
      </c>
      <c r="C274" s="10" t="inlineStr"/>
      <c r="D274" s="9">
        <f>IF(COUNT(H274,I274)&lt;2,"",ROUND(H274*I274,2))</f>
        <v/>
      </c>
      <c r="E274" s="27" t="n">
        <v>30</v>
      </c>
      <c r="F274" s="30">
        <f>IF(D274="","",ROUND(D274*E274,1))</f>
        <v/>
      </c>
      <c r="G274" s="2" t="n"/>
      <c r="H274" s="37" t="n"/>
      <c r="I274" s="37" t="n"/>
    </row>
    <row r="275" ht="62" customHeight="1">
      <c r="A275" s="10" t="n"/>
      <c r="B275" s="36" t="inlineStr">
        <is>
          <t>TECHO AISLADO</t>
        </is>
      </c>
      <c r="C275" s="10" t="inlineStr"/>
      <c r="D275" s="9">
        <f>IF(COUNT(H275,I275)&lt;2,"",ROUND(H275*I275,2))</f>
        <v/>
      </c>
      <c r="E275" s="27" t="n">
        <v>20</v>
      </c>
      <c r="F275" s="30">
        <f>IF(D275="","",ROUND(D275*E275,1))</f>
        <v/>
      </c>
      <c r="G275" s="2" t="n"/>
      <c r="H275" s="37" t="n"/>
      <c r="I275" s="37" t="n"/>
    </row>
    <row r="276" ht="39.7" customHeight="1">
      <c r="A276" s="10" t="n"/>
      <c r="B276" s="36" t="inlineStr">
        <is>
          <t>TECHO ENTREPISO</t>
        </is>
      </c>
      <c r="C276" s="10" t="inlineStr">
        <is>
          <t>por croquis</t>
        </is>
      </c>
      <c r="D276" s="9" t="n">
        <v>5.81</v>
      </c>
      <c r="E276" s="27" t="n">
        <v>15</v>
      </c>
      <c r="F276" s="30">
        <f>IF(D276="","",ROUND(D276*E276,1))</f>
        <v/>
      </c>
      <c r="G276" s="2" t="n"/>
      <c r="H276" s="37" t="n"/>
      <c r="I276" s="37" t="n"/>
    </row>
    <row r="277" ht="39.7" customHeight="1">
      <c r="A277" s="18" t="inlineStr">
        <is>
          <t>4</t>
        </is>
      </c>
      <c r="B277" s="35" t="inlineStr">
        <is>
          <t>PISO</t>
        </is>
      </c>
      <c r="C277" s="10" t="n"/>
      <c r="D277" s="10" t="n"/>
      <c r="E277" s="10" t="n"/>
      <c r="F277" s="10" t="n"/>
      <c r="G277" s="2" t="n"/>
      <c r="H277" s="2" t="n"/>
      <c r="I277" s="2" t="n"/>
    </row>
    <row r="278" ht="39.7" customHeight="1">
      <c r="A278" s="10" t="n"/>
      <c r="B278" s="36" t="inlineStr">
        <is>
          <t>SOBRE TIERRA</t>
        </is>
      </c>
      <c r="C278" s="10" t="inlineStr">
        <is>
          <t>por croquis</t>
        </is>
      </c>
      <c r="D278" s="9" t="n">
        <v>5.81</v>
      </c>
      <c r="E278" s="27" t="n">
        <v>10</v>
      </c>
      <c r="F278" s="30">
        <f>IF(D278="","",ROUND(D278*E278,1))</f>
        <v/>
      </c>
      <c r="G278" s="2" t="n"/>
      <c r="H278" s="37" t="n"/>
      <c r="I278" s="37" t="n"/>
    </row>
    <row r="279" ht="62" customHeight="1">
      <c r="A279" s="10" t="n"/>
      <c r="B279" s="36" t="inlineStr">
        <is>
          <t>SOBRE LOCAL OCUPADO</t>
        </is>
      </c>
      <c r="C279" s="10" t="inlineStr"/>
      <c r="D279" s="9">
        <f>IF(COUNT(H279,I279)&lt;2,"",ROUND(H279*I279,2))</f>
        <v/>
      </c>
      <c r="E279" s="27" t="n">
        <v>15</v>
      </c>
      <c r="F279" s="30">
        <f>IF(D279="","",ROUND(D279*E279,1))</f>
        <v/>
      </c>
      <c r="G279" s="2" t="n"/>
      <c r="H279" s="37" t="n"/>
      <c r="I279" s="37" t="n"/>
    </row>
    <row r="280" ht="39.7" customHeight="1">
      <c r="A280" s="18" t="inlineStr">
        <is>
          <t>5</t>
        </is>
      </c>
      <c r="B280" s="35" t="inlineStr">
        <is>
          <t>INFILTRACION</t>
        </is>
      </c>
      <c r="C280" s="10" t="n"/>
      <c r="D280" s="18" t="inlineStr">
        <is>
          <t>VOLUMEN (m3)</t>
        </is>
      </c>
      <c r="E280" s="10" t="n"/>
      <c r="F280" s="10" t="n"/>
      <c r="G280" s="2" t="n"/>
      <c r="H280" s="2" t="n"/>
      <c r="I280" s="2" t="n"/>
    </row>
    <row r="281" ht="39.7" customHeight="1">
      <c r="A281" s="10" t="n"/>
      <c r="B281" s="36" t="inlineStr">
        <is>
          <t>UNA PARED EXTERIOR</t>
        </is>
      </c>
      <c r="C281" s="10" t="inlineStr">
        <is>
          <t>5.81 m2 x 3.00</t>
        </is>
      </c>
      <c r="D281" s="9" t="n">
        <v>17.43</v>
      </c>
      <c r="E281" s="27" t="n">
        <v>6</v>
      </c>
      <c r="F281" s="30">
        <f>IF(D281="","",ROUND(D281*E281,1))</f>
        <v/>
      </c>
      <c r="G281" s="2" t="n"/>
      <c r="H281" s="37" t="n"/>
      <c r="I281" s="37" t="n"/>
    </row>
    <row r="282" ht="62" customHeight="1">
      <c r="A282" s="10" t="n"/>
      <c r="B282" s="36" t="inlineStr">
        <is>
          <t>DOS PAREDES EXTERIORES</t>
        </is>
      </c>
      <c r="C282" s="10" t="inlineStr"/>
      <c r="D282" s="9">
        <f>IF(COUNT(H282,I282)&lt;2,"",ROUND(H282*I282,2))</f>
        <v/>
      </c>
      <c r="E282" s="27" t="n">
        <v>9</v>
      </c>
      <c r="F282" s="30">
        <f>IF(D282="","",ROUND(D282*E282,1))</f>
        <v/>
      </c>
      <c r="G282" s="2" t="n"/>
      <c r="H282" s="37" t="n"/>
      <c r="I282" s="37" t="n"/>
    </row>
    <row r="283" ht="62" customHeight="1">
      <c r="A283" s="10" t="n"/>
      <c r="B283" s="36" t="inlineStr">
        <is>
          <t>TRES O MAS PAREDES EXTERIORES</t>
        </is>
      </c>
      <c r="C283" s="10" t="inlineStr"/>
      <c r="D283" s="9">
        <f>IF(COUNT(H283,I283)&lt;2,"",ROUND(H283*I283,2))</f>
        <v/>
      </c>
      <c r="E283" s="27" t="n">
        <v>12</v>
      </c>
      <c r="F283" s="30">
        <f>IF(D283="","",ROUND(D283*E283,1))</f>
        <v/>
      </c>
      <c r="G283" s="2" t="n"/>
      <c r="H283" s="37" t="n"/>
      <c r="I283" s="37" t="n"/>
    </row>
    <row r="284" ht="70" customHeight="1">
      <c r="A284" s="18" t="inlineStr">
        <is>
          <t>6</t>
        </is>
      </c>
      <c r="B284" s="35" t="inlineStr">
        <is>
          <t>SUBTOTAL</t>
        </is>
      </c>
      <c r="C284" s="10" t="n"/>
      <c r="D284" s="10" t="n"/>
      <c r="E284" s="10" t="n"/>
      <c r="F284" s="38">
        <f>IF(F266="",0,F266)+IF(F268="",0,F268)+IF(F269="",0,F269)+IF(F270="",0,F270)+IF(F271="",0,F271)+IF(F272="",0,F272)+IF(F274="",0,F274)+IF(F275="",0,F275)+IF(F276="",0,F276)+IF(F278="",0,F278)+IF(F279="",0,F279)+IF(F281="",0,F281)+IF(F282="",0,F282)+IF(F283="",0,F283)</f>
        <v/>
      </c>
      <c r="G284" s="2" t="n"/>
      <c r="H284" s="2" t="n"/>
      <c r="I284" s="2" t="n"/>
    </row>
    <row r="285" ht="47" customHeight="1">
      <c r="A285" s="18" t="inlineStr">
        <is>
          <t>7</t>
        </is>
      </c>
      <c r="B285" s="35" t="inlineStr">
        <is>
          <t>PERDIDA TOTAL</t>
        </is>
      </c>
      <c r="C285" s="10">
        <f>TEXT(F284,"0.00")&amp;"  X  "&amp;Datos_balance!$B$4&amp;" (FI)  X  "&amp;Datos_balance!$B$5&amp;" (FO)  X  "&amp;Datos_balance!$B$6&amp;" (FZ)"</f>
        <v/>
      </c>
      <c r="D285" s="2" t="n"/>
      <c r="E285" s="2" t="n"/>
      <c r="F285" s="38">
        <f>ROUND(F284*Datos_balance!$B$4*Datos_balance!$B$5*Datos_balance!$B$6,1)</f>
        <v/>
      </c>
      <c r="G285" s="2" t="n"/>
      <c r="H285" s="2" t="n"/>
      <c r="I285" s="2" t="n"/>
    </row>
    <row r="286" ht="39.7" customHeight="1">
      <c r="A286" s="10" t="n"/>
      <c r="B286" s="11" t="inlineStr">
        <is>
          <t>Carga de locales sin emisor</t>
        </is>
      </c>
      <c r="C286" s="10" t="n"/>
      <c r="D286" s="2" t="n"/>
      <c r="E286" s="2" t="n"/>
      <c r="F286" s="30" t="n"/>
      <c r="G286" s="2" t="n"/>
      <c r="H286" s="2" t="n"/>
      <c r="I286" s="2" t="n"/>
    </row>
    <row r="287" ht="39.7" customHeight="1">
      <c r="A287" s="10" t="n"/>
      <c r="B287" s="35" t="inlineStr">
        <is>
          <t>CARGA TOTAL A CUBRIR</t>
        </is>
      </c>
      <c r="C287" s="10" t="n"/>
      <c r="D287" s="2" t="n"/>
      <c r="E287" s="2" t="n"/>
      <c r="F287" s="38">
        <f>F285+IF(F286="",0,F286)</f>
        <v/>
      </c>
      <c r="G287" s="2" t="n"/>
      <c r="H287" s="2" t="n"/>
      <c r="I287" s="2" t="n"/>
    </row>
    <row r="288">
      <c r="A288" s="2" t="n"/>
      <c r="B288" s="2" t="n"/>
      <c r="C288" s="2" t="n"/>
      <c r="D288" s="2" t="n"/>
      <c r="E288" s="2" t="n"/>
      <c r="F288" s="2" t="n"/>
      <c r="G288" s="2" t="n"/>
      <c r="H288" s="2" t="n"/>
      <c r="I288" s="2" t="n"/>
    </row>
    <row r="289" ht="62" customHeight="1">
      <c r="A289" s="10" t="n"/>
      <c r="B289" s="11" t="inlineStr">
        <is>
          <t>Salto termico:  dt = (te+ts)/2 - ti</t>
        </is>
      </c>
      <c r="C289" s="10">
        <f>TEXT((Datos_balance!$B$9+Datos_balance!$B$10)/2,"0")&amp;" - "&amp;TEXT(Datos_balance!$B$11,"0")&amp;" = "&amp;TEXT((Datos_balance!$B$9+Datos_balance!$B$10)/2-Datos_balance!$B$11,"0")&amp;" C"</f>
        <v/>
      </c>
      <c r="D289" s="2" t="n"/>
      <c r="E289" s="2" t="n"/>
      <c r="F289" s="10" t="n"/>
      <c r="G289" s="2" t="n"/>
      <c r="H289" s="2" t="n"/>
      <c r="I289" s="2" t="n"/>
    </row>
    <row r="290" ht="39.7" customHeight="1">
      <c r="A290" s="10" t="n"/>
      <c r="B290" s="11" t="inlineStr">
        <is>
          <t>Kcal/h del toallero Scala/Domino 80</t>
        </is>
      </c>
      <c r="C290" s="27">
        <f>ROUND(Datos_balance!$B$18*Datos_balance!$B$15,0)</f>
        <v/>
      </c>
      <c r="D290" s="2" t="n"/>
      <c r="E290" s="2" t="n"/>
      <c r="F290" s="10" t="n"/>
      <c r="G290" s="2" t="n"/>
      <c r="H290" s="2" t="n"/>
      <c r="I290" s="2" t="n"/>
    </row>
    <row r="291" ht="39.7" customHeight="1">
      <c r="A291" s="10" t="n"/>
      <c r="B291" s="11" t="inlineStr">
        <is>
          <t>Kcal/h del toallero Scala/Domino 150</t>
        </is>
      </c>
      <c r="C291" s="27">
        <f>ROUND(Datos_balance!$B$19*Datos_balance!$B$15,0)</f>
        <v/>
      </c>
      <c r="D291" s="2" t="n"/>
      <c r="E291" s="2" t="n"/>
      <c r="F291" s="10" t="n"/>
      <c r="G291" s="2" t="n"/>
      <c r="H291" s="2" t="n"/>
      <c r="I291" s="2" t="n"/>
    </row>
    <row r="292" ht="47" customHeight="1">
      <c r="A292" s="10" t="n"/>
      <c r="B292" s="11" t="inlineStr">
        <is>
          <t>Toalleros necesarios</t>
        </is>
      </c>
      <c r="C292" s="27">
        <f>IF(F287&lt;=Datos_balance!$B$18*Datos_balance!$B$15,1,ROUNDUP(F287/(Datos_balance!$B$19*Datos_balance!$B$15),0))</f>
        <v/>
      </c>
      <c r="D292" s="2" t="n"/>
      <c r="E292" s="2" t="n"/>
      <c r="F292" s="10" t="n"/>
      <c r="G292" s="2" t="n"/>
      <c r="H292" s="2" t="n"/>
      <c r="I292" s="2" t="n"/>
    </row>
    <row r="293" ht="47" customHeight="1">
      <c r="A293" s="14" t="n"/>
      <c r="B293" s="15" t="inlineStr">
        <is>
          <t>Toallero adoptado</t>
        </is>
      </c>
      <c r="C293" s="14">
        <f>IF(F287&lt;=Datos_balance!$B$18*Datos_balance!$B$15,"Peisa Scala / Domino 80  (500 x 800 mm)","Peisa Scala / Domino 150  (500 x 1500 mm)")</f>
        <v/>
      </c>
      <c r="D293" s="22" t="n"/>
      <c r="E293" s="22" t="n"/>
      <c r="F293" s="14" t="n"/>
      <c r="G293" s="2" t="n"/>
      <c r="H293" s="2" t="n"/>
      <c r="I293" s="2" t="n"/>
    </row>
    <row r="294">
      <c r="A294" s="2" t="n"/>
      <c r="B294" s="2" t="n"/>
      <c r="C294" s="2" t="n"/>
      <c r="D294" s="2" t="n"/>
      <c r="E294" s="2" t="n"/>
      <c r="F294" s="2" t="n"/>
      <c r="G294" s="2" t="n"/>
      <c r="H294" s="2" t="n"/>
      <c r="I294" s="2" t="n"/>
    </row>
    <row r="295" ht="39.7" customHeight="1">
      <c r="A295" s="2" t="n"/>
      <c r="B295" s="39" t="inlineStr">
        <is>
          <t>Ubicacion del local en planta</t>
        </is>
      </c>
      <c r="C295" s="2" t="n"/>
      <c r="D295" s="2" t="n"/>
      <c r="E295" s="2" t="n"/>
      <c r="F295" s="2" t="n"/>
      <c r="G295" s="2" t="n"/>
      <c r="H295" s="2" t="n"/>
      <c r="I295" s="2" t="n"/>
    </row>
    <row r="296" ht="39.7" customHeight="1">
      <c r="A296" s="2" t="n"/>
      <c r="B296" s="2" t="n"/>
      <c r="C296" s="2" t="n"/>
      <c r="D296" s="2" t="n"/>
      <c r="E296" s="2" t="n"/>
      <c r="F296" s="2" t="n"/>
      <c r="G296" s="2" t="n"/>
      <c r="H296" s="2" t="n"/>
      <c r="I296" s="2" t="n"/>
    </row>
    <row r="297" ht="39.7" customHeight="1">
      <c r="A297" s="2" t="n"/>
      <c r="B297" s="2" t="n"/>
      <c r="C297" s="2" t="n"/>
      <c r="D297" s="2" t="n"/>
      <c r="E297" s="2" t="n"/>
      <c r="F297" s="2" t="n"/>
      <c r="G297" s="2" t="n"/>
      <c r="H297" s="2" t="n"/>
      <c r="I297" s="2" t="n"/>
    </row>
    <row r="298" ht="39.7" customHeight="1">
      <c r="A298" s="2" t="n"/>
      <c r="B298" s="2" t="n"/>
      <c r="C298" s="2" t="n"/>
      <c r="D298" s="2" t="n"/>
      <c r="E298" s="2" t="n"/>
      <c r="F298" s="2" t="n"/>
      <c r="G298" s="2" t="n"/>
      <c r="H298" s="2" t="n"/>
      <c r="I298" s="2" t="n"/>
    </row>
    <row r="299" ht="39.7" customHeight="1">
      <c r="A299" s="2" t="n"/>
      <c r="B299" s="2" t="n"/>
      <c r="C299" s="2" t="n"/>
      <c r="D299" s="2" t="n"/>
      <c r="E299" s="2" t="n"/>
      <c r="F299" s="2" t="n"/>
      <c r="G299" s="2" t="n"/>
      <c r="H299" s="2" t="n"/>
      <c r="I299" s="2" t="n"/>
    </row>
    <row r="300" ht="39.7" customHeight="1">
      <c r="A300" s="2" t="n"/>
      <c r="B300" s="2" t="n"/>
      <c r="C300" s="2" t="n"/>
      <c r="D300" s="2" t="n"/>
      <c r="E300" s="2" t="n"/>
      <c r="F300" s="2" t="n"/>
      <c r="G300" s="2" t="n"/>
      <c r="H300" s="2" t="n"/>
      <c r="I300" s="2" t="n"/>
    </row>
    <row r="301" ht="39.7" customHeight="1">
      <c r="A301" s="2" t="n"/>
      <c r="B301" s="2" t="n"/>
      <c r="C301" s="2" t="n"/>
      <c r="D301" s="2" t="n"/>
      <c r="E301" s="2" t="n"/>
      <c r="F301" s="2" t="n"/>
      <c r="G301" s="2" t="n"/>
      <c r="H301" s="2" t="n"/>
      <c r="I301" s="2" t="n"/>
    </row>
    <row r="302" ht="39.7" customHeight="1">
      <c r="A302" s="2" t="n"/>
      <c r="B302" s="2" t="n"/>
      <c r="C302" s="2" t="n"/>
      <c r="D302" s="2" t="n"/>
      <c r="E302" s="2" t="n"/>
      <c r="F302" s="2" t="n"/>
      <c r="G302" s="2" t="n"/>
      <c r="H302" s="2" t="n"/>
      <c r="I302" s="2" t="n"/>
    </row>
    <row r="303" ht="39.7" customHeight="1">
      <c r="A303" s="2" t="n"/>
      <c r="B303" s="2" t="n"/>
      <c r="C303" s="2" t="n"/>
      <c r="D303" s="2" t="n"/>
      <c r="E303" s="2" t="n"/>
      <c r="F303" s="2" t="n"/>
      <c r="G303" s="2" t="n"/>
      <c r="H303" s="2" t="n"/>
      <c r="I303" s="2" t="n"/>
    </row>
    <row r="304">
      <c r="A304" s="2" t="n"/>
      <c r="B304" s="2" t="n"/>
      <c r="C304" s="2" t="n"/>
      <c r="D304" s="2" t="n"/>
      <c r="E304" s="2" t="n"/>
      <c r="F304" s="2" t="n"/>
      <c r="G304" s="2" t="n"/>
      <c r="H304" s="2" t="n"/>
      <c r="I304" s="2" t="n"/>
    </row>
    <row r="305">
      <c r="A305" s="2" t="n"/>
      <c r="B305" s="2" t="n"/>
      <c r="C305" s="2" t="n"/>
      <c r="D305" s="2" t="n"/>
      <c r="E305" s="2" t="n"/>
      <c r="F305" s="2" t="n"/>
      <c r="G305" s="2" t="n"/>
      <c r="H305" s="2" t="n"/>
      <c r="I305" s="2" t="n"/>
    </row>
    <row r="306">
      <c r="A306" s="2" t="n"/>
      <c r="B306" s="2" t="n"/>
      <c r="C306" s="2" t="n"/>
      <c r="D306" s="2" t="n"/>
      <c r="E306" s="2" t="n"/>
      <c r="F306" s="2" t="n"/>
      <c r="G306" s="2" t="n"/>
      <c r="H306" s="2" t="n"/>
      <c r="I306" s="2" t="n"/>
    </row>
    <row r="307" ht="39.7" customHeight="1">
      <c r="A307" s="5" t="inlineStr">
        <is>
          <t>LOCAL  11 - Bano visitas   (PB)   -   altura 3.00 m</t>
        </is>
      </c>
      <c r="B307" s="2" t="n"/>
      <c r="C307" s="2" t="n"/>
      <c r="D307" s="2" t="n"/>
      <c r="E307" s="2" t="n"/>
      <c r="F307" s="2" t="n"/>
      <c r="G307" s="2" t="n"/>
      <c r="H307" s="2" t="n"/>
      <c r="I307" s="2" t="n"/>
    </row>
    <row r="308" ht="39.7" customHeight="1">
      <c r="A308" s="3" t="inlineStr">
        <is>
          <t>Nro</t>
        </is>
      </c>
      <c r="B308" s="3" t="inlineStr">
        <is>
          <t>DESCRIPCION</t>
        </is>
      </c>
      <c r="C308" s="3" t="inlineStr">
        <is>
          <t>DIMENSIONES (m)</t>
        </is>
      </c>
      <c r="D308" s="3" t="inlineStr">
        <is>
          <t>AREA (m2)</t>
        </is>
      </c>
      <c r="E308" s="3" t="inlineStr">
        <is>
          <t>FACTOR</t>
        </is>
      </c>
      <c r="F308" s="3" t="inlineStr">
        <is>
          <t>PERDIDA CALOR (Kcal/h)</t>
        </is>
      </c>
      <c r="G308" s="2" t="n"/>
      <c r="H308" s="2" t="n"/>
      <c r="I308" s="2" t="n"/>
    </row>
    <row r="309" ht="39.7" customHeight="1">
      <c r="A309" s="18" t="inlineStr">
        <is>
          <t>1</t>
        </is>
      </c>
      <c r="B309" s="35" t="inlineStr">
        <is>
          <t>VENTANA</t>
        </is>
      </c>
      <c r="C309" s="10" t="n"/>
      <c r="D309" s="10" t="n"/>
      <c r="E309" s="10" t="n"/>
      <c r="F309" s="10" t="n"/>
      <c r="G309" s="2" t="n"/>
      <c r="H309" s="2" t="n"/>
      <c r="I309" s="2" t="n"/>
    </row>
    <row r="310" ht="62" customHeight="1">
      <c r="A310" s="10" t="n"/>
      <c r="B310" s="36" t="inlineStr">
        <is>
          <t>(sin aberturas)</t>
        </is>
      </c>
      <c r="C310" s="10">
        <f>IF(COUNT(H310,I310)&lt;2,"",TEXT(H310,"0.00")&amp;" x "&amp;TEXT(I310,"0.00"))</f>
        <v/>
      </c>
      <c r="D310" s="9">
        <f>IF(COUNT(H310,I310)&lt;2,"",ROUND(H310*I310,2))</f>
        <v/>
      </c>
      <c r="E310" s="27" t="n">
        <v>60</v>
      </c>
      <c r="F310" s="30">
        <f>IF(D310="","",ROUND(D310*E310,1))</f>
        <v/>
      </c>
      <c r="G310" s="2" t="n"/>
      <c r="H310" s="37" t="n"/>
      <c r="I310" s="37" t="n"/>
    </row>
    <row r="311" ht="39.7" customHeight="1">
      <c r="A311" s="18" t="inlineStr">
        <is>
          <t>2</t>
        </is>
      </c>
      <c r="B311" s="35" t="inlineStr">
        <is>
          <t>PAREDES EXTERIORES</t>
        </is>
      </c>
      <c r="C311" s="10" t="n"/>
      <c r="D311" s="10" t="n"/>
      <c r="E311" s="10" t="n"/>
      <c r="F311" s="10" t="n"/>
      <c r="G311" s="2" t="n"/>
      <c r="H311" s="2" t="n"/>
      <c r="I311" s="2" t="n"/>
    </row>
    <row r="312" ht="62" customHeight="1">
      <c r="A312" s="10" t="n"/>
      <c r="B312" s="36" t="inlineStr">
        <is>
          <t>AISLADAS ()</t>
        </is>
      </c>
      <c r="C312" s="10">
        <f>IF(COUNT(H312,I312)&lt;2,"",TEXT(H312,"0.00")&amp;" x "&amp;TEXT(I312,"0.00"))</f>
        <v/>
      </c>
      <c r="D312" s="9">
        <f>IF(COUNT(H312,I312)&lt;2,"",ROUND(H312*I312,2))</f>
        <v/>
      </c>
      <c r="E312" s="27" t="n">
        <v>20</v>
      </c>
      <c r="F312" s="30">
        <f>IF(D312="","",ROUND(D312*E312,1))</f>
        <v/>
      </c>
      <c r="G312" s="2" t="n"/>
      <c r="H312" s="37" t="n">
        <v>1.3</v>
      </c>
      <c r="I312" s="37" t="n">
        <v>3</v>
      </c>
    </row>
    <row r="313" ht="62" customHeight="1">
      <c r="A313" s="10" t="n"/>
      <c r="B313" s="36" t="inlineStr">
        <is>
          <t>AISLADAS (    )</t>
        </is>
      </c>
      <c r="C313" s="10">
        <f>IF(COUNT(H313,I313)&lt;2,"",TEXT(H313,"0.00")&amp;" x "&amp;TEXT(I313,"0.00"))</f>
        <v/>
      </c>
      <c r="D313" s="9">
        <f>IF(COUNT(H313,I313)&lt;2,"",ROUND(H313*I313,2))</f>
        <v/>
      </c>
      <c r="E313" s="27" t="n">
        <v>20</v>
      </c>
      <c r="F313" s="30">
        <f>IF(D313="","",ROUND(D313*E313,1))</f>
        <v/>
      </c>
      <c r="G313" s="2" t="n"/>
      <c r="H313" s="37" t="n"/>
      <c r="I313" s="37" t="n"/>
    </row>
    <row r="314" ht="62" customHeight="1">
      <c r="A314" s="10" t="n"/>
      <c r="B314" s="36" t="inlineStr">
        <is>
          <t>INTERIORES (    )</t>
        </is>
      </c>
      <c r="C314" s="10">
        <f>IF(COUNT(H314,I314)&lt;2,"",TEXT(H314,"0.00")&amp;" x "&amp;TEXT(I314,"0.00"))</f>
        <v/>
      </c>
      <c r="D314" s="9">
        <f>IF(COUNT(H314,I314)&lt;2,"",ROUND(H314*I314,2))</f>
        <v/>
      </c>
      <c r="E314" s="27" t="n">
        <v>25</v>
      </c>
      <c r="F314" s="30">
        <f>IF(D314="","",ROUND(D314*E314,1))</f>
        <v/>
      </c>
      <c r="G314" s="2" t="n"/>
      <c r="H314" s="37" t="n">
        <v>2.4</v>
      </c>
      <c r="I314" s="37" t="n">
        <v>3</v>
      </c>
    </row>
    <row r="315" ht="62" customHeight="1">
      <c r="A315" s="10" t="n"/>
      <c r="B315" s="36" t="inlineStr">
        <is>
          <t>INTERIORES (    )</t>
        </is>
      </c>
      <c r="C315" s="10">
        <f>IF(COUNT(H315,I315)&lt;2,"",TEXT(H315,"0.00")&amp;" x "&amp;TEXT(I315,"0.00"))</f>
        <v/>
      </c>
      <c r="D315" s="9">
        <f>IF(COUNT(H315,I315)&lt;2,"",ROUND(H315*I315,2))</f>
        <v/>
      </c>
      <c r="E315" s="27" t="n">
        <v>25</v>
      </c>
      <c r="F315" s="30">
        <f>IF(D315="","",ROUND(D315*E315,1))</f>
        <v/>
      </c>
      <c r="G315" s="2" t="n"/>
      <c r="H315" s="37" t="n">
        <v>2.4</v>
      </c>
      <c r="I315" s="37" t="n">
        <v>3</v>
      </c>
    </row>
    <row r="316" ht="62" customHeight="1">
      <c r="A316" s="10" t="n"/>
      <c r="B316" s="36" t="inlineStr">
        <is>
          <t>INTERIORES (    )</t>
        </is>
      </c>
      <c r="C316" s="10">
        <f>IF(COUNT(H316,I316)&lt;2,"",TEXT(H316,"0.00")&amp;" x "&amp;TEXT(I316,"0.00"))</f>
        <v/>
      </c>
      <c r="D316" s="9">
        <f>IF(COUNT(H316,I316)&lt;2,"",ROUND(H316*I316,2))</f>
        <v/>
      </c>
      <c r="E316" s="27" t="n">
        <v>25</v>
      </c>
      <c r="F316" s="30">
        <f>IF(D316="","",ROUND(D316*E316,1))</f>
        <v/>
      </c>
      <c r="G316" s="2" t="n"/>
      <c r="H316" s="37" t="n">
        <v>1.3</v>
      </c>
      <c r="I316" s="37" t="n">
        <v>3</v>
      </c>
    </row>
    <row r="317" ht="39.7" customHeight="1">
      <c r="A317" s="18" t="inlineStr">
        <is>
          <t>3</t>
        </is>
      </c>
      <c r="B317" s="35" t="inlineStr">
        <is>
          <t>TECHOS O CIELORRASOS</t>
        </is>
      </c>
      <c r="C317" s="10" t="n"/>
      <c r="D317" s="10" t="n"/>
      <c r="E317" s="10" t="n"/>
      <c r="F317" s="10" t="n"/>
      <c r="G317" s="2" t="n"/>
      <c r="H317" s="2" t="n"/>
      <c r="I317" s="2" t="n"/>
    </row>
    <row r="318" ht="62" customHeight="1">
      <c r="A318" s="10" t="n"/>
      <c r="B318" s="36" t="inlineStr">
        <is>
          <t>TECHO NO AISLADO</t>
        </is>
      </c>
      <c r="C318" s="10" t="inlineStr"/>
      <c r="D318" s="9">
        <f>IF(COUNT(H318,I318)&lt;2,"",ROUND(H318*I318,2))</f>
        <v/>
      </c>
      <c r="E318" s="27" t="n">
        <v>30</v>
      </c>
      <c r="F318" s="30">
        <f>IF(D318="","",ROUND(D318*E318,1))</f>
        <v/>
      </c>
      <c r="G318" s="2" t="n"/>
      <c r="H318" s="37" t="n"/>
      <c r="I318" s="37" t="n"/>
    </row>
    <row r="319" ht="62" customHeight="1">
      <c r="A319" s="10" t="n"/>
      <c r="B319" s="36" t="inlineStr">
        <is>
          <t>TECHO AISLADO</t>
        </is>
      </c>
      <c r="C319" s="10" t="inlineStr"/>
      <c r="D319" s="9">
        <f>IF(COUNT(H319,I319)&lt;2,"",ROUND(H319*I319,2))</f>
        <v/>
      </c>
      <c r="E319" s="27" t="n">
        <v>20</v>
      </c>
      <c r="F319" s="30">
        <f>IF(D319="","",ROUND(D319*E319,1))</f>
        <v/>
      </c>
      <c r="G319" s="2" t="n"/>
      <c r="H319" s="37" t="n"/>
      <c r="I319" s="37" t="n"/>
    </row>
    <row r="320" ht="39.7" customHeight="1">
      <c r="A320" s="10" t="n"/>
      <c r="B320" s="36" t="inlineStr">
        <is>
          <t>TECHO ENTREPISO</t>
        </is>
      </c>
      <c r="C320" s="10" t="inlineStr">
        <is>
          <t>por croquis</t>
        </is>
      </c>
      <c r="D320" s="9" t="n">
        <v>3.12</v>
      </c>
      <c r="E320" s="27" t="n">
        <v>15</v>
      </c>
      <c r="F320" s="30">
        <f>IF(D320="","",ROUND(D320*E320,1))</f>
        <v/>
      </c>
      <c r="G320" s="2" t="n"/>
      <c r="H320" s="37" t="n"/>
      <c r="I320" s="37" t="n"/>
    </row>
    <row r="321" ht="39.7" customHeight="1">
      <c r="A321" s="18" t="inlineStr">
        <is>
          <t>4</t>
        </is>
      </c>
      <c r="B321" s="35" t="inlineStr">
        <is>
          <t>PISO</t>
        </is>
      </c>
      <c r="C321" s="10" t="n"/>
      <c r="D321" s="10" t="n"/>
      <c r="E321" s="10" t="n"/>
      <c r="F321" s="10" t="n"/>
      <c r="G321" s="2" t="n"/>
      <c r="H321" s="2" t="n"/>
      <c r="I321" s="2" t="n"/>
    </row>
    <row r="322" ht="39.7" customHeight="1">
      <c r="A322" s="10" t="n"/>
      <c r="B322" s="36" t="inlineStr">
        <is>
          <t>SOBRE TIERRA</t>
        </is>
      </c>
      <c r="C322" s="10" t="inlineStr">
        <is>
          <t>por croquis</t>
        </is>
      </c>
      <c r="D322" s="9" t="n">
        <v>3.12</v>
      </c>
      <c r="E322" s="27" t="n">
        <v>10</v>
      </c>
      <c r="F322" s="30">
        <f>IF(D322="","",ROUND(D322*E322,1))</f>
        <v/>
      </c>
      <c r="G322" s="2" t="n"/>
      <c r="H322" s="37" t="n"/>
      <c r="I322" s="37" t="n"/>
    </row>
    <row r="323" ht="62" customHeight="1">
      <c r="A323" s="10" t="n"/>
      <c r="B323" s="36" t="inlineStr">
        <is>
          <t>SOBRE LOCAL OCUPADO</t>
        </is>
      </c>
      <c r="C323" s="10" t="inlineStr"/>
      <c r="D323" s="9">
        <f>IF(COUNT(H323,I323)&lt;2,"",ROUND(H323*I323,2))</f>
        <v/>
      </c>
      <c r="E323" s="27" t="n">
        <v>15</v>
      </c>
      <c r="F323" s="30">
        <f>IF(D323="","",ROUND(D323*E323,1))</f>
        <v/>
      </c>
      <c r="G323" s="2" t="n"/>
      <c r="H323" s="37" t="n"/>
      <c r="I323" s="37" t="n"/>
    </row>
    <row r="324" ht="39.7" customHeight="1">
      <c r="A324" s="18" t="inlineStr">
        <is>
          <t>5</t>
        </is>
      </c>
      <c r="B324" s="35" t="inlineStr">
        <is>
          <t>INFILTRACION</t>
        </is>
      </c>
      <c r="C324" s="10" t="n"/>
      <c r="D324" s="18" t="inlineStr">
        <is>
          <t>VOLUMEN (m3)</t>
        </is>
      </c>
      <c r="E324" s="10" t="n"/>
      <c r="F324" s="10" t="n"/>
      <c r="G324" s="2" t="n"/>
      <c r="H324" s="2" t="n"/>
      <c r="I324" s="2" t="n"/>
    </row>
    <row r="325" ht="39.7" customHeight="1">
      <c r="A325" s="10" t="n"/>
      <c r="B325" s="36" t="inlineStr">
        <is>
          <t>UNA PARED EXTERIOR</t>
        </is>
      </c>
      <c r="C325" s="10" t="inlineStr">
        <is>
          <t>3.12 m2 x 3.00</t>
        </is>
      </c>
      <c r="D325" s="9" t="n">
        <v>9.359999999999999</v>
      </c>
      <c r="E325" s="27" t="n">
        <v>6</v>
      </c>
      <c r="F325" s="30">
        <f>IF(D325="","",ROUND(D325*E325,1))</f>
        <v/>
      </c>
      <c r="G325" s="2" t="n"/>
      <c r="H325" s="37" t="n"/>
      <c r="I325" s="37" t="n"/>
    </row>
    <row r="326" ht="62" customHeight="1">
      <c r="A326" s="10" t="n"/>
      <c r="B326" s="36" t="inlineStr">
        <is>
          <t>DOS PAREDES EXTERIORES</t>
        </is>
      </c>
      <c r="C326" s="10" t="inlineStr"/>
      <c r="D326" s="9">
        <f>IF(COUNT(H326,I326)&lt;2,"",ROUND(H326*I326,2))</f>
        <v/>
      </c>
      <c r="E326" s="27" t="n">
        <v>9</v>
      </c>
      <c r="F326" s="30">
        <f>IF(D326="","",ROUND(D326*E326,1))</f>
        <v/>
      </c>
      <c r="G326" s="2" t="n"/>
      <c r="H326" s="37" t="n"/>
      <c r="I326" s="37" t="n"/>
    </row>
    <row r="327" ht="62" customHeight="1">
      <c r="A327" s="10" t="n"/>
      <c r="B327" s="36" t="inlineStr">
        <is>
          <t>TRES O MAS PAREDES EXTERIORES</t>
        </is>
      </c>
      <c r="C327" s="10" t="inlineStr"/>
      <c r="D327" s="9">
        <f>IF(COUNT(H327,I327)&lt;2,"",ROUND(H327*I327,2))</f>
        <v/>
      </c>
      <c r="E327" s="27" t="n">
        <v>12</v>
      </c>
      <c r="F327" s="30">
        <f>IF(D327="","",ROUND(D327*E327,1))</f>
        <v/>
      </c>
      <c r="G327" s="2" t="n"/>
      <c r="H327" s="37" t="n"/>
      <c r="I327" s="37" t="n"/>
    </row>
    <row r="328" ht="70" customHeight="1">
      <c r="A328" s="18" t="inlineStr">
        <is>
          <t>6</t>
        </is>
      </c>
      <c r="B328" s="35" t="inlineStr">
        <is>
          <t>SUBTOTAL</t>
        </is>
      </c>
      <c r="C328" s="10" t="n"/>
      <c r="D328" s="10" t="n"/>
      <c r="E328" s="10" t="n"/>
      <c r="F328" s="38">
        <f>IF(F310="",0,F310)+IF(F312="",0,F312)+IF(F313="",0,F313)+IF(F314="",0,F314)+IF(F315="",0,F315)+IF(F316="",0,F316)+IF(F318="",0,F318)+IF(F319="",0,F319)+IF(F320="",0,F320)+IF(F322="",0,F322)+IF(F323="",0,F323)+IF(F325="",0,F325)+IF(F326="",0,F326)+IF(F327="",0,F327)</f>
        <v/>
      </c>
      <c r="G328" s="2" t="n"/>
      <c r="H328" s="2" t="n"/>
      <c r="I328" s="2" t="n"/>
    </row>
    <row r="329" ht="47" customHeight="1">
      <c r="A329" s="18" t="inlineStr">
        <is>
          <t>7</t>
        </is>
      </c>
      <c r="B329" s="35" t="inlineStr">
        <is>
          <t>PERDIDA TOTAL</t>
        </is>
      </c>
      <c r="C329" s="10">
        <f>TEXT(F328,"0.00")&amp;"  X  "&amp;Datos_balance!$B$4&amp;" (FI)  X  "&amp;Datos_balance!$B$5&amp;" (FO)  X  "&amp;Datos_balance!$B$6&amp;" (FZ)"</f>
        <v/>
      </c>
      <c r="D329" s="2" t="n"/>
      <c r="E329" s="2" t="n"/>
      <c r="F329" s="38">
        <f>ROUND(F328*Datos_balance!$B$4*Datos_balance!$B$5*Datos_balance!$B$6,1)</f>
        <v/>
      </c>
      <c r="G329" s="2" t="n"/>
      <c r="H329" s="2" t="n"/>
      <c r="I329" s="2" t="n"/>
    </row>
    <row r="330" ht="39.7" customHeight="1">
      <c r="A330" s="10" t="n"/>
      <c r="B330" s="11" t="inlineStr">
        <is>
          <t>Carga de locales sin emisor</t>
        </is>
      </c>
      <c r="C330" s="10" t="n"/>
      <c r="D330" s="2" t="n"/>
      <c r="E330" s="2" t="n"/>
      <c r="F330" s="30" t="n"/>
      <c r="G330" s="2" t="n"/>
      <c r="H330" s="2" t="n"/>
      <c r="I330" s="2" t="n"/>
    </row>
    <row r="331" ht="39.7" customHeight="1">
      <c r="A331" s="10" t="n"/>
      <c r="B331" s="35" t="inlineStr">
        <is>
          <t>CARGA TOTAL A CUBRIR</t>
        </is>
      </c>
      <c r="C331" s="10" t="n"/>
      <c r="D331" s="2" t="n"/>
      <c r="E331" s="2" t="n"/>
      <c r="F331" s="38">
        <f>F329+IF(F330="",0,F330)</f>
        <v/>
      </c>
      <c r="G331" s="2" t="n"/>
      <c r="H331" s="2" t="n"/>
      <c r="I331" s="2" t="n"/>
    </row>
    <row r="332">
      <c r="A332" s="2" t="n"/>
      <c r="B332" s="2" t="n"/>
      <c r="C332" s="2" t="n"/>
      <c r="D332" s="2" t="n"/>
      <c r="E332" s="2" t="n"/>
      <c r="F332" s="2" t="n"/>
      <c r="G332" s="2" t="n"/>
      <c r="H332" s="2" t="n"/>
      <c r="I332" s="2" t="n"/>
    </row>
    <row r="333" ht="62" customHeight="1">
      <c r="A333" s="10" t="n"/>
      <c r="B333" s="11" t="inlineStr">
        <is>
          <t>Salto termico:  dt = (te+ts)/2 - ti</t>
        </is>
      </c>
      <c r="C333" s="10">
        <f>TEXT((Datos_balance!$B$9+Datos_balance!$B$10)/2,"0")&amp;" - "&amp;TEXT(Datos_balance!$B$11,"0")&amp;" = "&amp;TEXT((Datos_balance!$B$9+Datos_balance!$B$10)/2-Datos_balance!$B$11,"0")&amp;" C"</f>
        <v/>
      </c>
      <c r="D333" s="2" t="n"/>
      <c r="E333" s="2" t="n"/>
      <c r="F333" s="10" t="n"/>
      <c r="G333" s="2" t="n"/>
      <c r="H333" s="2" t="n"/>
      <c r="I333" s="2" t="n"/>
    </row>
    <row r="334" ht="39.7" customHeight="1">
      <c r="A334" s="10" t="n"/>
      <c r="B334" s="11" t="inlineStr">
        <is>
          <t>Kcal/h del toallero Scala/Domino 80</t>
        </is>
      </c>
      <c r="C334" s="27">
        <f>ROUND(Datos_balance!$B$18*Datos_balance!$B$15,0)</f>
        <v/>
      </c>
      <c r="D334" s="2" t="n"/>
      <c r="E334" s="2" t="n"/>
      <c r="F334" s="10" t="n"/>
      <c r="G334" s="2" t="n"/>
      <c r="H334" s="2" t="n"/>
      <c r="I334" s="2" t="n"/>
    </row>
    <row r="335" ht="39.7" customHeight="1">
      <c r="A335" s="10" t="n"/>
      <c r="B335" s="11" t="inlineStr">
        <is>
          <t>Kcal/h del toallero Scala/Domino 150</t>
        </is>
      </c>
      <c r="C335" s="27">
        <f>ROUND(Datos_balance!$B$19*Datos_balance!$B$15,0)</f>
        <v/>
      </c>
      <c r="D335" s="2" t="n"/>
      <c r="E335" s="2" t="n"/>
      <c r="F335" s="10" t="n"/>
      <c r="G335" s="2" t="n"/>
      <c r="H335" s="2" t="n"/>
      <c r="I335" s="2" t="n"/>
    </row>
    <row r="336" ht="47" customHeight="1">
      <c r="A336" s="10" t="n"/>
      <c r="B336" s="11" t="inlineStr">
        <is>
          <t>Toalleros necesarios</t>
        </is>
      </c>
      <c r="C336" s="27">
        <f>IF(F331&lt;=Datos_balance!$B$18*Datos_balance!$B$15,1,ROUNDUP(F331/(Datos_balance!$B$19*Datos_balance!$B$15),0))</f>
        <v/>
      </c>
      <c r="D336" s="2" t="n"/>
      <c r="E336" s="2" t="n"/>
      <c r="F336" s="10" t="n"/>
      <c r="G336" s="2" t="n"/>
      <c r="H336" s="2" t="n"/>
      <c r="I336" s="2" t="n"/>
    </row>
    <row r="337" ht="47" customHeight="1">
      <c r="A337" s="14" t="n"/>
      <c r="B337" s="15" t="inlineStr">
        <is>
          <t>Toallero adoptado</t>
        </is>
      </c>
      <c r="C337" s="14">
        <f>IF(F331&lt;=Datos_balance!$B$18*Datos_balance!$B$15,"Peisa Scala / Domino 80  (500 x 800 mm)","Peisa Scala / Domino 150  (500 x 1500 mm)")</f>
        <v/>
      </c>
      <c r="D337" s="22" t="n"/>
      <c r="E337" s="22" t="n"/>
      <c r="F337" s="14" t="n"/>
      <c r="G337" s="2" t="n"/>
      <c r="H337" s="2" t="n"/>
      <c r="I337" s="2" t="n"/>
    </row>
    <row r="338">
      <c r="A338" s="2" t="n"/>
      <c r="B338" s="2" t="n"/>
      <c r="C338" s="2" t="n"/>
      <c r="D338" s="2" t="n"/>
      <c r="E338" s="2" t="n"/>
      <c r="F338" s="2" t="n"/>
      <c r="G338" s="2" t="n"/>
      <c r="H338" s="2" t="n"/>
      <c r="I338" s="2" t="n"/>
    </row>
    <row r="339" ht="39.7" customHeight="1">
      <c r="A339" s="2" t="n"/>
      <c r="B339" s="39" t="inlineStr">
        <is>
          <t>Ubicacion del local en planta</t>
        </is>
      </c>
      <c r="C339" s="2" t="n"/>
      <c r="D339" s="2" t="n"/>
      <c r="E339" s="2" t="n"/>
      <c r="F339" s="2" t="n"/>
      <c r="G339" s="2" t="n"/>
      <c r="H339" s="2" t="n"/>
      <c r="I339" s="2" t="n"/>
    </row>
    <row r="340" ht="39.7" customHeight="1">
      <c r="A340" s="2" t="n"/>
      <c r="B340" s="2" t="n"/>
      <c r="C340" s="2" t="n"/>
      <c r="D340" s="2" t="n"/>
      <c r="E340" s="2" t="n"/>
      <c r="F340" s="2" t="n"/>
      <c r="G340" s="2" t="n"/>
      <c r="H340" s="2" t="n"/>
      <c r="I340" s="2" t="n"/>
    </row>
    <row r="341" ht="39.7" customHeight="1">
      <c r="A341" s="2" t="n"/>
      <c r="B341" s="2" t="n"/>
      <c r="C341" s="2" t="n"/>
      <c r="D341" s="2" t="n"/>
      <c r="E341" s="2" t="n"/>
      <c r="F341" s="2" t="n"/>
      <c r="G341" s="2" t="n"/>
      <c r="H341" s="2" t="n"/>
      <c r="I341" s="2" t="n"/>
    </row>
    <row r="342" ht="39.7" customHeight="1">
      <c r="A342" s="2" t="n"/>
      <c r="B342" s="2" t="n"/>
      <c r="C342" s="2" t="n"/>
      <c r="D342" s="2" t="n"/>
      <c r="E342" s="2" t="n"/>
      <c r="F342" s="2" t="n"/>
      <c r="G342" s="2" t="n"/>
      <c r="H342" s="2" t="n"/>
      <c r="I342" s="2" t="n"/>
    </row>
    <row r="343" ht="39.7" customHeight="1">
      <c r="A343" s="2" t="n"/>
      <c r="B343" s="2" t="n"/>
      <c r="C343" s="2" t="n"/>
      <c r="D343" s="2" t="n"/>
      <c r="E343" s="2" t="n"/>
      <c r="F343" s="2" t="n"/>
      <c r="G343" s="2" t="n"/>
      <c r="H343" s="2" t="n"/>
      <c r="I343" s="2" t="n"/>
    </row>
    <row r="344" ht="39.7" customHeight="1">
      <c r="A344" s="2" t="n"/>
      <c r="B344" s="2" t="n"/>
      <c r="C344" s="2" t="n"/>
      <c r="D344" s="2" t="n"/>
      <c r="E344" s="2" t="n"/>
      <c r="F344" s="2" t="n"/>
      <c r="G344" s="2" t="n"/>
      <c r="H344" s="2" t="n"/>
      <c r="I344" s="2" t="n"/>
    </row>
    <row r="345" ht="39.7" customHeight="1">
      <c r="A345" s="2" t="n"/>
      <c r="B345" s="2" t="n"/>
      <c r="C345" s="2" t="n"/>
      <c r="D345" s="2" t="n"/>
      <c r="E345" s="2" t="n"/>
      <c r="F345" s="2" t="n"/>
      <c r="G345" s="2" t="n"/>
      <c r="H345" s="2" t="n"/>
      <c r="I345" s="2" t="n"/>
    </row>
    <row r="346" ht="39.7" customHeight="1">
      <c r="A346" s="2" t="n"/>
      <c r="B346" s="2" t="n"/>
      <c r="C346" s="2" t="n"/>
      <c r="D346" s="2" t="n"/>
      <c r="E346" s="2" t="n"/>
      <c r="F346" s="2" t="n"/>
      <c r="G346" s="2" t="n"/>
      <c r="H346" s="2" t="n"/>
      <c r="I346" s="2" t="n"/>
    </row>
    <row r="347" ht="39.7" customHeight="1">
      <c r="A347" s="2" t="n"/>
      <c r="B347" s="2" t="n"/>
      <c r="C347" s="2" t="n"/>
      <c r="D347" s="2" t="n"/>
      <c r="E347" s="2" t="n"/>
      <c r="F347" s="2" t="n"/>
      <c r="G347" s="2" t="n"/>
      <c r="H347" s="2" t="n"/>
      <c r="I347" s="2" t="n"/>
    </row>
    <row r="348">
      <c r="A348" s="2" t="n"/>
      <c r="B348" s="2" t="n"/>
      <c r="C348" s="2" t="n"/>
      <c r="D348" s="2" t="n"/>
      <c r="E348" s="2" t="n"/>
      <c r="F348" s="2" t="n"/>
      <c r="G348" s="2" t="n"/>
      <c r="H348" s="2" t="n"/>
      <c r="I348" s="2" t="n"/>
    </row>
    <row r="349">
      <c r="A349" s="2" t="n"/>
      <c r="B349" s="2" t="n"/>
      <c r="C349" s="2" t="n"/>
      <c r="D349" s="2" t="n"/>
      <c r="E349" s="2" t="n"/>
      <c r="F349" s="2" t="n"/>
      <c r="G349" s="2" t="n"/>
      <c r="H349" s="2" t="n"/>
      <c r="I349" s="2" t="n"/>
    </row>
    <row r="350">
      <c r="A350" s="2" t="n"/>
      <c r="B350" s="2" t="n"/>
      <c r="C350" s="2" t="n"/>
      <c r="D350" s="2" t="n"/>
      <c r="E350" s="2" t="n"/>
      <c r="F350" s="2" t="n"/>
      <c r="G350" s="2" t="n"/>
      <c r="H350" s="2" t="n"/>
      <c r="I350" s="2" t="n"/>
    </row>
    <row r="351" ht="39.7" customHeight="1">
      <c r="A351" s="5" t="inlineStr">
        <is>
          <t>LOCAL  13 - Dormitorio Norte   (PA)   -   altura 3.00 m</t>
        </is>
      </c>
      <c r="B351" s="2" t="n"/>
      <c r="C351" s="2" t="n"/>
      <c r="D351" s="2" t="n"/>
      <c r="E351" s="2" t="n"/>
      <c r="F351" s="2" t="n"/>
      <c r="G351" s="2" t="n"/>
      <c r="H351" s="2" t="n"/>
      <c r="I351" s="2" t="n"/>
    </row>
    <row r="352" ht="39.7" customHeight="1">
      <c r="A352" s="3" t="inlineStr">
        <is>
          <t>Nro</t>
        </is>
      </c>
      <c r="B352" s="3" t="inlineStr">
        <is>
          <t>DESCRIPCION</t>
        </is>
      </c>
      <c r="C352" s="3" t="inlineStr">
        <is>
          <t>DIMENSIONES (m)</t>
        </is>
      </c>
      <c r="D352" s="3" t="inlineStr">
        <is>
          <t>AREA (m2)</t>
        </is>
      </c>
      <c r="E352" s="3" t="inlineStr">
        <is>
          <t>FACTOR</t>
        </is>
      </c>
      <c r="F352" s="3" t="inlineStr">
        <is>
          <t>PERDIDA CALOR (Kcal/h)</t>
        </is>
      </c>
      <c r="G352" s="2" t="n"/>
      <c r="H352" s="2" t="n"/>
      <c r="I352" s="2" t="n"/>
    </row>
    <row r="353" ht="39.7" customHeight="1">
      <c r="A353" s="18" t="inlineStr">
        <is>
          <t>1</t>
        </is>
      </c>
      <c r="B353" s="35" t="inlineStr">
        <is>
          <t>VENTANA</t>
        </is>
      </c>
      <c r="C353" s="10" t="n"/>
      <c r="D353" s="10" t="n"/>
      <c r="E353" s="10" t="n"/>
      <c r="F353" s="10" t="n"/>
      <c r="G353" s="2" t="n"/>
      <c r="H353" s="2" t="n"/>
      <c r="I353" s="2" t="n"/>
    </row>
    <row r="354" ht="62" customHeight="1">
      <c r="A354" s="10" t="n"/>
      <c r="B354" s="36" t="inlineStr">
        <is>
          <t>VA04</t>
        </is>
      </c>
      <c r="C354" s="10">
        <f>IF(COUNT(H354,I354)&lt;2,"",TEXT(H354,"0.00")&amp;" x "&amp;TEXT(I354,"0.00"))</f>
        <v/>
      </c>
      <c r="D354" s="9">
        <f>IF(COUNT(H354,I354)&lt;2,"",ROUND(H354*I354,2))</f>
        <v/>
      </c>
      <c r="E354" s="27" t="n">
        <v>60</v>
      </c>
      <c r="F354" s="30">
        <f>IF(D354="","",ROUND(D354*E354,1))</f>
        <v/>
      </c>
      <c r="G354" s="2" t="n"/>
      <c r="H354" s="37" t="n">
        <v>2</v>
      </c>
      <c r="I354" s="37" t="n">
        <v>2.52</v>
      </c>
    </row>
    <row r="355" ht="62" customHeight="1">
      <c r="A355" s="10" t="n"/>
      <c r="B355" s="36" t="inlineStr">
        <is>
          <t>VA05</t>
        </is>
      </c>
      <c r="C355" s="10">
        <f>IF(COUNT(H355,I355)&lt;2,"",TEXT(H355,"0.00")&amp;" x "&amp;TEXT(I355,"0.00"))</f>
        <v/>
      </c>
      <c r="D355" s="9">
        <f>IF(COUNT(H355,I355)&lt;2,"",ROUND(H355*I355,2))</f>
        <v/>
      </c>
      <c r="E355" s="27" t="n">
        <v>60</v>
      </c>
      <c r="F355" s="30">
        <f>IF(D355="","",ROUND(D355*E355,1))</f>
        <v/>
      </c>
      <c r="G355" s="2" t="n"/>
      <c r="H355" s="37" t="n">
        <v>1.4</v>
      </c>
      <c r="I355" s="37" t="n">
        <v>2.52</v>
      </c>
    </row>
    <row r="356" ht="39.7" customHeight="1">
      <c r="A356" s="18" t="inlineStr">
        <is>
          <t>2</t>
        </is>
      </c>
      <c r="B356" s="35" t="inlineStr">
        <is>
          <t>PAREDES EXTERIORES</t>
        </is>
      </c>
      <c r="C356" s="10" t="n"/>
      <c r="D356" s="10" t="n"/>
      <c r="E356" s="10" t="n"/>
      <c r="F356" s="10" t="n"/>
      <c r="G356" s="2" t="n"/>
      <c r="H356" s="2" t="n"/>
      <c r="I356" s="2" t="n"/>
    </row>
    <row r="357" ht="62" customHeight="1">
      <c r="A357" s="10" t="n"/>
      <c r="B357" s="36" t="inlineStr">
        <is>
          <t>AISLADAS (NO)</t>
        </is>
      </c>
      <c r="C357" s="10">
        <f>IF(COUNT(H357,I357)&lt;2,"",TEXT(H357,"0.00")&amp;" x "&amp;TEXT(I357,"0.00"))</f>
        <v/>
      </c>
      <c r="D357" s="9">
        <f>IF(COUNT(H357,I357)&lt;2,"",ROUND(H357*I357,2))</f>
        <v/>
      </c>
      <c r="E357" s="27" t="n">
        <v>20</v>
      </c>
      <c r="F357" s="30">
        <f>IF(D357="","",ROUND(D357*E357,1))</f>
        <v/>
      </c>
      <c r="G357" s="2" t="n"/>
      <c r="H357" s="37" t="n">
        <v>4.25</v>
      </c>
      <c r="I357" s="37" t="n">
        <v>3</v>
      </c>
    </row>
    <row r="358" ht="62" customHeight="1">
      <c r="A358" s="10" t="n"/>
      <c r="B358" s="36" t="inlineStr">
        <is>
          <t>AISLADAS (SE)</t>
        </is>
      </c>
      <c r="C358" s="10">
        <f>IF(COUNT(H358,I358)&lt;2,"",TEXT(H358,"0.00")&amp;" x "&amp;TEXT(I358,"0.00"))</f>
        <v/>
      </c>
      <c r="D358" s="9">
        <f>IF(COUNT(H358,I358)&lt;2,"",ROUND(H358*I358,2))</f>
        <v/>
      </c>
      <c r="E358" s="27" t="n">
        <v>20</v>
      </c>
      <c r="F358" s="30">
        <f>IF(D358="","",ROUND(D358*E358,1))</f>
        <v/>
      </c>
      <c r="G358" s="2" t="n"/>
      <c r="H358" s="37" t="n">
        <v>4.25</v>
      </c>
      <c r="I358" s="37" t="n">
        <v>3</v>
      </c>
    </row>
    <row r="359" ht="62" customHeight="1">
      <c r="A359" s="10" t="n"/>
      <c r="B359" s="36" t="inlineStr">
        <is>
          <t>AISLADAS ()</t>
        </is>
      </c>
      <c r="C359" s="10">
        <f>IF(COUNT(H359,I359)&lt;2,"",TEXT(H359,"0.00")&amp;" x "&amp;TEXT(I359,"0.00"))</f>
        <v/>
      </c>
      <c r="D359" s="9">
        <f>IF(COUNT(H359,I359)&lt;2,"",ROUND(H359*I359,2))</f>
        <v/>
      </c>
      <c r="E359" s="27" t="n">
        <v>20</v>
      </c>
      <c r="F359" s="30">
        <f>IF(D359="","",ROUND(D359*E359,1))</f>
        <v/>
      </c>
      <c r="G359" s="2" t="n"/>
      <c r="H359" s="37" t="n">
        <v>4</v>
      </c>
      <c r="I359" s="37" t="n">
        <v>3</v>
      </c>
    </row>
    <row r="360" ht="62" customHeight="1">
      <c r="A360" s="10" t="n"/>
      <c r="B360" s="36" t="inlineStr">
        <is>
          <t>INTERIORES (    )</t>
        </is>
      </c>
      <c r="C360" s="10">
        <f>IF(COUNT(H360,I360)&lt;2,"",TEXT(H360,"0.00")&amp;" x "&amp;TEXT(I360,"0.00"))</f>
        <v/>
      </c>
      <c r="D360" s="9">
        <f>IF(COUNT(H360,I360)&lt;2,"",ROUND(H360*I360,2))</f>
        <v/>
      </c>
      <c r="E360" s="27" t="n">
        <v>25</v>
      </c>
      <c r="F360" s="30">
        <f>IF(D360="","",ROUND(D360*E360,1))</f>
        <v/>
      </c>
      <c r="G360" s="2" t="n"/>
      <c r="H360" s="37" t="n">
        <v>4</v>
      </c>
      <c r="I360" s="37" t="n">
        <v>3</v>
      </c>
    </row>
    <row r="361" ht="62" customHeight="1">
      <c r="A361" s="10" t="n"/>
      <c r="B361" s="36" t="inlineStr">
        <is>
          <t>INTERIORES (    )</t>
        </is>
      </c>
      <c r="C361" s="10">
        <f>IF(COUNT(H361,I361)&lt;2,"",TEXT(H361,"0.00")&amp;" x "&amp;TEXT(I361,"0.00"))</f>
        <v/>
      </c>
      <c r="D361" s="9">
        <f>IF(COUNT(H361,I361)&lt;2,"",ROUND(H361*I361,2))</f>
        <v/>
      </c>
      <c r="E361" s="27" t="n">
        <v>25</v>
      </c>
      <c r="F361" s="30">
        <f>IF(D361="","",ROUND(D361*E361,1))</f>
        <v/>
      </c>
      <c r="G361" s="2" t="n"/>
      <c r="H361" s="37" t="n"/>
      <c r="I361" s="37" t="n"/>
    </row>
    <row r="362" ht="39.7" customHeight="1">
      <c r="A362" s="18" t="inlineStr">
        <is>
          <t>3</t>
        </is>
      </c>
      <c r="B362" s="35" t="inlineStr">
        <is>
          <t>TECHOS O CIELORRASOS</t>
        </is>
      </c>
      <c r="C362" s="10" t="n"/>
      <c r="D362" s="10" t="n"/>
      <c r="E362" s="10" t="n"/>
      <c r="F362" s="10" t="n"/>
      <c r="G362" s="2" t="n"/>
      <c r="H362" s="2" t="n"/>
      <c r="I362" s="2" t="n"/>
    </row>
    <row r="363" ht="62" customHeight="1">
      <c r="A363" s="10" t="n"/>
      <c r="B363" s="36" t="inlineStr">
        <is>
          <t>TECHO NO AISLADO</t>
        </is>
      </c>
      <c r="C363" s="10" t="inlineStr"/>
      <c r="D363" s="9">
        <f>IF(COUNT(H363,I363)&lt;2,"",ROUND(H363*I363,2))</f>
        <v/>
      </c>
      <c r="E363" s="27" t="n">
        <v>30</v>
      </c>
      <c r="F363" s="30">
        <f>IF(D363="","",ROUND(D363*E363,1))</f>
        <v/>
      </c>
      <c r="G363" s="2" t="n"/>
      <c r="H363" s="37" t="n"/>
      <c r="I363" s="37" t="n"/>
    </row>
    <row r="364" ht="39.7" customHeight="1">
      <c r="A364" s="10" t="n"/>
      <c r="B364" s="36" t="inlineStr">
        <is>
          <t>TECHO AISLADO</t>
        </is>
      </c>
      <c r="C364" s="10" t="inlineStr">
        <is>
          <t>por croquis</t>
        </is>
      </c>
      <c r="D364" s="9" t="n">
        <v>17</v>
      </c>
      <c r="E364" s="27" t="n">
        <v>20</v>
      </c>
      <c r="F364" s="30">
        <f>IF(D364="","",ROUND(D364*E364,1))</f>
        <v/>
      </c>
      <c r="G364" s="2" t="n"/>
      <c r="H364" s="37" t="n"/>
      <c r="I364" s="37" t="n"/>
    </row>
    <row r="365" ht="62" customHeight="1">
      <c r="A365" s="10" t="n"/>
      <c r="B365" s="36" t="inlineStr">
        <is>
          <t>TECHO ENTREPISO</t>
        </is>
      </c>
      <c r="C365" s="10" t="inlineStr"/>
      <c r="D365" s="9">
        <f>IF(COUNT(H365,I365)&lt;2,"",ROUND(H365*I365,2))</f>
        <v/>
      </c>
      <c r="E365" s="27" t="n">
        <v>15</v>
      </c>
      <c r="F365" s="30">
        <f>IF(D365="","",ROUND(D365*E365,1))</f>
        <v/>
      </c>
      <c r="G365" s="2" t="n"/>
      <c r="H365" s="37" t="n"/>
      <c r="I365" s="37" t="n"/>
    </row>
    <row r="366" ht="39.7" customHeight="1">
      <c r="A366" s="18" t="inlineStr">
        <is>
          <t>4</t>
        </is>
      </c>
      <c r="B366" s="35" t="inlineStr">
        <is>
          <t>PISO</t>
        </is>
      </c>
      <c r="C366" s="10" t="n"/>
      <c r="D366" s="10" t="n"/>
      <c r="E366" s="10" t="n"/>
      <c r="F366" s="10" t="n"/>
      <c r="G366" s="2" t="n"/>
      <c r="H366" s="2" t="n"/>
      <c r="I366" s="2" t="n"/>
    </row>
    <row r="367" ht="62" customHeight="1">
      <c r="A367" s="10" t="n"/>
      <c r="B367" s="36" t="inlineStr">
        <is>
          <t>SOBRE TIERRA</t>
        </is>
      </c>
      <c r="C367" s="10" t="inlineStr"/>
      <c r="D367" s="9">
        <f>IF(COUNT(H367,I367)&lt;2,"",ROUND(H367*I367,2))</f>
        <v/>
      </c>
      <c r="E367" s="27" t="n">
        <v>10</v>
      </c>
      <c r="F367" s="30">
        <f>IF(D367="","",ROUND(D367*E367,1))</f>
        <v/>
      </c>
      <c r="G367" s="2" t="n"/>
      <c r="H367" s="37" t="n"/>
      <c r="I367" s="37" t="n"/>
    </row>
    <row r="368" ht="39.7" customHeight="1">
      <c r="A368" s="10" t="n"/>
      <c r="B368" s="36" t="inlineStr">
        <is>
          <t>SOBRE LOCAL OCUPADO</t>
        </is>
      </c>
      <c r="C368" s="10" t="inlineStr">
        <is>
          <t>por croquis</t>
        </is>
      </c>
      <c r="D368" s="9" t="n">
        <v>17</v>
      </c>
      <c r="E368" s="27" t="n">
        <v>15</v>
      </c>
      <c r="F368" s="30">
        <f>IF(D368="","",ROUND(D368*E368,1))</f>
        <v/>
      </c>
      <c r="G368" s="2" t="n"/>
      <c r="H368" s="37" t="n"/>
      <c r="I368" s="37" t="n"/>
    </row>
    <row r="369" ht="39.7" customHeight="1">
      <c r="A369" s="18" t="inlineStr">
        <is>
          <t>5</t>
        </is>
      </c>
      <c r="B369" s="35" t="inlineStr">
        <is>
          <t>INFILTRACION</t>
        </is>
      </c>
      <c r="C369" s="10" t="n"/>
      <c r="D369" s="18" t="inlineStr">
        <is>
          <t>VOLUMEN (m3)</t>
        </is>
      </c>
      <c r="E369" s="10" t="n"/>
      <c r="F369" s="10" t="n"/>
      <c r="G369" s="2" t="n"/>
      <c r="H369" s="2" t="n"/>
      <c r="I369" s="2" t="n"/>
    </row>
    <row r="370" ht="62" customHeight="1">
      <c r="A370" s="10" t="n"/>
      <c r="B370" s="36" t="inlineStr">
        <is>
          <t>UNA PARED EXTERIOR</t>
        </is>
      </c>
      <c r="C370" s="10" t="inlineStr"/>
      <c r="D370" s="9">
        <f>IF(COUNT(H370,I370)&lt;2,"",ROUND(H370*I370,2))</f>
        <v/>
      </c>
      <c r="E370" s="27" t="n">
        <v>6</v>
      </c>
      <c r="F370" s="30">
        <f>IF(D370="","",ROUND(D370*E370,1))</f>
        <v/>
      </c>
      <c r="G370" s="2" t="n"/>
      <c r="H370" s="37" t="n"/>
      <c r="I370" s="37" t="n"/>
    </row>
    <row r="371" ht="62" customHeight="1">
      <c r="A371" s="10" t="n"/>
      <c r="B371" s="36" t="inlineStr">
        <is>
          <t>DOS PAREDES EXTERIORES</t>
        </is>
      </c>
      <c r="C371" s="10" t="inlineStr"/>
      <c r="D371" s="9">
        <f>IF(COUNT(H371,I371)&lt;2,"",ROUND(H371*I371,2))</f>
        <v/>
      </c>
      <c r="E371" s="27" t="n">
        <v>9</v>
      </c>
      <c r="F371" s="30">
        <f>IF(D371="","",ROUND(D371*E371,1))</f>
        <v/>
      </c>
      <c r="G371" s="2" t="n"/>
      <c r="H371" s="37" t="n"/>
      <c r="I371" s="37" t="n"/>
    </row>
    <row r="372" ht="39.7" customHeight="1">
      <c r="A372" s="10" t="n"/>
      <c r="B372" s="36" t="inlineStr">
        <is>
          <t>TRES O MAS PAREDES EXTERIORES</t>
        </is>
      </c>
      <c r="C372" s="10" t="inlineStr">
        <is>
          <t>17.00 m2 x 3.00</t>
        </is>
      </c>
      <c r="D372" s="9" t="n">
        <v>51</v>
      </c>
      <c r="E372" s="27" t="n">
        <v>12</v>
      </c>
      <c r="F372" s="30">
        <f>IF(D372="","",ROUND(D372*E372,1))</f>
        <v/>
      </c>
      <c r="G372" s="2" t="n"/>
      <c r="H372" s="37" t="n"/>
      <c r="I372" s="37" t="n"/>
    </row>
    <row r="373" ht="70" customHeight="1">
      <c r="A373" s="18" t="inlineStr">
        <is>
          <t>6</t>
        </is>
      </c>
      <c r="B373" s="35" t="inlineStr">
        <is>
          <t>SUBTOTAL</t>
        </is>
      </c>
      <c r="C373" s="10" t="n"/>
      <c r="D373" s="10" t="n"/>
      <c r="E373" s="10" t="n"/>
      <c r="F373" s="38">
        <f>IF(F354="",0,F354)+IF(F355="",0,F355)+IF(F357="",0,F357)+IF(F358="",0,F358)+IF(F359="",0,F359)+IF(F360="",0,F360)+IF(F361="",0,F361)+IF(F363="",0,F363)+IF(F364="",0,F364)+IF(F365="",0,F365)+IF(F367="",0,F367)+IF(F368="",0,F368)+IF(F370="",0,F370)+IF(F371="",0,F371)+IF(F372="",0,F372)</f>
        <v/>
      </c>
      <c r="G373" s="2" t="n"/>
      <c r="H373" s="2" t="n"/>
      <c r="I373" s="2" t="n"/>
    </row>
    <row r="374" ht="47" customHeight="1">
      <c r="A374" s="18" t="inlineStr">
        <is>
          <t>7</t>
        </is>
      </c>
      <c r="B374" s="35" t="inlineStr">
        <is>
          <t>PERDIDA TOTAL</t>
        </is>
      </c>
      <c r="C374" s="10">
        <f>TEXT(F373,"0.00")&amp;"  X  "&amp;Datos_balance!$B$4&amp;" (FI)  X  "&amp;Datos_balance!$B$5&amp;" (FO)  X  "&amp;Datos_balance!$B$6&amp;" (FZ)"</f>
        <v/>
      </c>
      <c r="D374" s="2" t="n"/>
      <c r="E374" s="2" t="n"/>
      <c r="F374" s="38">
        <f>ROUND(F373*Datos_balance!$B$4*Datos_balance!$B$5*Datos_balance!$B$6,1)</f>
        <v/>
      </c>
      <c r="G374" s="2" t="n"/>
      <c r="H374" s="2" t="n"/>
      <c r="I374" s="2" t="n"/>
    </row>
    <row r="375" ht="39.7" customHeight="1">
      <c r="A375" s="10" t="n"/>
      <c r="B375" s="11" t="inlineStr">
        <is>
          <t>Carga de locales sin emisor</t>
        </is>
      </c>
      <c r="C375" s="10" t="n"/>
      <c r="D375" s="2" t="n"/>
      <c r="E375" s="2" t="n"/>
      <c r="F375" s="30" t="n"/>
      <c r="G375" s="2" t="n"/>
      <c r="H375" s="2" t="n"/>
      <c r="I375" s="2" t="n"/>
    </row>
    <row r="376" ht="39.7" customHeight="1">
      <c r="A376" s="10" t="n"/>
      <c r="B376" s="35" t="inlineStr">
        <is>
          <t>CARGA TOTAL A CUBRIR</t>
        </is>
      </c>
      <c r="C376" s="10" t="n"/>
      <c r="D376" s="2" t="n"/>
      <c r="E376" s="2" t="n"/>
      <c r="F376" s="38">
        <f>F374+IF(F375="",0,F375)</f>
        <v/>
      </c>
      <c r="G376" s="2" t="n"/>
      <c r="H376" s="2" t="n"/>
      <c r="I376" s="2" t="n"/>
    </row>
    <row r="377">
      <c r="A377" s="2" t="n"/>
      <c r="B377" s="2" t="n"/>
      <c r="C377" s="2" t="n"/>
      <c r="D377" s="2" t="n"/>
      <c r="E377" s="2" t="n"/>
      <c r="F377" s="2" t="n"/>
      <c r="G377" s="2" t="n"/>
      <c r="H377" s="2" t="n"/>
      <c r="I377" s="2" t="n"/>
    </row>
    <row r="378" ht="62" customHeight="1">
      <c r="A378" s="10" t="n"/>
      <c r="B378" s="11" t="inlineStr">
        <is>
          <t>Salto termico:  dt = (te+ts)/2 - ti</t>
        </is>
      </c>
      <c r="C378" s="10">
        <f>TEXT((Datos_balance!$B$9+Datos_balance!$B$10)/2,"0")&amp;" - "&amp;TEXT(Datos_balance!$B$11,"0")&amp;" = "&amp;TEXT((Datos_balance!$B$9+Datos_balance!$B$10)/2-Datos_balance!$B$11,"0")&amp;" C"</f>
        <v/>
      </c>
      <c r="D378" s="2" t="n"/>
      <c r="E378" s="2" t="n"/>
      <c r="F378" s="10" t="n"/>
      <c r="G378" s="2" t="n"/>
      <c r="H378" s="2" t="n"/>
      <c r="I378" s="2" t="n"/>
    </row>
    <row r="379" ht="39.7" customHeight="1">
      <c r="A379" s="10" t="n"/>
      <c r="B379" s="11" t="inlineStr">
        <is>
          <t>Kcal/h por elemento</t>
        </is>
      </c>
      <c r="C379" s="9">
        <f>ROUND(Datos_balance!$B$14*Datos_balance!$B$15,2)</f>
        <v/>
      </c>
      <c r="D379" s="2" t="n"/>
      <c r="E379" s="2" t="n"/>
      <c r="F379" s="10" t="n"/>
      <c r="G379" s="2" t="n"/>
      <c r="H379" s="2" t="n"/>
      <c r="I379" s="2" t="n"/>
    </row>
    <row r="380" ht="39.7" customHeight="1">
      <c r="A380" s="10" t="n"/>
      <c r="B380" s="11" t="inlineStr">
        <is>
          <t>Elementos necesarios</t>
        </is>
      </c>
      <c r="C380" s="27">
        <f>ROUNDUP(F376/(Datos_balance!$B$14*Datos_balance!$B$15),0)</f>
        <v/>
      </c>
      <c r="D380" s="2" t="n"/>
      <c r="E380" s="2" t="n"/>
      <c r="F380" s="10" t="n"/>
      <c r="G380" s="2" t="n"/>
      <c r="H380" s="2" t="n"/>
      <c r="I380" s="2" t="n"/>
    </row>
    <row r="381" ht="39.7" customHeight="1">
      <c r="A381" s="10" t="n"/>
      <c r="B381" s="11" t="inlineStr">
        <is>
          <t>Ancho del radiador (cm)</t>
        </is>
      </c>
      <c r="C381" s="27">
        <f>ROUNDUP(F376/(Datos_balance!$B$14*Datos_balance!$B$15),0)*Datos_balance!$B$16</f>
        <v/>
      </c>
      <c r="D381" s="2" t="n"/>
      <c r="E381" s="2" t="n"/>
      <c r="F381" s="10" t="n"/>
      <c r="G381" s="2" t="n"/>
      <c r="H381" s="2" t="n"/>
      <c r="I381" s="2" t="n"/>
    </row>
    <row r="382" ht="39.7" customHeight="1">
      <c r="A382" s="14" t="n"/>
      <c r="B382" s="15" t="inlineStr">
        <is>
          <t>Radiador adoptado</t>
        </is>
      </c>
      <c r="C382" s="14">
        <f>Datos_balance!$B$13</f>
        <v/>
      </c>
      <c r="D382" s="22" t="n"/>
      <c r="E382" s="22" t="n"/>
      <c r="F382" s="14" t="n"/>
      <c r="G382" s="2" t="n"/>
      <c r="H382" s="2" t="n"/>
      <c r="I382" s="2" t="n"/>
    </row>
    <row r="383">
      <c r="A383" s="2" t="n"/>
      <c r="B383" s="2" t="n"/>
      <c r="C383" s="2" t="n"/>
      <c r="D383" s="2" t="n"/>
      <c r="E383" s="2" t="n"/>
      <c r="F383" s="2" t="n"/>
      <c r="G383" s="2" t="n"/>
      <c r="H383" s="2" t="n"/>
      <c r="I383" s="2" t="n"/>
    </row>
    <row r="384" ht="39.7" customHeight="1">
      <c r="A384" s="2" t="n"/>
      <c r="B384" s="39" t="inlineStr">
        <is>
          <t>Ubicacion del local en planta</t>
        </is>
      </c>
      <c r="C384" s="2" t="n"/>
      <c r="D384" s="2" t="n"/>
      <c r="E384" s="2" t="n"/>
      <c r="F384" s="2" t="n"/>
      <c r="G384" s="2" t="n"/>
      <c r="H384" s="2" t="n"/>
      <c r="I384" s="2" t="n"/>
    </row>
    <row r="385" ht="39.7" customHeight="1">
      <c r="A385" s="2" t="n"/>
      <c r="B385" s="2" t="n"/>
      <c r="C385" s="2" t="n"/>
      <c r="D385" s="2" t="n"/>
      <c r="E385" s="2" t="n"/>
      <c r="F385" s="2" t="n"/>
      <c r="G385" s="2" t="n"/>
      <c r="H385" s="2" t="n"/>
      <c r="I385" s="2" t="n"/>
    </row>
    <row r="386" ht="39.7" customHeight="1">
      <c r="A386" s="2" t="n"/>
      <c r="B386" s="2" t="n"/>
      <c r="C386" s="2" t="n"/>
      <c r="D386" s="2" t="n"/>
      <c r="E386" s="2" t="n"/>
      <c r="F386" s="2" t="n"/>
      <c r="G386" s="2" t="n"/>
      <c r="H386" s="2" t="n"/>
      <c r="I386" s="2" t="n"/>
    </row>
    <row r="387" ht="39.7" customHeight="1">
      <c r="A387" s="2" t="n"/>
      <c r="B387" s="2" t="n"/>
      <c r="C387" s="2" t="n"/>
      <c r="D387" s="2" t="n"/>
      <c r="E387" s="2" t="n"/>
      <c r="F387" s="2" t="n"/>
      <c r="G387" s="2" t="n"/>
      <c r="H387" s="2" t="n"/>
      <c r="I387" s="2" t="n"/>
    </row>
    <row r="388" ht="39.7" customHeight="1">
      <c r="A388" s="2" t="n"/>
      <c r="B388" s="2" t="n"/>
      <c r="C388" s="2" t="n"/>
      <c r="D388" s="2" t="n"/>
      <c r="E388" s="2" t="n"/>
      <c r="F388" s="2" t="n"/>
      <c r="G388" s="2" t="n"/>
      <c r="H388" s="2" t="n"/>
      <c r="I388" s="2" t="n"/>
    </row>
    <row r="389" ht="39.7" customHeight="1">
      <c r="A389" s="2" t="n"/>
      <c r="B389" s="2" t="n"/>
      <c r="C389" s="2" t="n"/>
      <c r="D389" s="2" t="n"/>
      <c r="E389" s="2" t="n"/>
      <c r="F389" s="2" t="n"/>
      <c r="G389" s="2" t="n"/>
      <c r="H389" s="2" t="n"/>
      <c r="I389" s="2" t="n"/>
    </row>
    <row r="390" ht="39.7" customHeight="1">
      <c r="A390" s="2" t="n"/>
      <c r="B390" s="2" t="n"/>
      <c r="C390" s="2" t="n"/>
      <c r="D390" s="2" t="n"/>
      <c r="E390" s="2" t="n"/>
      <c r="F390" s="2" t="n"/>
      <c r="G390" s="2" t="n"/>
      <c r="H390" s="2" t="n"/>
      <c r="I390" s="2" t="n"/>
    </row>
    <row r="391" ht="39.7" customHeight="1">
      <c r="A391" s="2" t="n"/>
      <c r="B391" s="2" t="n"/>
      <c r="C391" s="2" t="n"/>
      <c r="D391" s="2" t="n"/>
      <c r="E391" s="2" t="n"/>
      <c r="F391" s="2" t="n"/>
      <c r="G391" s="2" t="n"/>
      <c r="H391" s="2" t="n"/>
      <c r="I391" s="2" t="n"/>
    </row>
    <row r="392">
      <c r="A392" s="2" t="n"/>
      <c r="B392" s="2" t="n"/>
      <c r="C392" s="2" t="n"/>
      <c r="D392" s="2" t="n"/>
      <c r="E392" s="2" t="n"/>
      <c r="F392" s="2" t="n"/>
      <c r="G392" s="2" t="n"/>
      <c r="H392" s="2" t="n"/>
      <c r="I392" s="2" t="n"/>
    </row>
    <row r="393">
      <c r="A393" s="2" t="n"/>
      <c r="B393" s="2" t="n"/>
      <c r="C393" s="2" t="n"/>
      <c r="D393" s="2" t="n"/>
      <c r="E393" s="2" t="n"/>
      <c r="F393" s="2" t="n"/>
      <c r="G393" s="2" t="n"/>
      <c r="H393" s="2" t="n"/>
      <c r="I393" s="2" t="n"/>
    </row>
    <row r="394">
      <c r="A394" s="2" t="n"/>
      <c r="B394" s="2" t="n"/>
      <c r="C394" s="2" t="n"/>
      <c r="D394" s="2" t="n"/>
      <c r="E394" s="2" t="n"/>
      <c r="F394" s="2" t="n"/>
      <c r="G394" s="2" t="n"/>
      <c r="H394" s="2" t="n"/>
      <c r="I394" s="2" t="n"/>
    </row>
    <row r="395" ht="39.7" customHeight="1">
      <c r="A395" s="5" t="inlineStr">
        <is>
          <t>LOCAL  14 - Play room   (PA)   -   altura 3.00 m</t>
        </is>
      </c>
      <c r="B395" s="2" t="n"/>
      <c r="C395" s="2" t="n"/>
      <c r="D395" s="2" t="n"/>
      <c r="E395" s="2" t="n"/>
      <c r="F395" s="2" t="n"/>
      <c r="G395" s="2" t="n"/>
      <c r="H395" s="2" t="n"/>
      <c r="I395" s="2" t="n"/>
    </row>
    <row r="396" ht="39.7" customHeight="1">
      <c r="A396" s="3" t="inlineStr">
        <is>
          <t>Nro</t>
        </is>
      </c>
      <c r="B396" s="3" t="inlineStr">
        <is>
          <t>DESCRIPCION</t>
        </is>
      </c>
      <c r="C396" s="3" t="inlineStr">
        <is>
          <t>DIMENSIONES (m)</t>
        </is>
      </c>
      <c r="D396" s="3" t="inlineStr">
        <is>
          <t>AREA (m2)</t>
        </is>
      </c>
      <c r="E396" s="3" t="inlineStr">
        <is>
          <t>FACTOR</t>
        </is>
      </c>
      <c r="F396" s="3" t="inlineStr">
        <is>
          <t>PERDIDA CALOR (Kcal/h)</t>
        </is>
      </c>
      <c r="G396" s="2" t="n"/>
      <c r="H396" s="2" t="n"/>
      <c r="I396" s="2" t="n"/>
    </row>
    <row r="397" ht="39.7" customHeight="1">
      <c r="A397" s="18" t="inlineStr">
        <is>
          <t>1</t>
        </is>
      </c>
      <c r="B397" s="35" t="inlineStr">
        <is>
          <t>VENTANA</t>
        </is>
      </c>
      <c r="C397" s="10" t="n"/>
      <c r="D397" s="10" t="n"/>
      <c r="E397" s="10" t="n"/>
      <c r="F397" s="10" t="n"/>
      <c r="G397" s="2" t="n"/>
      <c r="H397" s="2" t="n"/>
      <c r="I397" s="2" t="n"/>
    </row>
    <row r="398" ht="62" customHeight="1">
      <c r="A398" s="10" t="n"/>
      <c r="B398" s="36" t="inlineStr">
        <is>
          <t>VA04 (2)</t>
        </is>
      </c>
      <c r="C398" s="10">
        <f>IF(COUNT(H398,I398)&lt;2,"",TEXT(H398,"0.00")&amp;" x "&amp;TEXT(I398,"0.00"))</f>
        <v/>
      </c>
      <c r="D398" s="9">
        <f>IF(COUNT(H398,I398)&lt;2,"",ROUND(H398*I398,2))</f>
        <v/>
      </c>
      <c r="E398" s="27" t="n">
        <v>60</v>
      </c>
      <c r="F398" s="30">
        <f>IF(D398="","",ROUND(D398*E398,1))</f>
        <v/>
      </c>
      <c r="G398" s="2" t="n"/>
      <c r="H398" s="37" t="n">
        <v>2</v>
      </c>
      <c r="I398" s="37" t="n">
        <v>2.52</v>
      </c>
    </row>
    <row r="399" ht="39.7" customHeight="1">
      <c r="A399" s="18" t="inlineStr">
        <is>
          <t>2</t>
        </is>
      </c>
      <c r="B399" s="35" t="inlineStr">
        <is>
          <t>PAREDES EXTERIORES</t>
        </is>
      </c>
      <c r="C399" s="10" t="n"/>
      <c r="D399" s="10" t="n"/>
      <c r="E399" s="10" t="n"/>
      <c r="F399" s="10" t="n"/>
      <c r="G399" s="2" t="n"/>
      <c r="H399" s="2" t="n"/>
      <c r="I399" s="2" t="n"/>
    </row>
    <row r="400" ht="62" customHeight="1">
      <c r="A400" s="10" t="n"/>
      <c r="B400" s="36" t="inlineStr">
        <is>
          <t>AISLADAS (NO)</t>
        </is>
      </c>
      <c r="C400" s="10">
        <f>IF(COUNT(H400,I400)&lt;2,"",TEXT(H400,"0.00")&amp;" x "&amp;TEXT(I400,"0.00"))</f>
        <v/>
      </c>
      <c r="D400" s="9">
        <f>IF(COUNT(H400,I400)&lt;2,"",ROUND(H400*I400,2))</f>
        <v/>
      </c>
      <c r="E400" s="27" t="n">
        <v>20</v>
      </c>
      <c r="F400" s="30">
        <f>IF(D400="","",ROUND(D400*E400,1))</f>
        <v/>
      </c>
      <c r="G400" s="2" t="n"/>
      <c r="H400" s="37" t="n">
        <v>4.13</v>
      </c>
      <c r="I400" s="37" t="n">
        <v>3</v>
      </c>
    </row>
    <row r="401" ht="62" customHeight="1">
      <c r="A401" s="10" t="n"/>
      <c r="B401" s="36" t="inlineStr">
        <is>
          <t>AISLADAS (    )</t>
        </is>
      </c>
      <c r="C401" s="10">
        <f>IF(COUNT(H401,I401)&lt;2,"",TEXT(H401,"0.00")&amp;" x "&amp;TEXT(I401,"0.00"))</f>
        <v/>
      </c>
      <c r="D401" s="9">
        <f>IF(COUNT(H401,I401)&lt;2,"",ROUND(H401*I401,2))</f>
        <v/>
      </c>
      <c r="E401" s="27" t="n">
        <v>20</v>
      </c>
      <c r="F401" s="30">
        <f>IF(D401="","",ROUND(D401*E401,1))</f>
        <v/>
      </c>
      <c r="G401" s="2" t="n"/>
      <c r="H401" s="37" t="n"/>
      <c r="I401" s="37" t="n"/>
    </row>
    <row r="402" ht="62" customHeight="1">
      <c r="A402" s="10" t="n"/>
      <c r="B402" s="36" t="inlineStr">
        <is>
          <t>INTERIORES (    )</t>
        </is>
      </c>
      <c r="C402" s="10">
        <f>IF(COUNT(H402,I402)&lt;2,"",TEXT(H402,"0.00")&amp;" x "&amp;TEXT(I402,"0.00"))</f>
        <v/>
      </c>
      <c r="D402" s="9">
        <f>IF(COUNT(H402,I402)&lt;2,"",ROUND(H402*I402,2))</f>
        <v/>
      </c>
      <c r="E402" s="27" t="n">
        <v>25</v>
      </c>
      <c r="F402" s="30">
        <f>IF(D402="","",ROUND(D402*E402,1))</f>
        <v/>
      </c>
      <c r="G402" s="2" t="n"/>
      <c r="H402" s="37" t="n">
        <v>4.08</v>
      </c>
      <c r="I402" s="37" t="n">
        <v>3</v>
      </c>
    </row>
    <row r="403" ht="62" customHeight="1">
      <c r="A403" s="10" t="n"/>
      <c r="B403" s="36" t="inlineStr">
        <is>
          <t>INTERIORES (    )</t>
        </is>
      </c>
      <c r="C403" s="10">
        <f>IF(COUNT(H403,I403)&lt;2,"",TEXT(H403,"0.00")&amp;" x "&amp;TEXT(I403,"0.00"))</f>
        <v/>
      </c>
      <c r="D403" s="9">
        <f>IF(COUNT(H403,I403)&lt;2,"",ROUND(H403*I403,2))</f>
        <v/>
      </c>
      <c r="E403" s="27" t="n">
        <v>25</v>
      </c>
      <c r="F403" s="30">
        <f>IF(D403="","",ROUND(D403*E403,1))</f>
        <v/>
      </c>
      <c r="G403" s="2" t="n"/>
      <c r="H403" s="37" t="n">
        <v>4.13</v>
      </c>
      <c r="I403" s="37" t="n">
        <v>3</v>
      </c>
    </row>
    <row r="404" ht="62" customHeight="1">
      <c r="A404" s="10" t="n"/>
      <c r="B404" s="36" t="inlineStr">
        <is>
          <t>INTERIORES (    )</t>
        </is>
      </c>
      <c r="C404" s="10">
        <f>IF(COUNT(H404,I404)&lt;2,"",TEXT(H404,"0.00")&amp;" x "&amp;TEXT(I404,"0.00"))</f>
        <v/>
      </c>
      <c r="D404" s="9">
        <f>IF(COUNT(H404,I404)&lt;2,"",ROUND(H404*I404,2))</f>
        <v/>
      </c>
      <c r="E404" s="27" t="n">
        <v>25</v>
      </c>
      <c r="F404" s="30">
        <f>IF(D404="","",ROUND(D404*E404,1))</f>
        <v/>
      </c>
      <c r="G404" s="2" t="n"/>
      <c r="H404" s="37" t="n">
        <v>4.08</v>
      </c>
      <c r="I404" s="37" t="n">
        <v>3</v>
      </c>
    </row>
    <row r="405" ht="39.7" customHeight="1">
      <c r="A405" s="18" t="inlineStr">
        <is>
          <t>3</t>
        </is>
      </c>
      <c r="B405" s="35" t="inlineStr">
        <is>
          <t>TECHOS O CIELORRASOS</t>
        </is>
      </c>
      <c r="C405" s="10" t="n"/>
      <c r="D405" s="10" t="n"/>
      <c r="E405" s="10" t="n"/>
      <c r="F405" s="10" t="n"/>
      <c r="G405" s="2" t="n"/>
      <c r="H405" s="2" t="n"/>
      <c r="I405" s="2" t="n"/>
    </row>
    <row r="406" ht="62" customHeight="1">
      <c r="A406" s="10" t="n"/>
      <c r="B406" s="36" t="inlineStr">
        <is>
          <t>TECHO NO AISLADO</t>
        </is>
      </c>
      <c r="C406" s="10" t="inlineStr"/>
      <c r="D406" s="9">
        <f>IF(COUNT(H406,I406)&lt;2,"",ROUND(H406*I406,2))</f>
        <v/>
      </c>
      <c r="E406" s="27" t="n">
        <v>30</v>
      </c>
      <c r="F406" s="30">
        <f>IF(D406="","",ROUND(D406*E406,1))</f>
        <v/>
      </c>
      <c r="G406" s="2" t="n"/>
      <c r="H406" s="37" t="n"/>
      <c r="I406" s="37" t="n"/>
    </row>
    <row r="407" ht="39.7" customHeight="1">
      <c r="A407" s="10" t="n"/>
      <c r="B407" s="36" t="inlineStr">
        <is>
          <t>TECHO AISLADO</t>
        </is>
      </c>
      <c r="C407" s="10" t="inlineStr">
        <is>
          <t>por croquis</t>
        </is>
      </c>
      <c r="D407" s="9" t="n">
        <v>16.85</v>
      </c>
      <c r="E407" s="27" t="n">
        <v>20</v>
      </c>
      <c r="F407" s="30">
        <f>IF(D407="","",ROUND(D407*E407,1))</f>
        <v/>
      </c>
      <c r="G407" s="2" t="n"/>
      <c r="H407" s="37" t="n"/>
      <c r="I407" s="37" t="n"/>
    </row>
    <row r="408" ht="62" customHeight="1">
      <c r="A408" s="10" t="n"/>
      <c r="B408" s="36" t="inlineStr">
        <is>
          <t>TECHO ENTREPISO</t>
        </is>
      </c>
      <c r="C408" s="10" t="inlineStr"/>
      <c r="D408" s="9">
        <f>IF(COUNT(H408,I408)&lt;2,"",ROUND(H408*I408,2))</f>
        <v/>
      </c>
      <c r="E408" s="27" t="n">
        <v>15</v>
      </c>
      <c r="F408" s="30">
        <f>IF(D408="","",ROUND(D408*E408,1))</f>
        <v/>
      </c>
      <c r="G408" s="2" t="n"/>
      <c r="H408" s="37" t="n"/>
      <c r="I408" s="37" t="n"/>
    </row>
    <row r="409" ht="39.7" customHeight="1">
      <c r="A409" s="18" t="inlineStr">
        <is>
          <t>4</t>
        </is>
      </c>
      <c r="B409" s="35" t="inlineStr">
        <is>
          <t>PISO</t>
        </is>
      </c>
      <c r="C409" s="10" t="n"/>
      <c r="D409" s="10" t="n"/>
      <c r="E409" s="10" t="n"/>
      <c r="F409" s="10" t="n"/>
      <c r="G409" s="2" t="n"/>
      <c r="H409" s="2" t="n"/>
      <c r="I409" s="2" t="n"/>
    </row>
    <row r="410" ht="62" customHeight="1">
      <c r="A410" s="10" t="n"/>
      <c r="B410" s="36" t="inlineStr">
        <is>
          <t>SOBRE TIERRA</t>
        </is>
      </c>
      <c r="C410" s="10" t="inlineStr"/>
      <c r="D410" s="9">
        <f>IF(COUNT(H410,I410)&lt;2,"",ROUND(H410*I410,2))</f>
        <v/>
      </c>
      <c r="E410" s="27" t="n">
        <v>10</v>
      </c>
      <c r="F410" s="30">
        <f>IF(D410="","",ROUND(D410*E410,1))</f>
        <v/>
      </c>
      <c r="G410" s="2" t="n"/>
      <c r="H410" s="37" t="n"/>
      <c r="I410" s="37" t="n"/>
    </row>
    <row r="411" ht="39.7" customHeight="1">
      <c r="A411" s="10" t="n"/>
      <c r="B411" s="36" t="inlineStr">
        <is>
          <t>SOBRE LOCAL OCUPADO</t>
        </is>
      </c>
      <c r="C411" s="10" t="inlineStr">
        <is>
          <t>por croquis</t>
        </is>
      </c>
      <c r="D411" s="9" t="n">
        <v>16.85</v>
      </c>
      <c r="E411" s="27" t="n">
        <v>15</v>
      </c>
      <c r="F411" s="30">
        <f>IF(D411="","",ROUND(D411*E411,1))</f>
        <v/>
      </c>
      <c r="G411" s="2" t="n"/>
      <c r="H411" s="37" t="n"/>
      <c r="I411" s="37" t="n"/>
    </row>
    <row r="412" ht="39.7" customHeight="1">
      <c r="A412" s="18" t="inlineStr">
        <is>
          <t>5</t>
        </is>
      </c>
      <c r="B412" s="35" t="inlineStr">
        <is>
          <t>INFILTRACION</t>
        </is>
      </c>
      <c r="C412" s="10" t="n"/>
      <c r="D412" s="18" t="inlineStr">
        <is>
          <t>VOLUMEN (m3)</t>
        </is>
      </c>
      <c r="E412" s="10" t="n"/>
      <c r="F412" s="10" t="n"/>
      <c r="G412" s="2" t="n"/>
      <c r="H412" s="2" t="n"/>
      <c r="I412" s="2" t="n"/>
    </row>
    <row r="413" ht="39.7" customHeight="1">
      <c r="A413" s="10" t="n"/>
      <c r="B413" s="36" t="inlineStr">
        <is>
          <t>UNA PARED EXTERIOR</t>
        </is>
      </c>
      <c r="C413" s="10" t="inlineStr">
        <is>
          <t>16.85 m2 x 3.00</t>
        </is>
      </c>
      <c r="D413" s="9" t="n">
        <v>50.55</v>
      </c>
      <c r="E413" s="27" t="n">
        <v>6</v>
      </c>
      <c r="F413" s="30">
        <f>IF(D413="","",ROUND(D413*E413,1))</f>
        <v/>
      </c>
      <c r="G413" s="2" t="n"/>
      <c r="H413" s="37" t="n"/>
      <c r="I413" s="37" t="n"/>
    </row>
    <row r="414" ht="62" customHeight="1">
      <c r="A414" s="10" t="n"/>
      <c r="B414" s="36" t="inlineStr">
        <is>
          <t>DOS PAREDES EXTERIORES</t>
        </is>
      </c>
      <c r="C414" s="10" t="inlineStr"/>
      <c r="D414" s="9">
        <f>IF(COUNT(H414,I414)&lt;2,"",ROUND(H414*I414,2))</f>
        <v/>
      </c>
      <c r="E414" s="27" t="n">
        <v>9</v>
      </c>
      <c r="F414" s="30">
        <f>IF(D414="","",ROUND(D414*E414,1))</f>
        <v/>
      </c>
      <c r="G414" s="2" t="n"/>
      <c r="H414" s="37" t="n"/>
      <c r="I414" s="37" t="n"/>
    </row>
    <row r="415" ht="62" customHeight="1">
      <c r="A415" s="10" t="n"/>
      <c r="B415" s="36" t="inlineStr">
        <is>
          <t>TRES O MAS PAREDES EXTERIORES</t>
        </is>
      </c>
      <c r="C415" s="10" t="inlineStr"/>
      <c r="D415" s="9">
        <f>IF(COUNT(H415,I415)&lt;2,"",ROUND(H415*I415,2))</f>
        <v/>
      </c>
      <c r="E415" s="27" t="n">
        <v>12</v>
      </c>
      <c r="F415" s="30">
        <f>IF(D415="","",ROUND(D415*E415,1))</f>
        <v/>
      </c>
      <c r="G415" s="2" t="n"/>
      <c r="H415" s="37" t="n"/>
      <c r="I415" s="37" t="n"/>
    </row>
    <row r="416" ht="70" customHeight="1">
      <c r="A416" s="18" t="inlineStr">
        <is>
          <t>6</t>
        </is>
      </c>
      <c r="B416" s="35" t="inlineStr">
        <is>
          <t>SUBTOTAL</t>
        </is>
      </c>
      <c r="C416" s="10" t="n"/>
      <c r="D416" s="10" t="n"/>
      <c r="E416" s="10" t="n"/>
      <c r="F416" s="38">
        <f>IF(F398="",0,F398)+IF(F400="",0,F400)+IF(F401="",0,F401)+IF(F402="",0,F402)+IF(F403="",0,F403)+IF(F404="",0,F404)+IF(F406="",0,F406)+IF(F407="",0,F407)+IF(F408="",0,F408)+IF(F410="",0,F410)+IF(F411="",0,F411)+IF(F413="",0,F413)+IF(F414="",0,F414)+IF(F415="",0,F415)</f>
        <v/>
      </c>
      <c r="G416" s="2" t="n"/>
      <c r="H416" s="2" t="n"/>
      <c r="I416" s="2" t="n"/>
    </row>
    <row r="417" ht="47" customHeight="1">
      <c r="A417" s="18" t="inlineStr">
        <is>
          <t>7</t>
        </is>
      </c>
      <c r="B417" s="35" t="inlineStr">
        <is>
          <t>PERDIDA TOTAL</t>
        </is>
      </c>
      <c r="C417" s="10">
        <f>TEXT(F416,"0.00")&amp;"  X  "&amp;Datos_balance!$B$4&amp;" (FI)  X  "&amp;Datos_balance!$B$5&amp;" (FO)  X  "&amp;Datos_balance!$B$6&amp;" (FZ)"</f>
        <v/>
      </c>
      <c r="D417" s="2" t="n"/>
      <c r="E417" s="2" t="n"/>
      <c r="F417" s="38">
        <f>ROUND(F416*Datos_balance!$B$4*Datos_balance!$B$5*Datos_balance!$B$6,1)</f>
        <v/>
      </c>
      <c r="G417" s="2" t="n"/>
      <c r="H417" s="2" t="n"/>
      <c r="I417" s="2" t="n"/>
    </row>
    <row r="418" ht="39.7" customHeight="1">
      <c r="A418" s="10" t="n"/>
      <c r="B418" s="11" t="inlineStr">
        <is>
          <t>Carga de locales sin emisor</t>
        </is>
      </c>
      <c r="C418" s="10" t="inlineStr">
        <is>
          <t>Escalera</t>
        </is>
      </c>
      <c r="D418" s="2" t="n"/>
      <c r="E418" s="2" t="n"/>
      <c r="F418" s="30">
        <f>F201</f>
        <v/>
      </c>
      <c r="G418" s="2" t="n"/>
      <c r="H418" s="2" t="n"/>
      <c r="I418" s="2" t="n"/>
    </row>
    <row r="419" ht="39.7" customHeight="1">
      <c r="A419" s="10" t="n"/>
      <c r="B419" s="35" t="inlineStr">
        <is>
          <t>CARGA TOTAL A CUBRIR</t>
        </is>
      </c>
      <c r="C419" s="10" t="n"/>
      <c r="D419" s="2" t="n"/>
      <c r="E419" s="2" t="n"/>
      <c r="F419" s="38">
        <f>F417+IF(F418="",0,F418)</f>
        <v/>
      </c>
      <c r="G419" s="2" t="n"/>
      <c r="H419" s="2" t="n"/>
      <c r="I419" s="2" t="n"/>
    </row>
    <row r="420">
      <c r="A420" s="2" t="n"/>
      <c r="B420" s="2" t="n"/>
      <c r="C420" s="2" t="n"/>
      <c r="D420" s="2" t="n"/>
      <c r="E420" s="2" t="n"/>
      <c r="F420" s="2" t="n"/>
      <c r="G420" s="2" t="n"/>
      <c r="H420" s="2" t="n"/>
      <c r="I420" s="2" t="n"/>
    </row>
    <row r="421" ht="62" customHeight="1">
      <c r="A421" s="10" t="n"/>
      <c r="B421" s="11" t="inlineStr">
        <is>
          <t>Salto termico:  dt = (te+ts)/2 - ti</t>
        </is>
      </c>
      <c r="C421" s="10">
        <f>TEXT((Datos_balance!$B$9+Datos_balance!$B$10)/2,"0")&amp;" - "&amp;TEXT(Datos_balance!$B$11,"0")&amp;" = "&amp;TEXT((Datos_balance!$B$9+Datos_balance!$B$10)/2-Datos_balance!$B$11,"0")&amp;" C"</f>
        <v/>
      </c>
      <c r="D421" s="2" t="n"/>
      <c r="E421" s="2" t="n"/>
      <c r="F421" s="10" t="n"/>
      <c r="G421" s="2" t="n"/>
      <c r="H421" s="2" t="n"/>
      <c r="I421" s="2" t="n"/>
    </row>
    <row r="422" ht="39.7" customHeight="1">
      <c r="A422" s="10" t="n"/>
      <c r="B422" s="11" t="inlineStr">
        <is>
          <t>Kcal/h por elemento</t>
        </is>
      </c>
      <c r="C422" s="9">
        <f>ROUND(Datos_balance!$B$14*Datos_balance!$B$15,2)</f>
        <v/>
      </c>
      <c r="D422" s="2" t="n"/>
      <c r="E422" s="2" t="n"/>
      <c r="F422" s="10" t="n"/>
      <c r="G422" s="2" t="n"/>
      <c r="H422" s="2" t="n"/>
      <c r="I422" s="2" t="n"/>
    </row>
    <row r="423" ht="39.7" customHeight="1">
      <c r="A423" s="10" t="n"/>
      <c r="B423" s="11" t="inlineStr">
        <is>
          <t>Elementos necesarios</t>
        </is>
      </c>
      <c r="C423" s="27">
        <f>ROUNDUP(F419/(Datos_balance!$B$14*Datos_balance!$B$15),0)</f>
        <v/>
      </c>
      <c r="D423" s="2" t="n"/>
      <c r="E423" s="2" t="n"/>
      <c r="F423" s="10" t="n"/>
      <c r="G423" s="2" t="n"/>
      <c r="H423" s="2" t="n"/>
      <c r="I423" s="2" t="n"/>
    </row>
    <row r="424" ht="39.7" customHeight="1">
      <c r="A424" s="10" t="n"/>
      <c r="B424" s="11" t="inlineStr">
        <is>
          <t>Ancho del radiador (cm)</t>
        </is>
      </c>
      <c r="C424" s="27">
        <f>ROUNDUP(F419/(Datos_balance!$B$14*Datos_balance!$B$15),0)*Datos_balance!$B$16</f>
        <v/>
      </c>
      <c r="D424" s="2" t="n"/>
      <c r="E424" s="2" t="n"/>
      <c r="F424" s="10" t="n"/>
      <c r="G424" s="2" t="n"/>
      <c r="H424" s="2" t="n"/>
      <c r="I424" s="2" t="n"/>
    </row>
    <row r="425" ht="39.7" customHeight="1">
      <c r="A425" s="14" t="n"/>
      <c r="B425" s="15" t="inlineStr">
        <is>
          <t>Radiador adoptado</t>
        </is>
      </c>
      <c r="C425" s="14">
        <f>Datos_balance!$B$13</f>
        <v/>
      </c>
      <c r="D425" s="22" t="n"/>
      <c r="E425" s="22" t="n"/>
      <c r="F425" s="14" t="n"/>
      <c r="G425" s="2" t="n"/>
      <c r="H425" s="2" t="n"/>
      <c r="I425" s="2" t="n"/>
    </row>
    <row r="426">
      <c r="A426" s="2" t="n"/>
      <c r="B426" s="2" t="n"/>
      <c r="C426" s="2" t="n"/>
      <c r="D426" s="2" t="n"/>
      <c r="E426" s="2" t="n"/>
      <c r="F426" s="2" t="n"/>
      <c r="G426" s="2" t="n"/>
      <c r="H426" s="2" t="n"/>
      <c r="I426" s="2" t="n"/>
    </row>
    <row r="427" ht="39.7" customHeight="1">
      <c r="A427" s="2" t="n"/>
      <c r="B427" s="39" t="inlineStr">
        <is>
          <t>Ubicacion del local en planta</t>
        </is>
      </c>
      <c r="C427" s="2" t="n"/>
      <c r="D427" s="2" t="n"/>
      <c r="E427" s="2" t="n"/>
      <c r="F427" s="2" t="n"/>
      <c r="G427" s="2" t="n"/>
      <c r="H427" s="2" t="n"/>
      <c r="I427" s="2" t="n"/>
    </row>
    <row r="428" ht="39.7" customHeight="1">
      <c r="A428" s="2" t="n"/>
      <c r="B428" s="2" t="n"/>
      <c r="C428" s="2" t="n"/>
      <c r="D428" s="2" t="n"/>
      <c r="E428" s="2" t="n"/>
      <c r="F428" s="2" t="n"/>
      <c r="G428" s="2" t="n"/>
      <c r="H428" s="2" t="n"/>
      <c r="I428" s="2" t="n"/>
    </row>
    <row r="429" ht="39.7" customHeight="1">
      <c r="A429" s="2" t="n"/>
      <c r="B429" s="2" t="n"/>
      <c r="C429" s="2" t="n"/>
      <c r="D429" s="2" t="n"/>
      <c r="E429" s="2" t="n"/>
      <c r="F429" s="2" t="n"/>
      <c r="G429" s="2" t="n"/>
      <c r="H429" s="2" t="n"/>
      <c r="I429" s="2" t="n"/>
    </row>
    <row r="430" ht="39.7" customHeight="1">
      <c r="A430" s="2" t="n"/>
      <c r="B430" s="2" t="n"/>
      <c r="C430" s="2" t="n"/>
      <c r="D430" s="2" t="n"/>
      <c r="E430" s="2" t="n"/>
      <c r="F430" s="2" t="n"/>
      <c r="G430" s="2" t="n"/>
      <c r="H430" s="2" t="n"/>
      <c r="I430" s="2" t="n"/>
    </row>
    <row r="431" ht="39.7" customHeight="1">
      <c r="A431" s="2" t="n"/>
      <c r="B431" s="2" t="n"/>
      <c r="C431" s="2" t="n"/>
      <c r="D431" s="2" t="n"/>
      <c r="E431" s="2" t="n"/>
      <c r="F431" s="2" t="n"/>
      <c r="G431" s="2" t="n"/>
      <c r="H431" s="2" t="n"/>
      <c r="I431" s="2" t="n"/>
    </row>
    <row r="432" ht="39.7" customHeight="1">
      <c r="A432" s="2" t="n"/>
      <c r="B432" s="2" t="n"/>
      <c r="C432" s="2" t="n"/>
      <c r="D432" s="2" t="n"/>
      <c r="E432" s="2" t="n"/>
      <c r="F432" s="2" t="n"/>
      <c r="G432" s="2" t="n"/>
      <c r="H432" s="2" t="n"/>
      <c r="I432" s="2" t="n"/>
    </row>
    <row r="433" ht="39.7" customHeight="1">
      <c r="A433" s="2" t="n"/>
      <c r="B433" s="2" t="n"/>
      <c r="C433" s="2" t="n"/>
      <c r="D433" s="2" t="n"/>
      <c r="E433" s="2" t="n"/>
      <c r="F433" s="2" t="n"/>
      <c r="G433" s="2" t="n"/>
      <c r="H433" s="2" t="n"/>
      <c r="I433" s="2" t="n"/>
    </row>
    <row r="434" ht="39.7" customHeight="1">
      <c r="A434" s="2" t="n"/>
      <c r="B434" s="2" t="n"/>
      <c r="C434" s="2" t="n"/>
      <c r="D434" s="2" t="n"/>
      <c r="E434" s="2" t="n"/>
      <c r="F434" s="2" t="n"/>
      <c r="G434" s="2" t="n"/>
      <c r="H434" s="2" t="n"/>
      <c r="I434" s="2" t="n"/>
    </row>
    <row r="435">
      <c r="A435" s="2" t="n"/>
      <c r="B435" s="2" t="n"/>
      <c r="C435" s="2" t="n"/>
      <c r="D435" s="2" t="n"/>
      <c r="E435" s="2" t="n"/>
      <c r="F435" s="2" t="n"/>
      <c r="G435" s="2" t="n"/>
      <c r="H435" s="2" t="n"/>
      <c r="I435" s="2" t="n"/>
    </row>
    <row r="436">
      <c r="A436" s="2" t="n"/>
      <c r="B436" s="2" t="n"/>
      <c r="C436" s="2" t="n"/>
      <c r="D436" s="2" t="n"/>
      <c r="E436" s="2" t="n"/>
      <c r="F436" s="2" t="n"/>
      <c r="G436" s="2" t="n"/>
      <c r="H436" s="2" t="n"/>
      <c r="I436" s="2" t="n"/>
    </row>
    <row r="437">
      <c r="A437" s="2" t="n"/>
      <c r="B437" s="2" t="n"/>
      <c r="C437" s="2" t="n"/>
      <c r="D437" s="2" t="n"/>
      <c r="E437" s="2" t="n"/>
      <c r="F437" s="2" t="n"/>
      <c r="G437" s="2" t="n"/>
      <c r="H437" s="2" t="n"/>
      <c r="I437" s="2" t="n"/>
    </row>
    <row r="438" ht="39.7" customHeight="1">
      <c r="A438" s="5" t="inlineStr">
        <is>
          <t>LOCAL  15 - Dormitorio Sur   (PA)   -   altura 3.00 m</t>
        </is>
      </c>
      <c r="B438" s="2" t="n"/>
      <c r="C438" s="2" t="n"/>
      <c r="D438" s="2" t="n"/>
      <c r="E438" s="2" t="n"/>
      <c r="F438" s="2" t="n"/>
      <c r="G438" s="2" t="n"/>
      <c r="H438" s="2" t="n"/>
      <c r="I438" s="2" t="n"/>
    </row>
    <row r="439" ht="39.7" customHeight="1">
      <c r="A439" s="3" t="inlineStr">
        <is>
          <t>Nro</t>
        </is>
      </c>
      <c r="B439" s="3" t="inlineStr">
        <is>
          <t>DESCRIPCION</t>
        </is>
      </c>
      <c r="C439" s="3" t="inlineStr">
        <is>
          <t>DIMENSIONES (m)</t>
        </is>
      </c>
      <c r="D439" s="3" t="inlineStr">
        <is>
          <t>AREA (m2)</t>
        </is>
      </c>
      <c r="E439" s="3" t="inlineStr">
        <is>
          <t>FACTOR</t>
        </is>
      </c>
      <c r="F439" s="3" t="inlineStr">
        <is>
          <t>PERDIDA CALOR (Kcal/h)</t>
        </is>
      </c>
      <c r="G439" s="2" t="n"/>
      <c r="H439" s="2" t="n"/>
      <c r="I439" s="2" t="n"/>
    </row>
    <row r="440" ht="39.7" customHeight="1">
      <c r="A440" s="18" t="inlineStr">
        <is>
          <t>1</t>
        </is>
      </c>
      <c r="B440" s="35" t="inlineStr">
        <is>
          <t>VENTANA</t>
        </is>
      </c>
      <c r="C440" s="10" t="n"/>
      <c r="D440" s="10" t="n"/>
      <c r="E440" s="10" t="n"/>
      <c r="F440" s="10" t="n"/>
      <c r="G440" s="2" t="n"/>
      <c r="H440" s="2" t="n"/>
      <c r="I440" s="2" t="n"/>
    </row>
    <row r="441" ht="62" customHeight="1">
      <c r="A441" s="10" t="n"/>
      <c r="B441" s="36" t="inlineStr">
        <is>
          <t>PV04</t>
        </is>
      </c>
      <c r="C441" s="10">
        <f>IF(COUNT(H441,I441)&lt;2,"",TEXT(H441,"0.00")&amp;" x "&amp;TEXT(I441,"0.00"))</f>
        <v/>
      </c>
      <c r="D441" s="9">
        <f>IF(COUNT(H441,I441)&lt;2,"",ROUND(H441*I441,2))</f>
        <v/>
      </c>
      <c r="E441" s="27" t="n">
        <v>60</v>
      </c>
      <c r="F441" s="30">
        <f>IF(D441="","",ROUND(D441*E441,1))</f>
        <v/>
      </c>
      <c r="G441" s="2" t="n"/>
      <c r="H441" s="37" t="n">
        <v>2.06</v>
      </c>
      <c r="I441" s="37" t="n">
        <v>3</v>
      </c>
    </row>
    <row r="442" ht="39.7" customHeight="1">
      <c r="A442" s="18" t="inlineStr">
        <is>
          <t>2</t>
        </is>
      </c>
      <c r="B442" s="35" t="inlineStr">
        <is>
          <t>PAREDES EXTERIORES</t>
        </is>
      </c>
      <c r="C442" s="10" t="n"/>
      <c r="D442" s="10" t="n"/>
      <c r="E442" s="10" t="n"/>
      <c r="F442" s="10" t="n"/>
      <c r="G442" s="2" t="n"/>
      <c r="H442" s="2" t="n"/>
      <c r="I442" s="2" t="n"/>
    </row>
    <row r="443" ht="62" customHeight="1">
      <c r="A443" s="10" t="n"/>
      <c r="B443" s="36" t="inlineStr">
        <is>
          <t>AISLADAS (SE)</t>
        </is>
      </c>
      <c r="C443" s="10">
        <f>IF(COUNT(H443,I443)&lt;2,"",TEXT(H443,"0.00")&amp;" x "&amp;TEXT(I443,"0.00"))</f>
        <v/>
      </c>
      <c r="D443" s="9">
        <f>IF(COUNT(H443,I443)&lt;2,"",ROUND(H443*I443,2))</f>
        <v/>
      </c>
      <c r="E443" s="27" t="n">
        <v>20</v>
      </c>
      <c r="F443" s="30">
        <f>IF(D443="","",ROUND(D443*E443,1))</f>
        <v/>
      </c>
      <c r="G443" s="2" t="n"/>
      <c r="H443" s="37" t="n">
        <v>4.05</v>
      </c>
      <c r="I443" s="37" t="n">
        <v>3</v>
      </c>
    </row>
    <row r="444" ht="62" customHeight="1">
      <c r="A444" s="10" t="n"/>
      <c r="B444" s="36" t="inlineStr">
        <is>
          <t>AISLADAS ()</t>
        </is>
      </c>
      <c r="C444" s="10">
        <f>IF(COUNT(H444,I444)&lt;2,"",TEXT(H444,"0.00")&amp;" x "&amp;TEXT(I444,"0.00"))</f>
        <v/>
      </c>
      <c r="D444" s="9">
        <f>IF(COUNT(H444,I444)&lt;2,"",ROUND(H444*I444,2))</f>
        <v/>
      </c>
      <c r="E444" s="27" t="n">
        <v>20</v>
      </c>
      <c r="F444" s="30">
        <f>IF(D444="","",ROUND(D444*E444,1))</f>
        <v/>
      </c>
      <c r="G444" s="2" t="n"/>
      <c r="H444" s="37" t="n">
        <v>3.5</v>
      </c>
      <c r="I444" s="37" t="n">
        <v>3</v>
      </c>
    </row>
    <row r="445" ht="62" customHeight="1">
      <c r="A445" s="10" t="n"/>
      <c r="B445" s="36" t="inlineStr">
        <is>
          <t>INTERIORES (    )</t>
        </is>
      </c>
      <c r="C445" s="10">
        <f>IF(COUNT(H445,I445)&lt;2,"",TEXT(H445,"0.00")&amp;" x "&amp;TEXT(I445,"0.00"))</f>
        <v/>
      </c>
      <c r="D445" s="9">
        <f>IF(COUNT(H445,I445)&lt;2,"",ROUND(H445*I445,2))</f>
        <v/>
      </c>
      <c r="E445" s="27" t="n">
        <v>25</v>
      </c>
      <c r="F445" s="30">
        <f>IF(D445="","",ROUND(D445*E445,1))</f>
        <v/>
      </c>
      <c r="G445" s="2" t="n"/>
      <c r="H445" s="37" t="n">
        <v>4.05</v>
      </c>
      <c r="I445" s="37" t="n">
        <v>3</v>
      </c>
    </row>
    <row r="446" ht="62" customHeight="1">
      <c r="A446" s="10" t="n"/>
      <c r="B446" s="36" t="inlineStr">
        <is>
          <t>INTERIORES (    )</t>
        </is>
      </c>
      <c r="C446" s="10">
        <f>IF(COUNT(H446,I446)&lt;2,"",TEXT(H446,"0.00")&amp;" x "&amp;TEXT(I446,"0.00"))</f>
        <v/>
      </c>
      <c r="D446" s="9">
        <f>IF(COUNT(H446,I446)&lt;2,"",ROUND(H446*I446,2))</f>
        <v/>
      </c>
      <c r="E446" s="27" t="n">
        <v>25</v>
      </c>
      <c r="F446" s="30">
        <f>IF(D446="","",ROUND(D446*E446,1))</f>
        <v/>
      </c>
      <c r="G446" s="2" t="n"/>
      <c r="H446" s="37" t="n">
        <v>3.5</v>
      </c>
      <c r="I446" s="37" t="n">
        <v>3</v>
      </c>
    </row>
    <row r="447" ht="39.7" customHeight="1">
      <c r="A447" s="18" t="inlineStr">
        <is>
          <t>3</t>
        </is>
      </c>
      <c r="B447" s="35" t="inlineStr">
        <is>
          <t>TECHOS O CIELORRASOS</t>
        </is>
      </c>
      <c r="C447" s="10" t="n"/>
      <c r="D447" s="10" t="n"/>
      <c r="E447" s="10" t="n"/>
      <c r="F447" s="10" t="n"/>
      <c r="G447" s="2" t="n"/>
      <c r="H447" s="2" t="n"/>
      <c r="I447" s="2" t="n"/>
    </row>
    <row r="448" ht="62" customHeight="1">
      <c r="A448" s="10" t="n"/>
      <c r="B448" s="36" t="inlineStr">
        <is>
          <t>TECHO NO AISLADO</t>
        </is>
      </c>
      <c r="C448" s="10" t="inlineStr"/>
      <c r="D448" s="9">
        <f>IF(COUNT(H448,I448)&lt;2,"",ROUND(H448*I448,2))</f>
        <v/>
      </c>
      <c r="E448" s="27" t="n">
        <v>30</v>
      </c>
      <c r="F448" s="30">
        <f>IF(D448="","",ROUND(D448*E448,1))</f>
        <v/>
      </c>
      <c r="G448" s="2" t="n"/>
      <c r="H448" s="37" t="n"/>
      <c r="I448" s="37" t="n"/>
    </row>
    <row r="449" ht="39.7" customHeight="1">
      <c r="A449" s="10" t="n"/>
      <c r="B449" s="36" t="inlineStr">
        <is>
          <t>TECHO AISLADO</t>
        </is>
      </c>
      <c r="C449" s="10" t="inlineStr">
        <is>
          <t>por croquis</t>
        </is>
      </c>
      <c r="D449" s="9" t="n">
        <v>14.17</v>
      </c>
      <c r="E449" s="27" t="n">
        <v>20</v>
      </c>
      <c r="F449" s="30">
        <f>IF(D449="","",ROUND(D449*E449,1))</f>
        <v/>
      </c>
      <c r="G449" s="2" t="n"/>
      <c r="H449" s="37" t="n"/>
      <c r="I449" s="37" t="n"/>
    </row>
    <row r="450" ht="62" customHeight="1">
      <c r="A450" s="10" t="n"/>
      <c r="B450" s="36" t="inlineStr">
        <is>
          <t>TECHO ENTREPISO</t>
        </is>
      </c>
      <c r="C450" s="10" t="inlineStr"/>
      <c r="D450" s="9">
        <f>IF(COUNT(H450,I450)&lt;2,"",ROUND(H450*I450,2))</f>
        <v/>
      </c>
      <c r="E450" s="27" t="n">
        <v>15</v>
      </c>
      <c r="F450" s="30">
        <f>IF(D450="","",ROUND(D450*E450,1))</f>
        <v/>
      </c>
      <c r="G450" s="2" t="n"/>
      <c r="H450" s="37" t="n"/>
      <c r="I450" s="37" t="n"/>
    </row>
    <row r="451" ht="39.7" customHeight="1">
      <c r="A451" s="18" t="inlineStr">
        <is>
          <t>4</t>
        </is>
      </c>
      <c r="B451" s="35" t="inlineStr">
        <is>
          <t>PISO</t>
        </is>
      </c>
      <c r="C451" s="10" t="n"/>
      <c r="D451" s="10" t="n"/>
      <c r="E451" s="10" t="n"/>
      <c r="F451" s="10" t="n"/>
      <c r="G451" s="2" t="n"/>
      <c r="H451" s="2" t="n"/>
      <c r="I451" s="2" t="n"/>
    </row>
    <row r="452" ht="62" customHeight="1">
      <c r="A452" s="10" t="n"/>
      <c r="B452" s="36" t="inlineStr">
        <is>
          <t>SOBRE TIERRA</t>
        </is>
      </c>
      <c r="C452" s="10" t="inlineStr"/>
      <c r="D452" s="9">
        <f>IF(COUNT(H452,I452)&lt;2,"",ROUND(H452*I452,2))</f>
        <v/>
      </c>
      <c r="E452" s="27" t="n">
        <v>10</v>
      </c>
      <c r="F452" s="30">
        <f>IF(D452="","",ROUND(D452*E452,1))</f>
        <v/>
      </c>
      <c r="G452" s="2" t="n"/>
      <c r="H452" s="37" t="n"/>
      <c r="I452" s="37" t="n"/>
    </row>
    <row r="453" ht="39.7" customHeight="1">
      <c r="A453" s="10" t="n"/>
      <c r="B453" s="36" t="inlineStr">
        <is>
          <t>SOBRE LOCAL OCUPADO</t>
        </is>
      </c>
      <c r="C453" s="10" t="inlineStr">
        <is>
          <t>por croquis</t>
        </is>
      </c>
      <c r="D453" s="9" t="n">
        <v>14.17</v>
      </c>
      <c r="E453" s="27" t="n">
        <v>15</v>
      </c>
      <c r="F453" s="30">
        <f>IF(D453="","",ROUND(D453*E453,1))</f>
        <v/>
      </c>
      <c r="G453" s="2" t="n"/>
      <c r="H453" s="37" t="n"/>
      <c r="I453" s="37" t="n"/>
    </row>
    <row r="454" ht="39.7" customHeight="1">
      <c r="A454" s="18" t="inlineStr">
        <is>
          <t>5</t>
        </is>
      </c>
      <c r="B454" s="35" t="inlineStr">
        <is>
          <t>INFILTRACION</t>
        </is>
      </c>
      <c r="C454" s="10" t="n"/>
      <c r="D454" s="18" t="inlineStr">
        <is>
          <t>VOLUMEN (m3)</t>
        </is>
      </c>
      <c r="E454" s="10" t="n"/>
      <c r="F454" s="10" t="n"/>
      <c r="G454" s="2" t="n"/>
      <c r="H454" s="2" t="n"/>
      <c r="I454" s="2" t="n"/>
    </row>
    <row r="455" ht="62" customHeight="1">
      <c r="A455" s="10" t="n"/>
      <c r="B455" s="36" t="inlineStr">
        <is>
          <t>UNA PARED EXTERIOR</t>
        </is>
      </c>
      <c r="C455" s="10" t="inlineStr"/>
      <c r="D455" s="9">
        <f>IF(COUNT(H455,I455)&lt;2,"",ROUND(H455*I455,2))</f>
        <v/>
      </c>
      <c r="E455" s="27" t="n">
        <v>6</v>
      </c>
      <c r="F455" s="30">
        <f>IF(D455="","",ROUND(D455*E455,1))</f>
        <v/>
      </c>
      <c r="G455" s="2" t="n"/>
      <c r="H455" s="37" t="n"/>
      <c r="I455" s="37" t="n"/>
    </row>
    <row r="456" ht="39.7" customHeight="1">
      <c r="A456" s="10" t="n"/>
      <c r="B456" s="36" t="inlineStr">
        <is>
          <t>DOS PAREDES EXTERIORES</t>
        </is>
      </c>
      <c r="C456" s="10" t="inlineStr">
        <is>
          <t>14.17 m2 x 3.00</t>
        </is>
      </c>
      <c r="D456" s="9" t="n">
        <v>42.51</v>
      </c>
      <c r="E456" s="27" t="n">
        <v>9</v>
      </c>
      <c r="F456" s="30">
        <f>IF(D456="","",ROUND(D456*E456,1))</f>
        <v/>
      </c>
      <c r="G456" s="2" t="n"/>
      <c r="H456" s="37" t="n"/>
      <c r="I456" s="37" t="n"/>
    </row>
    <row r="457" ht="62" customHeight="1">
      <c r="A457" s="10" t="n"/>
      <c r="B457" s="36" t="inlineStr">
        <is>
          <t>TRES O MAS PAREDES EXTERIORES</t>
        </is>
      </c>
      <c r="C457" s="10" t="inlineStr"/>
      <c r="D457" s="9">
        <f>IF(COUNT(H457,I457)&lt;2,"",ROUND(H457*I457,2))</f>
        <v/>
      </c>
      <c r="E457" s="27" t="n">
        <v>12</v>
      </c>
      <c r="F457" s="30">
        <f>IF(D457="","",ROUND(D457*E457,1))</f>
        <v/>
      </c>
      <c r="G457" s="2" t="n"/>
      <c r="H457" s="37" t="n"/>
      <c r="I457" s="37" t="n"/>
    </row>
    <row r="458" ht="70" customHeight="1">
      <c r="A458" s="18" t="inlineStr">
        <is>
          <t>6</t>
        </is>
      </c>
      <c r="B458" s="35" t="inlineStr">
        <is>
          <t>SUBTOTAL</t>
        </is>
      </c>
      <c r="C458" s="10" t="n"/>
      <c r="D458" s="10" t="n"/>
      <c r="E458" s="10" t="n"/>
      <c r="F458" s="38">
        <f>IF(F441="",0,F441)+IF(F443="",0,F443)+IF(F444="",0,F444)+IF(F445="",0,F445)+IF(F446="",0,F446)+IF(F448="",0,F448)+IF(F449="",0,F449)+IF(F450="",0,F450)+IF(F452="",0,F452)+IF(F453="",0,F453)+IF(F455="",0,F455)+IF(F456="",0,F456)+IF(F457="",0,F457)</f>
        <v/>
      </c>
      <c r="G458" s="2" t="n"/>
      <c r="H458" s="2" t="n"/>
      <c r="I458" s="2" t="n"/>
    </row>
    <row r="459" ht="47" customHeight="1">
      <c r="A459" s="18" t="inlineStr">
        <is>
          <t>7</t>
        </is>
      </c>
      <c r="B459" s="35" t="inlineStr">
        <is>
          <t>PERDIDA TOTAL</t>
        </is>
      </c>
      <c r="C459" s="10">
        <f>TEXT(F458,"0.00")&amp;"  X  "&amp;Datos_balance!$B$4&amp;" (FI)  X  "&amp;Datos_balance!$B$5&amp;" (FO)  X  "&amp;Datos_balance!$B$6&amp;" (FZ)"</f>
        <v/>
      </c>
      <c r="D459" s="2" t="n"/>
      <c r="E459" s="2" t="n"/>
      <c r="F459" s="38">
        <f>ROUND(F458*Datos_balance!$B$4*Datos_balance!$B$5*Datos_balance!$B$6,1)</f>
        <v/>
      </c>
      <c r="G459" s="2" t="n"/>
      <c r="H459" s="2" t="n"/>
      <c r="I459" s="2" t="n"/>
    </row>
    <row r="460" ht="39.7" customHeight="1">
      <c r="A460" s="10" t="n"/>
      <c r="B460" s="11" t="inlineStr">
        <is>
          <t>Carga de locales sin emisor</t>
        </is>
      </c>
      <c r="C460" s="10" t="n"/>
      <c r="D460" s="2" t="n"/>
      <c r="E460" s="2" t="n"/>
      <c r="F460" s="30" t="n"/>
      <c r="G460" s="2" t="n"/>
      <c r="H460" s="2" t="n"/>
      <c r="I460" s="2" t="n"/>
    </row>
    <row r="461" ht="39.7" customHeight="1">
      <c r="A461" s="10" t="n"/>
      <c r="B461" s="35" t="inlineStr">
        <is>
          <t>CARGA TOTAL A CUBRIR</t>
        </is>
      </c>
      <c r="C461" s="10" t="n"/>
      <c r="D461" s="2" t="n"/>
      <c r="E461" s="2" t="n"/>
      <c r="F461" s="38">
        <f>F459+IF(F460="",0,F460)</f>
        <v/>
      </c>
      <c r="G461" s="2" t="n"/>
      <c r="H461" s="2" t="n"/>
      <c r="I461" s="2" t="n"/>
    </row>
    <row r="462">
      <c r="A462" s="2" t="n"/>
      <c r="B462" s="2" t="n"/>
      <c r="C462" s="2" t="n"/>
      <c r="D462" s="2" t="n"/>
      <c r="E462" s="2" t="n"/>
      <c r="F462" s="2" t="n"/>
      <c r="G462" s="2" t="n"/>
      <c r="H462" s="2" t="n"/>
      <c r="I462" s="2" t="n"/>
    </row>
    <row r="463" ht="62" customHeight="1">
      <c r="A463" s="10" t="n"/>
      <c r="B463" s="11" t="inlineStr">
        <is>
          <t>Salto termico:  dt = (te+ts)/2 - ti</t>
        </is>
      </c>
      <c r="C463" s="10">
        <f>TEXT((Datos_balance!$B$9+Datos_balance!$B$10)/2,"0")&amp;" - "&amp;TEXT(Datos_balance!$B$11,"0")&amp;" = "&amp;TEXT((Datos_balance!$B$9+Datos_balance!$B$10)/2-Datos_balance!$B$11,"0")&amp;" C"</f>
        <v/>
      </c>
      <c r="D463" s="2" t="n"/>
      <c r="E463" s="2" t="n"/>
      <c r="F463" s="10" t="n"/>
      <c r="G463" s="2" t="n"/>
      <c r="H463" s="2" t="n"/>
      <c r="I463" s="2" t="n"/>
    </row>
    <row r="464" ht="39.7" customHeight="1">
      <c r="A464" s="10" t="n"/>
      <c r="B464" s="11" t="inlineStr">
        <is>
          <t>Kcal/h por elemento</t>
        </is>
      </c>
      <c r="C464" s="9">
        <f>ROUND(Datos_balance!$B$14*Datos_balance!$B$15,2)</f>
        <v/>
      </c>
      <c r="D464" s="2" t="n"/>
      <c r="E464" s="2" t="n"/>
      <c r="F464" s="10" t="n"/>
      <c r="G464" s="2" t="n"/>
      <c r="H464" s="2" t="n"/>
      <c r="I464" s="2" t="n"/>
    </row>
    <row r="465" ht="39.7" customHeight="1">
      <c r="A465" s="10" t="n"/>
      <c r="B465" s="11" t="inlineStr">
        <is>
          <t>Elementos necesarios</t>
        </is>
      </c>
      <c r="C465" s="27">
        <f>ROUNDUP(F461/(Datos_balance!$B$14*Datos_balance!$B$15),0)</f>
        <v/>
      </c>
      <c r="D465" s="2" t="n"/>
      <c r="E465" s="2" t="n"/>
      <c r="F465" s="10" t="n"/>
      <c r="G465" s="2" t="n"/>
      <c r="H465" s="2" t="n"/>
      <c r="I465" s="2" t="n"/>
    </row>
    <row r="466" ht="39.7" customHeight="1">
      <c r="A466" s="10" t="n"/>
      <c r="B466" s="11" t="inlineStr">
        <is>
          <t>Ancho del radiador (cm)</t>
        </is>
      </c>
      <c r="C466" s="27">
        <f>ROUNDUP(F461/(Datos_balance!$B$14*Datos_balance!$B$15),0)*Datos_balance!$B$16</f>
        <v/>
      </c>
      <c r="D466" s="2" t="n"/>
      <c r="E466" s="2" t="n"/>
      <c r="F466" s="10" t="n"/>
      <c r="G466" s="2" t="n"/>
      <c r="H466" s="2" t="n"/>
      <c r="I466" s="2" t="n"/>
    </row>
    <row r="467" ht="39.7" customHeight="1">
      <c r="A467" s="14" t="n"/>
      <c r="B467" s="15" t="inlineStr">
        <is>
          <t>Radiador adoptado</t>
        </is>
      </c>
      <c r="C467" s="14">
        <f>Datos_balance!$B$13</f>
        <v/>
      </c>
      <c r="D467" s="22" t="n"/>
      <c r="E467" s="22" t="n"/>
      <c r="F467" s="14" t="n"/>
      <c r="G467" s="2" t="n"/>
      <c r="H467" s="2" t="n"/>
      <c r="I467" s="2" t="n"/>
    </row>
    <row r="468">
      <c r="A468" s="2" t="n"/>
      <c r="B468" s="2" t="n"/>
      <c r="C468" s="2" t="n"/>
      <c r="D468" s="2" t="n"/>
      <c r="E468" s="2" t="n"/>
      <c r="F468" s="2" t="n"/>
      <c r="G468" s="2" t="n"/>
      <c r="H468" s="2" t="n"/>
      <c r="I468" s="2" t="n"/>
    </row>
    <row r="469" ht="39.7" customHeight="1">
      <c r="A469" s="2" t="n"/>
      <c r="B469" s="39" t="inlineStr">
        <is>
          <t>Ubicacion del local en planta</t>
        </is>
      </c>
      <c r="C469" s="2" t="n"/>
      <c r="D469" s="2" t="n"/>
      <c r="E469" s="2" t="n"/>
      <c r="F469" s="2" t="n"/>
      <c r="G469" s="2" t="n"/>
      <c r="H469" s="2" t="n"/>
      <c r="I469" s="2" t="n"/>
    </row>
    <row r="470" ht="39.7" customHeight="1">
      <c r="A470" s="2" t="n"/>
      <c r="B470" s="2" t="n"/>
      <c r="C470" s="2" t="n"/>
      <c r="D470" s="2" t="n"/>
      <c r="E470" s="2" t="n"/>
      <c r="F470" s="2" t="n"/>
      <c r="G470" s="2" t="n"/>
      <c r="H470" s="2" t="n"/>
      <c r="I470" s="2" t="n"/>
    </row>
    <row r="471" ht="39.7" customHeight="1">
      <c r="A471" s="2" t="n"/>
      <c r="B471" s="2" t="n"/>
      <c r="C471" s="2" t="n"/>
      <c r="D471" s="2" t="n"/>
      <c r="E471" s="2" t="n"/>
      <c r="F471" s="2" t="n"/>
      <c r="G471" s="2" t="n"/>
      <c r="H471" s="2" t="n"/>
      <c r="I471" s="2" t="n"/>
    </row>
    <row r="472" ht="39.7" customHeight="1">
      <c r="A472" s="2" t="n"/>
      <c r="B472" s="2" t="n"/>
      <c r="C472" s="2" t="n"/>
      <c r="D472" s="2" t="n"/>
      <c r="E472" s="2" t="n"/>
      <c r="F472" s="2" t="n"/>
      <c r="G472" s="2" t="n"/>
      <c r="H472" s="2" t="n"/>
      <c r="I472" s="2" t="n"/>
    </row>
    <row r="473" ht="39.7" customHeight="1">
      <c r="A473" s="2" t="n"/>
      <c r="B473" s="2" t="n"/>
      <c r="C473" s="2" t="n"/>
      <c r="D473" s="2" t="n"/>
      <c r="E473" s="2" t="n"/>
      <c r="F473" s="2" t="n"/>
      <c r="G473" s="2" t="n"/>
      <c r="H473" s="2" t="n"/>
      <c r="I473" s="2" t="n"/>
    </row>
    <row r="474" ht="39.7" customHeight="1">
      <c r="A474" s="2" t="n"/>
      <c r="B474" s="2" t="n"/>
      <c r="C474" s="2" t="n"/>
      <c r="D474" s="2" t="n"/>
      <c r="E474" s="2" t="n"/>
      <c r="F474" s="2" t="n"/>
      <c r="G474" s="2" t="n"/>
      <c r="H474" s="2" t="n"/>
      <c r="I474" s="2" t="n"/>
    </row>
    <row r="475" ht="39.7" customHeight="1">
      <c r="A475" s="2" t="n"/>
      <c r="B475" s="2" t="n"/>
      <c r="C475" s="2" t="n"/>
      <c r="D475" s="2" t="n"/>
      <c r="E475" s="2" t="n"/>
      <c r="F475" s="2" t="n"/>
      <c r="G475" s="2" t="n"/>
      <c r="H475" s="2" t="n"/>
      <c r="I475" s="2" t="n"/>
    </row>
    <row r="476" ht="39.7" customHeight="1">
      <c r="A476" s="2" t="n"/>
      <c r="B476" s="2" t="n"/>
      <c r="C476" s="2" t="n"/>
      <c r="D476" s="2" t="n"/>
      <c r="E476" s="2" t="n"/>
      <c r="F476" s="2" t="n"/>
      <c r="G476" s="2" t="n"/>
      <c r="H476" s="2" t="n"/>
      <c r="I476" s="2" t="n"/>
    </row>
    <row r="477">
      <c r="A477" s="2" t="n"/>
      <c r="B477" s="2" t="n"/>
      <c r="C477" s="2" t="n"/>
      <c r="D477" s="2" t="n"/>
      <c r="E477" s="2" t="n"/>
      <c r="F477" s="2" t="n"/>
      <c r="G477" s="2" t="n"/>
      <c r="H477" s="2" t="n"/>
      <c r="I477" s="2" t="n"/>
    </row>
    <row r="478">
      <c r="A478" s="2" t="n"/>
      <c r="B478" s="2" t="n"/>
      <c r="C478" s="2" t="n"/>
      <c r="D478" s="2" t="n"/>
      <c r="E478" s="2" t="n"/>
      <c r="F478" s="2" t="n"/>
      <c r="G478" s="2" t="n"/>
      <c r="H478" s="2" t="n"/>
      <c r="I478" s="2" t="n"/>
    </row>
    <row r="479">
      <c r="A479" s="2" t="n"/>
      <c r="B479" s="2" t="n"/>
      <c r="C479" s="2" t="n"/>
      <c r="D479" s="2" t="n"/>
      <c r="E479" s="2" t="n"/>
      <c r="F479" s="2" t="n"/>
      <c r="G479" s="2" t="n"/>
      <c r="H479" s="2" t="n"/>
      <c r="I479" s="2" t="n"/>
    </row>
    <row r="480" ht="39.7" customHeight="1">
      <c r="A480" s="5" t="inlineStr">
        <is>
          <t>LOCAL  17 - Bano   (PA)   -   altura 3.00 m</t>
        </is>
      </c>
      <c r="B480" s="2" t="n"/>
      <c r="C480" s="2" t="n"/>
      <c r="D480" s="2" t="n"/>
      <c r="E480" s="2" t="n"/>
      <c r="F480" s="2" t="n"/>
      <c r="G480" s="2" t="n"/>
      <c r="H480" s="2" t="n"/>
      <c r="I480" s="2" t="n"/>
    </row>
    <row r="481" ht="39.7" customHeight="1">
      <c r="A481" s="3" t="inlineStr">
        <is>
          <t>Nro</t>
        </is>
      </c>
      <c r="B481" s="3" t="inlineStr">
        <is>
          <t>DESCRIPCION</t>
        </is>
      </c>
      <c r="C481" s="3" t="inlineStr">
        <is>
          <t>DIMENSIONES (m)</t>
        </is>
      </c>
      <c r="D481" s="3" t="inlineStr">
        <is>
          <t>AREA (m2)</t>
        </is>
      </c>
      <c r="E481" s="3" t="inlineStr">
        <is>
          <t>FACTOR</t>
        </is>
      </c>
      <c r="F481" s="3" t="inlineStr">
        <is>
          <t>PERDIDA CALOR (Kcal/h)</t>
        </is>
      </c>
      <c r="G481" s="2" t="n"/>
      <c r="H481" s="2" t="n"/>
      <c r="I481" s="2" t="n"/>
    </row>
    <row r="482" ht="39.7" customHeight="1">
      <c r="A482" s="18" t="inlineStr">
        <is>
          <t>1</t>
        </is>
      </c>
      <c r="B482" s="35" t="inlineStr">
        <is>
          <t>VENTANA</t>
        </is>
      </c>
      <c r="C482" s="10" t="n"/>
      <c r="D482" s="10" t="n"/>
      <c r="E482" s="10" t="n"/>
      <c r="F482" s="10" t="n"/>
      <c r="G482" s="2" t="n"/>
      <c r="H482" s="2" t="n"/>
      <c r="I482" s="2" t="n"/>
    </row>
    <row r="483" ht="62" customHeight="1">
      <c r="A483" s="10" t="n"/>
      <c r="B483" s="36" t="inlineStr">
        <is>
          <t>VA03</t>
        </is>
      </c>
      <c r="C483" s="10">
        <f>IF(COUNT(H483,I483)&lt;2,"",TEXT(H483,"0.00")&amp;" x "&amp;TEXT(I483,"0.00"))</f>
        <v/>
      </c>
      <c r="D483" s="9">
        <f>IF(COUNT(H483,I483)&lt;2,"",ROUND(H483*I483,2))</f>
        <v/>
      </c>
      <c r="E483" s="27" t="n">
        <v>60</v>
      </c>
      <c r="F483" s="30">
        <f>IF(D483="","",ROUND(D483*E483,1))</f>
        <v/>
      </c>
      <c r="G483" s="2" t="n"/>
      <c r="H483" s="37" t="n">
        <v>0.75</v>
      </c>
      <c r="I483" s="37" t="n">
        <v>2.52</v>
      </c>
    </row>
    <row r="484" ht="39.7" customHeight="1">
      <c r="A484" s="18" t="inlineStr">
        <is>
          <t>2</t>
        </is>
      </c>
      <c r="B484" s="35" t="inlineStr">
        <is>
          <t>PAREDES EXTERIORES</t>
        </is>
      </c>
      <c r="C484" s="10" t="n"/>
      <c r="D484" s="10" t="n"/>
      <c r="E484" s="10" t="n"/>
      <c r="F484" s="10" t="n"/>
      <c r="G484" s="2" t="n"/>
      <c r="H484" s="2" t="n"/>
      <c r="I484" s="2" t="n"/>
    </row>
    <row r="485" ht="62" customHeight="1">
      <c r="A485" s="10" t="n"/>
      <c r="B485" s="36" t="inlineStr">
        <is>
          <t>AISLADAS ()</t>
        </is>
      </c>
      <c r="C485" s="10">
        <f>IF(COUNT(H485,I485)&lt;2,"",TEXT(H485,"0.00")&amp;" x "&amp;TEXT(I485,"0.00"))</f>
        <v/>
      </c>
      <c r="D485" s="9">
        <f>IF(COUNT(H485,I485)&lt;2,"",ROUND(H485*I485,2))</f>
        <v/>
      </c>
      <c r="E485" s="27" t="n">
        <v>20</v>
      </c>
      <c r="F485" s="30">
        <f>IF(D485="","",ROUND(D485*E485,1))</f>
        <v/>
      </c>
      <c r="G485" s="2" t="n"/>
      <c r="H485" s="37" t="n">
        <v>2.2</v>
      </c>
      <c r="I485" s="37" t="n">
        <v>3</v>
      </c>
    </row>
    <row r="486" ht="62" customHeight="1">
      <c r="A486" s="10" t="n"/>
      <c r="B486" s="36" t="inlineStr">
        <is>
          <t>AISLADAS ()</t>
        </is>
      </c>
      <c r="C486" s="10">
        <f>IF(COUNT(H486,I486)&lt;2,"",TEXT(H486,"0.00")&amp;" x "&amp;TEXT(I486,"0.00"))</f>
        <v/>
      </c>
      <c r="D486" s="9">
        <f>IF(COUNT(H486,I486)&lt;2,"",ROUND(H486*I486,2))</f>
        <v/>
      </c>
      <c r="E486" s="27" t="n">
        <v>20</v>
      </c>
      <c r="F486" s="30">
        <f>IF(D486="","",ROUND(D486*E486,1))</f>
        <v/>
      </c>
      <c r="G486" s="2" t="n"/>
      <c r="H486" s="37" t="n">
        <v>1.6</v>
      </c>
      <c r="I486" s="37" t="n">
        <v>3</v>
      </c>
    </row>
    <row r="487" ht="62" customHeight="1">
      <c r="A487" s="10" t="n"/>
      <c r="B487" s="36" t="inlineStr">
        <is>
          <t>INTERIORES (    )</t>
        </is>
      </c>
      <c r="C487" s="10">
        <f>IF(COUNT(H487,I487)&lt;2,"",TEXT(H487,"0.00")&amp;" x "&amp;TEXT(I487,"0.00"))</f>
        <v/>
      </c>
      <c r="D487" s="9">
        <f>IF(COUNT(H487,I487)&lt;2,"",ROUND(H487*I487,2))</f>
        <v/>
      </c>
      <c r="E487" s="27" t="n">
        <v>25</v>
      </c>
      <c r="F487" s="30">
        <f>IF(D487="","",ROUND(D487*E487,1))</f>
        <v/>
      </c>
      <c r="G487" s="2" t="n"/>
      <c r="H487" s="37" t="n">
        <v>2.2</v>
      </c>
      <c r="I487" s="37" t="n">
        <v>3</v>
      </c>
    </row>
    <row r="488" ht="62" customHeight="1">
      <c r="A488" s="10" t="n"/>
      <c r="B488" s="36" t="inlineStr">
        <is>
          <t>INTERIORES (    )</t>
        </is>
      </c>
      <c r="C488" s="10">
        <f>IF(COUNT(H488,I488)&lt;2,"",TEXT(H488,"0.00")&amp;" x "&amp;TEXT(I488,"0.00"))</f>
        <v/>
      </c>
      <c r="D488" s="9">
        <f>IF(COUNT(H488,I488)&lt;2,"",ROUND(H488*I488,2))</f>
        <v/>
      </c>
      <c r="E488" s="27" t="n">
        <v>25</v>
      </c>
      <c r="F488" s="30">
        <f>IF(D488="","",ROUND(D488*E488,1))</f>
        <v/>
      </c>
      <c r="G488" s="2" t="n"/>
      <c r="H488" s="37" t="n">
        <v>1.6</v>
      </c>
      <c r="I488" s="37" t="n">
        <v>3</v>
      </c>
    </row>
    <row r="489" ht="39.7" customHeight="1">
      <c r="A489" s="18" t="inlineStr">
        <is>
          <t>3</t>
        </is>
      </c>
      <c r="B489" s="35" t="inlineStr">
        <is>
          <t>TECHOS O CIELORRASOS</t>
        </is>
      </c>
      <c r="C489" s="10" t="n"/>
      <c r="D489" s="10" t="n"/>
      <c r="E489" s="10" t="n"/>
      <c r="F489" s="10" t="n"/>
      <c r="G489" s="2" t="n"/>
      <c r="H489" s="2" t="n"/>
      <c r="I489" s="2" t="n"/>
    </row>
    <row r="490" ht="62" customHeight="1">
      <c r="A490" s="10" t="n"/>
      <c r="B490" s="36" t="inlineStr">
        <is>
          <t>TECHO NO AISLADO</t>
        </is>
      </c>
      <c r="C490" s="10" t="inlineStr"/>
      <c r="D490" s="9">
        <f>IF(COUNT(H490,I490)&lt;2,"",ROUND(H490*I490,2))</f>
        <v/>
      </c>
      <c r="E490" s="27" t="n">
        <v>30</v>
      </c>
      <c r="F490" s="30">
        <f>IF(D490="","",ROUND(D490*E490,1))</f>
        <v/>
      </c>
      <c r="G490" s="2" t="n"/>
      <c r="H490" s="37" t="n"/>
      <c r="I490" s="37" t="n"/>
    </row>
    <row r="491" ht="39.7" customHeight="1">
      <c r="A491" s="10" t="n"/>
      <c r="B491" s="36" t="inlineStr">
        <is>
          <t>TECHO AISLADO</t>
        </is>
      </c>
      <c r="C491" s="10" t="inlineStr">
        <is>
          <t>por croquis</t>
        </is>
      </c>
      <c r="D491" s="9" t="n">
        <v>3.52</v>
      </c>
      <c r="E491" s="27" t="n">
        <v>20</v>
      </c>
      <c r="F491" s="30">
        <f>IF(D491="","",ROUND(D491*E491,1))</f>
        <v/>
      </c>
      <c r="G491" s="2" t="n"/>
      <c r="H491" s="37" t="n"/>
      <c r="I491" s="37" t="n"/>
    </row>
    <row r="492" ht="62" customHeight="1">
      <c r="A492" s="10" t="n"/>
      <c r="B492" s="36" t="inlineStr">
        <is>
          <t>TECHO ENTREPISO</t>
        </is>
      </c>
      <c r="C492" s="10" t="inlineStr"/>
      <c r="D492" s="9">
        <f>IF(COUNT(H492,I492)&lt;2,"",ROUND(H492*I492,2))</f>
        <v/>
      </c>
      <c r="E492" s="27" t="n">
        <v>15</v>
      </c>
      <c r="F492" s="30">
        <f>IF(D492="","",ROUND(D492*E492,1))</f>
        <v/>
      </c>
      <c r="G492" s="2" t="n"/>
      <c r="H492" s="37" t="n"/>
      <c r="I492" s="37" t="n"/>
    </row>
    <row r="493" ht="39.7" customHeight="1">
      <c r="A493" s="18" t="inlineStr">
        <is>
          <t>4</t>
        </is>
      </c>
      <c r="B493" s="35" t="inlineStr">
        <is>
          <t>PISO</t>
        </is>
      </c>
      <c r="C493" s="10" t="n"/>
      <c r="D493" s="10" t="n"/>
      <c r="E493" s="10" t="n"/>
      <c r="F493" s="10" t="n"/>
      <c r="G493" s="2" t="n"/>
      <c r="H493" s="2" t="n"/>
      <c r="I493" s="2" t="n"/>
    </row>
    <row r="494" ht="62" customHeight="1">
      <c r="A494" s="10" t="n"/>
      <c r="B494" s="36" t="inlineStr">
        <is>
          <t>SOBRE TIERRA</t>
        </is>
      </c>
      <c r="C494" s="10" t="inlineStr"/>
      <c r="D494" s="9">
        <f>IF(COUNT(H494,I494)&lt;2,"",ROUND(H494*I494,2))</f>
        <v/>
      </c>
      <c r="E494" s="27" t="n">
        <v>10</v>
      </c>
      <c r="F494" s="30">
        <f>IF(D494="","",ROUND(D494*E494,1))</f>
        <v/>
      </c>
      <c r="G494" s="2" t="n"/>
      <c r="H494" s="37" t="n"/>
      <c r="I494" s="37" t="n"/>
    </row>
    <row r="495" ht="39.7" customHeight="1">
      <c r="A495" s="10" t="n"/>
      <c r="B495" s="36" t="inlineStr">
        <is>
          <t>SOBRE LOCAL OCUPADO</t>
        </is>
      </c>
      <c r="C495" s="10" t="inlineStr">
        <is>
          <t>por croquis</t>
        </is>
      </c>
      <c r="D495" s="9" t="n">
        <v>3.52</v>
      </c>
      <c r="E495" s="27" t="n">
        <v>15</v>
      </c>
      <c r="F495" s="30">
        <f>IF(D495="","",ROUND(D495*E495,1))</f>
        <v/>
      </c>
      <c r="G495" s="2" t="n"/>
      <c r="H495" s="37" t="n"/>
      <c r="I495" s="37" t="n"/>
    </row>
    <row r="496" ht="39.7" customHeight="1">
      <c r="A496" s="18" t="inlineStr">
        <is>
          <t>5</t>
        </is>
      </c>
      <c r="B496" s="35" t="inlineStr">
        <is>
          <t>INFILTRACION</t>
        </is>
      </c>
      <c r="C496" s="10" t="n"/>
      <c r="D496" s="18" t="inlineStr">
        <is>
          <t>VOLUMEN (m3)</t>
        </is>
      </c>
      <c r="E496" s="10" t="n"/>
      <c r="F496" s="10" t="n"/>
      <c r="G496" s="2" t="n"/>
      <c r="H496" s="2" t="n"/>
      <c r="I496" s="2" t="n"/>
    </row>
    <row r="497" ht="62" customHeight="1">
      <c r="A497" s="10" t="n"/>
      <c r="B497" s="36" t="inlineStr">
        <is>
          <t>UNA PARED EXTERIOR</t>
        </is>
      </c>
      <c r="C497" s="10" t="inlineStr"/>
      <c r="D497" s="9">
        <f>IF(COUNT(H497,I497)&lt;2,"",ROUND(H497*I497,2))</f>
        <v/>
      </c>
      <c r="E497" s="27" t="n">
        <v>6</v>
      </c>
      <c r="F497" s="30">
        <f>IF(D497="","",ROUND(D497*E497,1))</f>
        <v/>
      </c>
      <c r="G497" s="2" t="n"/>
      <c r="H497" s="37" t="n"/>
      <c r="I497" s="37" t="n"/>
    </row>
    <row r="498" ht="39.7" customHeight="1">
      <c r="A498" s="10" t="n"/>
      <c r="B498" s="36" t="inlineStr">
        <is>
          <t>DOS PAREDES EXTERIORES</t>
        </is>
      </c>
      <c r="C498" s="10" t="inlineStr">
        <is>
          <t>3.52 m2 x 3.00</t>
        </is>
      </c>
      <c r="D498" s="9" t="n">
        <v>10.56</v>
      </c>
      <c r="E498" s="27" t="n">
        <v>9</v>
      </c>
      <c r="F498" s="30">
        <f>IF(D498="","",ROUND(D498*E498,1))</f>
        <v/>
      </c>
      <c r="G498" s="2" t="n"/>
      <c r="H498" s="37" t="n"/>
      <c r="I498" s="37" t="n"/>
    </row>
    <row r="499" ht="62" customHeight="1">
      <c r="A499" s="10" t="n"/>
      <c r="B499" s="36" t="inlineStr">
        <is>
          <t>TRES O MAS PAREDES EXTERIORES</t>
        </is>
      </c>
      <c r="C499" s="10" t="inlineStr"/>
      <c r="D499" s="9">
        <f>IF(COUNT(H499,I499)&lt;2,"",ROUND(H499*I499,2))</f>
        <v/>
      </c>
      <c r="E499" s="27" t="n">
        <v>12</v>
      </c>
      <c r="F499" s="30">
        <f>IF(D499="","",ROUND(D499*E499,1))</f>
        <v/>
      </c>
      <c r="G499" s="2" t="n"/>
      <c r="H499" s="37" t="n"/>
      <c r="I499" s="37" t="n"/>
    </row>
    <row r="500" ht="70" customHeight="1">
      <c r="A500" s="18" t="inlineStr">
        <is>
          <t>6</t>
        </is>
      </c>
      <c r="B500" s="35" t="inlineStr">
        <is>
          <t>SUBTOTAL</t>
        </is>
      </c>
      <c r="C500" s="10" t="n"/>
      <c r="D500" s="10" t="n"/>
      <c r="E500" s="10" t="n"/>
      <c r="F500" s="38">
        <f>IF(F483="",0,F483)+IF(F485="",0,F485)+IF(F486="",0,F486)+IF(F487="",0,F487)+IF(F488="",0,F488)+IF(F490="",0,F490)+IF(F491="",0,F491)+IF(F492="",0,F492)+IF(F494="",0,F494)+IF(F495="",0,F495)+IF(F497="",0,F497)+IF(F498="",0,F498)+IF(F499="",0,F499)</f>
        <v/>
      </c>
      <c r="G500" s="2" t="n"/>
      <c r="H500" s="2" t="n"/>
      <c r="I500" s="2" t="n"/>
    </row>
    <row r="501" ht="47" customHeight="1">
      <c r="A501" s="18" t="inlineStr">
        <is>
          <t>7</t>
        </is>
      </c>
      <c r="B501" s="35" t="inlineStr">
        <is>
          <t>PERDIDA TOTAL</t>
        </is>
      </c>
      <c r="C501" s="10">
        <f>TEXT(F500,"0.00")&amp;"  X  "&amp;Datos_balance!$B$4&amp;" (FI)  X  "&amp;Datos_balance!$B$5&amp;" (FO)  X  "&amp;Datos_balance!$B$6&amp;" (FZ)"</f>
        <v/>
      </c>
      <c r="D501" s="2" t="n"/>
      <c r="E501" s="2" t="n"/>
      <c r="F501" s="38">
        <f>ROUND(F500*Datos_balance!$B$4*Datos_balance!$B$5*Datos_balance!$B$6,1)</f>
        <v/>
      </c>
      <c r="G501" s="2" t="n"/>
      <c r="H501" s="2" t="n"/>
      <c r="I501" s="2" t="n"/>
    </row>
    <row r="502" ht="39.7" customHeight="1">
      <c r="A502" s="10" t="n"/>
      <c r="B502" s="11" t="inlineStr">
        <is>
          <t>Carga de locales sin emisor</t>
        </is>
      </c>
      <c r="C502" s="10" t="n"/>
      <c r="D502" s="2" t="n"/>
      <c r="E502" s="2" t="n"/>
      <c r="F502" s="30" t="n"/>
      <c r="G502" s="2" t="n"/>
      <c r="H502" s="2" t="n"/>
      <c r="I502" s="2" t="n"/>
    </row>
    <row r="503" ht="39.7" customHeight="1">
      <c r="A503" s="10" t="n"/>
      <c r="B503" s="35" t="inlineStr">
        <is>
          <t>CARGA TOTAL A CUBRIR</t>
        </is>
      </c>
      <c r="C503" s="10" t="n"/>
      <c r="D503" s="2" t="n"/>
      <c r="E503" s="2" t="n"/>
      <c r="F503" s="38">
        <f>F501+IF(F502="",0,F502)</f>
        <v/>
      </c>
      <c r="G503" s="2" t="n"/>
      <c r="H503" s="2" t="n"/>
      <c r="I503" s="2" t="n"/>
    </row>
    <row r="504">
      <c r="A504" s="2" t="n"/>
      <c r="B504" s="2" t="n"/>
      <c r="C504" s="2" t="n"/>
      <c r="D504" s="2" t="n"/>
      <c r="E504" s="2" t="n"/>
      <c r="F504" s="2" t="n"/>
      <c r="G504" s="2" t="n"/>
      <c r="H504" s="2" t="n"/>
      <c r="I504" s="2" t="n"/>
    </row>
    <row r="505" ht="62" customHeight="1">
      <c r="A505" s="10" t="n"/>
      <c r="B505" s="11" t="inlineStr">
        <is>
          <t>Salto termico:  dt = (te+ts)/2 - ti</t>
        </is>
      </c>
      <c r="C505" s="10">
        <f>TEXT((Datos_balance!$B$9+Datos_balance!$B$10)/2,"0")&amp;" - "&amp;TEXT(Datos_balance!$B$11,"0")&amp;" = "&amp;TEXT((Datos_balance!$B$9+Datos_balance!$B$10)/2-Datos_balance!$B$11,"0")&amp;" C"</f>
        <v/>
      </c>
      <c r="D505" s="2" t="n"/>
      <c r="E505" s="2" t="n"/>
      <c r="F505" s="10" t="n"/>
      <c r="G505" s="2" t="n"/>
      <c r="H505" s="2" t="n"/>
      <c r="I505" s="2" t="n"/>
    </row>
    <row r="506" ht="39.7" customHeight="1">
      <c r="A506" s="10" t="n"/>
      <c r="B506" s="11" t="inlineStr">
        <is>
          <t>Kcal/h del toallero Scala/Domino 80</t>
        </is>
      </c>
      <c r="C506" s="27">
        <f>ROUND(Datos_balance!$B$18*Datos_balance!$B$15,0)</f>
        <v/>
      </c>
      <c r="D506" s="2" t="n"/>
      <c r="E506" s="2" t="n"/>
      <c r="F506" s="10" t="n"/>
      <c r="G506" s="2" t="n"/>
      <c r="H506" s="2" t="n"/>
      <c r="I506" s="2" t="n"/>
    </row>
    <row r="507" ht="39.7" customHeight="1">
      <c r="A507" s="10" t="n"/>
      <c r="B507" s="11" t="inlineStr">
        <is>
          <t>Kcal/h del toallero Scala/Domino 150</t>
        </is>
      </c>
      <c r="C507" s="27">
        <f>ROUND(Datos_balance!$B$19*Datos_balance!$B$15,0)</f>
        <v/>
      </c>
      <c r="D507" s="2" t="n"/>
      <c r="E507" s="2" t="n"/>
      <c r="F507" s="10" t="n"/>
      <c r="G507" s="2" t="n"/>
      <c r="H507" s="2" t="n"/>
      <c r="I507" s="2" t="n"/>
    </row>
    <row r="508" ht="47" customHeight="1">
      <c r="A508" s="10" t="n"/>
      <c r="B508" s="11" t="inlineStr">
        <is>
          <t>Toalleros necesarios</t>
        </is>
      </c>
      <c r="C508" s="27">
        <f>IF(F503&lt;=Datos_balance!$B$18*Datos_balance!$B$15,1,ROUNDUP(F503/(Datos_balance!$B$19*Datos_balance!$B$15),0))</f>
        <v/>
      </c>
      <c r="D508" s="2" t="n"/>
      <c r="E508" s="2" t="n"/>
      <c r="F508" s="10" t="n"/>
      <c r="G508" s="2" t="n"/>
      <c r="H508" s="2" t="n"/>
      <c r="I508" s="2" t="n"/>
    </row>
    <row r="509" ht="47" customHeight="1">
      <c r="A509" s="14" t="n"/>
      <c r="B509" s="15" t="inlineStr">
        <is>
          <t>Toallero adoptado</t>
        </is>
      </c>
      <c r="C509" s="14">
        <f>IF(F503&lt;=Datos_balance!$B$18*Datos_balance!$B$15,"Peisa Scala / Domino 80  (500 x 800 mm)","Peisa Scala / Domino 150  (500 x 1500 mm)")</f>
        <v/>
      </c>
      <c r="D509" s="22" t="n"/>
      <c r="E509" s="22" t="n"/>
      <c r="F509" s="14" t="n"/>
      <c r="G509" s="2" t="n"/>
      <c r="H509" s="2" t="n"/>
      <c r="I509" s="2" t="n"/>
    </row>
    <row r="510">
      <c r="A510" s="2" t="n"/>
      <c r="B510" s="2" t="n"/>
      <c r="C510" s="2" t="n"/>
      <c r="D510" s="2" t="n"/>
      <c r="E510" s="2" t="n"/>
      <c r="F510" s="2" t="n"/>
      <c r="G510" s="2" t="n"/>
      <c r="H510" s="2" t="n"/>
      <c r="I510" s="2" t="n"/>
    </row>
    <row r="511" ht="39.7" customHeight="1">
      <c r="A511" s="2" t="n"/>
      <c r="B511" s="39" t="inlineStr">
        <is>
          <t>Ubicacion del local en planta</t>
        </is>
      </c>
      <c r="C511" s="2" t="n"/>
      <c r="D511" s="2" t="n"/>
      <c r="E511" s="2" t="n"/>
      <c r="F511" s="2" t="n"/>
      <c r="G511" s="2" t="n"/>
      <c r="H511" s="2" t="n"/>
      <c r="I511" s="2" t="n"/>
    </row>
    <row r="512" ht="39.7" customHeight="1"/>
    <row r="513" ht="39.7" customHeight="1"/>
    <row r="514" ht="39.7" customHeight="1"/>
    <row r="515" ht="39.7" customHeight="1"/>
    <row r="516" ht="39.7" customHeight="1"/>
    <row r="517" ht="39.7" customHeight="1"/>
    <row r="518" ht="39.7" customHeight="1"/>
  </sheetData>
  <mergeCells count="101">
    <mergeCell ref="C31:E31"/>
    <mergeCell ref="C80:E80"/>
    <mergeCell ref="A133:F133"/>
    <mergeCell ref="C202:E202"/>
    <mergeCell ref="C242:E242"/>
    <mergeCell ref="C329:E329"/>
    <mergeCell ref="A351:F351"/>
    <mergeCell ref="A3:F3"/>
    <mergeCell ref="C379:E379"/>
    <mergeCell ref="C331:E331"/>
    <mergeCell ref="C502:E502"/>
    <mergeCell ref="C507:E507"/>
    <mergeCell ref="C241:E241"/>
    <mergeCell ref="A263:F263"/>
    <mergeCell ref="A395:F395"/>
    <mergeCell ref="C243:E243"/>
    <mergeCell ref="C292:E292"/>
    <mergeCell ref="C165:E165"/>
    <mergeCell ref="C423:E423"/>
    <mergeCell ref="C293:E293"/>
    <mergeCell ref="C285:E285"/>
    <mergeCell ref="C465:E465"/>
    <mergeCell ref="C77:E77"/>
    <mergeCell ref="C34:E34"/>
    <mergeCell ref="C375:E375"/>
    <mergeCell ref="C74:E74"/>
    <mergeCell ref="C246:E246"/>
    <mergeCell ref="C417:E417"/>
    <mergeCell ref="C374:E374"/>
    <mergeCell ref="C205:E205"/>
    <mergeCell ref="C506:E506"/>
    <mergeCell ref="A438:F438"/>
    <mergeCell ref="C247:E247"/>
    <mergeCell ref="C418:E418"/>
    <mergeCell ref="C467:E467"/>
    <mergeCell ref="C380:E380"/>
    <mergeCell ref="C159:E159"/>
    <mergeCell ref="C337:E337"/>
    <mergeCell ref="C508:E508"/>
    <mergeCell ref="C32:E32"/>
    <mergeCell ref="C249:E249"/>
    <mergeCell ref="C381:E381"/>
    <mergeCell ref="C245:E245"/>
    <mergeCell ref="C509:E509"/>
    <mergeCell ref="C421:E421"/>
    <mergeCell ref="C33:E33"/>
    <mergeCell ref="C116:E116"/>
    <mergeCell ref="C79:E79"/>
    <mergeCell ref="C73:E73"/>
    <mergeCell ref="C35:E35"/>
    <mergeCell ref="A218:F218"/>
    <mergeCell ref="C333:E333"/>
    <mergeCell ref="C463:E463"/>
    <mergeCell ref="C117:E117"/>
    <mergeCell ref="C286:E286"/>
    <mergeCell ref="C466:E466"/>
    <mergeCell ref="C163:E163"/>
    <mergeCell ref="C115:E115"/>
    <mergeCell ref="A307:F307"/>
    <mergeCell ref="C287:E287"/>
    <mergeCell ref="C158:E158"/>
    <mergeCell ref="A180:F180"/>
    <mergeCell ref="C289:E289"/>
    <mergeCell ref="C72:E72"/>
    <mergeCell ref="C28:E28"/>
    <mergeCell ref="C78:E78"/>
    <mergeCell ref="A480:F480"/>
    <mergeCell ref="C248:E248"/>
    <mergeCell ref="C376:E376"/>
    <mergeCell ref="C419:E419"/>
    <mergeCell ref="C459:E459"/>
    <mergeCell ref="A49:F49"/>
    <mergeCell ref="C378:E378"/>
    <mergeCell ref="A1:F1"/>
    <mergeCell ref="A94:F94"/>
    <mergeCell ref="C461:E461"/>
    <mergeCell ref="C162:E162"/>
    <mergeCell ref="C460:E460"/>
    <mergeCell ref="C330:E330"/>
    <mergeCell ref="C382:E382"/>
    <mergeCell ref="C164:E164"/>
    <mergeCell ref="C335:E335"/>
    <mergeCell ref="C422:E422"/>
    <mergeCell ref="C291:E291"/>
    <mergeCell ref="C201:E201"/>
    <mergeCell ref="C503:E503"/>
    <mergeCell ref="C424:E424"/>
    <mergeCell ref="C27:E27"/>
    <mergeCell ref="C76:E76"/>
    <mergeCell ref="C203:E203"/>
    <mergeCell ref="C119:E119"/>
    <mergeCell ref="C425:E425"/>
    <mergeCell ref="C166:E166"/>
    <mergeCell ref="C160:E160"/>
    <mergeCell ref="C464:E464"/>
    <mergeCell ref="C334:E334"/>
    <mergeCell ref="C505:E505"/>
    <mergeCell ref="C290:E290"/>
    <mergeCell ref="C501:E501"/>
    <mergeCell ref="C29:E29"/>
    <mergeCell ref="C336:E336"/>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3,50 x 2,15 = 7,53 m2 corresponden</t>
        </is>
      </c>
    </row>
    <row r="12" ht="39.7" customHeight="1">
      <c r="A12" s="45" t="inlineStr"/>
      <c r="B12" s="46" t="inlineStr">
        <is>
          <t>0,84 y 0,28.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2026-10-27T20:43:33Z</dcterms:created>
  <dcterms:modified xmlns:dcterms="http://purl.org/dc/terms/" xmlns:xsi="http://www.w3.org/2001/XMLSchema-instance" xsi:type="dcterms:W3CDTF">2026-10-27T20:43:34Z</dcterms:modified>
</cp:coreProperties>
</file>