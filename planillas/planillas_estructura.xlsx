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columnas'!$A$1:$N$15</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14</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4</v>
      </c>
      <c r="O10" s="10" t="n">
        <v>25</v>
      </c>
      <c r="P10" s="25">
        <f>IF(NOT(ISNUMBER(I10)),"---",IF(I10&lt;=0,"---",IF(I10*100/(Datos_vigas!$B$8*AC10*K10^2*Datos_vigas!$B$5)&gt;=0.5,"REVISAR",MAX((1-SQRT(1-2*I10*100/(Datos_vigas!$B$8*AC10*K10^2*Datos_vigas!$B$5)))*AC10*K10*Datos_vigas!$B$5/Datos_vigas!$B$6,0.0033*J10*K10))))</f>
        <v/>
      </c>
      <c r="Q10" s="10" t="inlineStr">
        <is>
          <t>---</t>
        </is>
      </c>
      <c r="R10" s="10" t="inlineStr">
        <is>
          <t>---</t>
        </is>
      </c>
      <c r="S10" s="25">
        <f>F10/(J10*0.85*K10)</f>
        <v/>
      </c>
      <c r="T10" s="25">
        <f>G10/(J10*0.85*K10)</f>
        <v/>
      </c>
      <c r="U10" s="10" t="n">
        <v>8</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Armadura en 2 capas (rec. 6 cm).</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6</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15.96</v>
      </c>
      <c r="E11" s="10" t="n">
        <v>15</v>
      </c>
      <c r="F11" s="10" t="n">
        <v>30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02 del plano. Carga PROVISORIA por bajada automatica; es un piso, la real es mayor (ver Memoria, punto 5).</t>
        </is>
      </c>
      <c r="O11" s="9">
        <f>I11*PI()*(J11/10)^2/4</f>
        <v/>
      </c>
      <c r="P11" s="9">
        <f>Datos_columnas!$B$7*0.8*(0.85*Datos_columnas!$B$4*(G11-O11)+Datos_columnas!$B$5*O11)/1000</f>
        <v/>
      </c>
      <c r="Q11" s="38">
        <f>100*C11/(0.3*MIN(E11,F11))</f>
        <v/>
      </c>
      <c r="R11" s="9" t="n">
        <v>15.96</v>
      </c>
    </row>
    <row r="12" ht="17" customHeight="1">
      <c r="A12" s="26" t="n"/>
      <c r="B12" s="23" t="inlineStr">
        <is>
          <t>C5</t>
        </is>
      </c>
      <c r="C12" s="8" t="n">
        <v>3.15</v>
      </c>
      <c r="D12" s="37" t="n">
        <v>19.38</v>
      </c>
      <c r="E12" s="10" t="n">
        <v>20</v>
      </c>
      <c r="F12" s="10" t="n">
        <v>20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04 del plano. Carga PROVISORIA por bajada automatica; es un piso, la real es mayor (ver Memoria, punto 5).</t>
        </is>
      </c>
      <c r="O12" s="9">
        <f>I12*PI()*(J12/10)^2/4</f>
        <v/>
      </c>
      <c r="P12" s="9">
        <f>Datos_columnas!$B$7*0.8*(0.85*Datos_columnas!$B$4*(G12-O12)+Datos_columnas!$B$5*O12)/1000</f>
        <v/>
      </c>
      <c r="Q12" s="38">
        <f>100*C12/(0.3*MIN(E12,F12))</f>
        <v/>
      </c>
      <c r="R12" s="9" t="n">
        <v>19.38</v>
      </c>
    </row>
    <row r="13" ht="17" customHeight="1">
      <c r="A13" s="26" t="n"/>
      <c r="B13" s="23" t="inlineStr">
        <is>
          <t>C6</t>
        </is>
      </c>
      <c r="C13" s="8" t="n">
        <v>3.15</v>
      </c>
      <c r="D13" s="37" t="n">
        <v>27.95</v>
      </c>
      <c r="E13" s="10" t="n">
        <v>30</v>
      </c>
      <c r="F13" s="10" t="n">
        <v>15</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03 del plano. Carga PROVISORIA por bajada automatica; es un piso, la real es mayor (ver Memoria, punto 5).</t>
        </is>
      </c>
      <c r="O13" s="9">
        <f>I13*PI()*(J13/10)^2/4</f>
        <v/>
      </c>
      <c r="P13" s="9">
        <f>Datos_columnas!$B$7*0.8*(0.85*Datos_columnas!$B$4*(G13-O13)+Datos_columnas!$B$5*O13)/1000</f>
        <v/>
      </c>
      <c r="Q13" s="38">
        <f>100*C13/(0.3*MIN(E13,F13))</f>
        <v/>
      </c>
      <c r="R13" s="9" t="n">
        <v>27.95</v>
      </c>
    </row>
    <row r="14" ht="17" customHeight="1">
      <c r="A14" s="26" t="n"/>
      <c r="B14" s="23" t="inlineStr">
        <is>
          <t>C7</t>
        </is>
      </c>
      <c r="C14" s="8" t="n">
        <v>3.15</v>
      </c>
      <c r="D14" s="37" t="n">
        <v>50.09</v>
      </c>
      <c r="E14" s="10" t="n">
        <v>15</v>
      </c>
      <c r="F14" s="10" t="n">
        <v>30</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02 del plano. Carga PROVISORIA por bajada automatica; es un piso, la real es mayor (ver Memoria, punto 5).</t>
        </is>
      </c>
      <c r="O14" s="9">
        <f>I14*PI()*(J14/10)^2/4</f>
        <v/>
      </c>
      <c r="P14" s="9">
        <f>Datos_columnas!$B$7*0.8*(0.85*Datos_columnas!$B$4*(G14-O14)+Datos_columnas!$B$5*O14)/1000</f>
        <v/>
      </c>
      <c r="Q14" s="38">
        <f>100*C14/(0.3*MIN(E14,F14))</f>
        <v/>
      </c>
      <c r="R14" s="9" t="n">
        <v>50.09</v>
      </c>
    </row>
    <row r="15" ht="17" customHeight="1">
      <c r="A15" s="27" t="n"/>
      <c r="B15" s="28" t="inlineStr">
        <is>
          <t>C8</t>
        </is>
      </c>
      <c r="C15" s="15" t="n">
        <v>3.15</v>
      </c>
      <c r="D15" s="39" t="n">
        <v>49.7</v>
      </c>
      <c r="E15" s="17" t="n">
        <v>15</v>
      </c>
      <c r="F15" s="17" t="n">
        <v>30</v>
      </c>
      <c r="G15" s="18">
        <f>E15*F15</f>
        <v/>
      </c>
      <c r="H15" s="30">
        <f>Datos_columnas!$B$8*G15</f>
        <v/>
      </c>
      <c r="I15" s="17" t="n">
        <v>4</v>
      </c>
      <c r="J15" s="17" t="n">
        <v>12</v>
      </c>
      <c r="K15" s="17" t="n">
        <v>6</v>
      </c>
      <c r="L15" s="18">
        <f>FLOOR(MIN(12*J15/10,48*K15/10,MIN(E15,F15)),5)</f>
        <v/>
      </c>
      <c r="M15" s="18">
        <f>IF(D15="","FALTA CARGA",IF(O15&lt;H15,"ARM. INSUFIC.",IF(D15&gt;P15,"NO VERIFICA",IF(D15&gt;0.85*P15,"AL LIMITE",IF(Q15&gt;34,"VERIF. ESBELTEZ","VERIFICA")))))</f>
        <v/>
      </c>
      <c r="N15" s="20" t="inlineStr">
        <is>
          <t>COL 02 del plano. Carga PROVISORIA por bajada automatica; es un piso, la real es mayor (ver Memoria, punto 5).</t>
        </is>
      </c>
      <c r="O15" s="16">
        <f>I15*PI()*(J15/10)^2/4</f>
        <v/>
      </c>
      <c r="P15" s="16">
        <f>Datos_columnas!$B$7*0.8*(0.85*Datos_columnas!$B$4*(G15-O15)+Datos_columnas!$B$5*O15)/1000</f>
        <v/>
      </c>
      <c r="Q15" s="40">
        <f>100*C15/(0.3*MIN(E15,F15))</f>
        <v/>
      </c>
      <c r="R15" s="16" t="n">
        <v>49.7</v>
      </c>
    </row>
  </sheetData>
  <mergeCells count="13">
    <mergeCell ref="A4:A7"/>
    <mergeCell ref="E2:G2"/>
    <mergeCell ref="A8:A15"/>
    <mergeCell ref="N2:N3"/>
    <mergeCell ref="K2:L2"/>
    <mergeCell ref="D2:D3"/>
    <mergeCell ref="H2:J2"/>
    <mergeCell ref="B2:B3"/>
    <mergeCell ref="A2:A3"/>
    <mergeCell ref="A1:R1"/>
    <mergeCell ref="C2:C3"/>
    <mergeCell ref="M2:M3"/>
    <mergeCell ref="O2:R2"/>
  </mergeCells>
  <conditionalFormatting sqref="M4:M15">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5 K4:K15"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C4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t>
        </is>
      </c>
      <c r="C8" s="11" t="inlineStr">
        <is>
          <t>CBZ 01</t>
        </is>
      </c>
      <c r="D8" s="10" t="n">
        <v>70</v>
      </c>
      <c r="E8" s="10" t="n">
        <v>70</v>
      </c>
      <c r="F8" s="10" t="n">
        <v>65</v>
      </c>
      <c r="G8" s="8" t="n"/>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t>
        </is>
      </c>
    </row>
    <row r="9" ht="17" customHeight="1">
      <c r="A9" s="23" t="inlineStr">
        <is>
          <t>CB6</t>
        </is>
      </c>
      <c r="B9" s="11" t="inlineStr">
        <is>
          <t>C5 (20x20)</t>
        </is>
      </c>
      <c r="C9" s="11" t="inlineStr">
        <is>
          <t>CBZ 03</t>
        </is>
      </c>
      <c r="D9" s="10" t="n">
        <v>144</v>
      </c>
      <c r="E9" s="10" t="n">
        <v>70</v>
      </c>
      <c r="F9" s="10" t="n">
        <v>70</v>
      </c>
      <c r="G9" s="8" t="n">
        <v>19.38</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C6 (30x15)</t>
        </is>
      </c>
      <c r="C10" s="11" t="inlineStr">
        <is>
          <t>CBZ 02</t>
        </is>
      </c>
      <c r="D10" s="10" t="n">
        <v>129</v>
      </c>
      <c r="E10" s="10" t="n">
        <v>70</v>
      </c>
      <c r="F10" s="10" t="n">
        <v>70</v>
      </c>
      <c r="G10" s="8" t="n">
        <v>27.95</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C8 (15x30)</t>
        </is>
      </c>
      <c r="C11" s="11" t="inlineStr">
        <is>
          <t>CBZ 03</t>
        </is>
      </c>
      <c r="D11" s="10" t="n">
        <v>144</v>
      </c>
      <c r="E11" s="10" t="n">
        <v>70</v>
      </c>
      <c r="F11" s="10" t="n">
        <v>70</v>
      </c>
      <c r="G11" s="8" t="n">
        <v>49.7</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C7 (15x30)</t>
        </is>
      </c>
      <c r="C12" s="18" t="inlineStr">
        <is>
          <t>CBZ 02</t>
        </is>
      </c>
      <c r="D12" s="17" t="n">
        <v>129</v>
      </c>
      <c r="E12" s="17" t="n">
        <v>70</v>
      </c>
      <c r="F12" s="17" t="n">
        <v>70</v>
      </c>
      <c r="G12" s="15" t="n">
        <v>50.09</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L2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9" customWidth="1" min="8" max="8"/>
    <col width="10" customWidth="1" min="9" max="9"/>
    <col width="11" customWidth="1" min="10" max="10"/>
    <col width="14" customWidth="1" min="11" max="11"/>
    <col width="46" customWidth="1" min="12" max="12"/>
  </cols>
  <sheetData>
    <row r="1" ht="22" customHeight="1">
      <c r="A1" s="21" t="inlineStr">
        <is>
          <t>TABIQUES DE H°A°        H-21        ACERO 42/50        espesor 12 cm</t>
        </is>
      </c>
      <c r="B1" s="2" t="n"/>
      <c r="C1" s="2" t="n"/>
      <c r="D1" s="2" t="n"/>
      <c r="E1" s="2" t="n"/>
      <c r="F1" s="2" t="n"/>
      <c r="G1" s="2" t="n"/>
      <c r="H1" s="2" t="n"/>
      <c r="I1" s="2" t="n"/>
      <c r="J1" s="2" t="n"/>
      <c r="K1" s="2" t="n"/>
      <c r="L1" s="2" t="n"/>
    </row>
    <row r="2" ht="16" customHeight="1">
      <c r="A2" s="3" t="inlineStr">
        <is>
          <t>NIVEL</t>
        </is>
      </c>
      <c r="B2" s="3" t="inlineStr">
        <is>
          <t>POSICION</t>
        </is>
      </c>
      <c r="C2" s="3" t="inlineStr">
        <is>
          <t>DIMENSIONES</t>
        </is>
      </c>
      <c r="D2" s="4" t="n"/>
      <c r="E2" s="4" t="n"/>
      <c r="F2" s="3" t="inlineStr">
        <is>
          <t>CARGA (t)</t>
        </is>
      </c>
      <c r="G2" s="3" t="inlineStr">
        <is>
          <t>N por metro (t/m)</t>
        </is>
      </c>
      <c r="H2" s="3" t="inlineStr">
        <is>
          <t>CAPACIDAD</t>
        </is>
      </c>
      <c r="I2" s="4" t="n"/>
      <c r="J2" s="4" t="n"/>
      <c r="K2" s="3" t="inlineStr">
        <is>
          <t>VERIFICACION</t>
        </is>
      </c>
      <c r="L2" s="3" t="inlineStr">
        <is>
          <t>OBSERVACIONES</t>
        </is>
      </c>
    </row>
    <row r="3" ht="28" customHeight="1">
      <c r="A3" s="4" t="n"/>
      <c r="B3" s="4" t="n"/>
      <c r="C3" s="5" t="inlineStr">
        <is>
          <t>espesor (cm)</t>
        </is>
      </c>
      <c r="D3" s="5" t="inlineStr">
        <is>
          <t>largo (m)</t>
        </is>
      </c>
      <c r="E3" s="5" t="inlineStr">
        <is>
          <t>alto (m)</t>
        </is>
      </c>
      <c r="F3" s="4" t="n"/>
      <c r="G3" s="4" t="n"/>
      <c r="H3" s="5" t="inlineStr">
        <is>
          <t>esbeltez</t>
        </is>
      </c>
      <c r="I3" s="5" t="inlineStr">
        <is>
          <t>reduccion</t>
        </is>
      </c>
      <c r="J3" s="5" t="inlineStr">
        <is>
          <t>fi Pn (t/m)</t>
        </is>
      </c>
      <c r="K3" s="4" t="n"/>
      <c r="L3" s="4" t="n"/>
    </row>
    <row r="4">
      <c r="A4" s="6" t="inlineStr">
        <is>
          <t>PB   (altura de entrepiso)</t>
        </is>
      </c>
      <c r="B4" s="4" t="n"/>
      <c r="C4" s="4" t="n"/>
      <c r="D4" s="4" t="n"/>
      <c r="E4" s="4" t="n"/>
      <c r="F4" s="4" t="n"/>
      <c r="G4" s="4" t="n"/>
      <c r="H4" s="4" t="n"/>
      <c r="I4" s="4" t="n"/>
      <c r="J4" s="4" t="n"/>
      <c r="K4" s="4" t="n"/>
      <c r="L4" s="4" t="n"/>
    </row>
    <row r="5" ht="17" customHeight="1">
      <c r="A5" s="11" t="n"/>
      <c r="B5" s="23" t="inlineStr">
        <is>
          <t>T01a</t>
        </is>
      </c>
      <c r="C5" s="10" t="n">
        <v>12</v>
      </c>
      <c r="D5" s="8" t="n">
        <v>0.9</v>
      </c>
      <c r="E5" s="8" t="n">
        <v>3.15</v>
      </c>
      <c r="F5" s="8" t="n">
        <v>6.16</v>
      </c>
      <c r="G5" s="25">
        <f>IF(F5="","",F5/D5)</f>
        <v/>
      </c>
      <c r="H5" s="38">
        <f>E5*100/C5</f>
        <v/>
      </c>
      <c r="I5" s="33">
        <f>MAX(0,1-(E5*100/(32*C5))^2)</f>
        <v/>
      </c>
      <c r="J5" s="9">
        <f>0.55*0.65*Datos_vigas!$B$5*(100*C5)*I5/1000</f>
        <v/>
      </c>
      <c r="K5" s="11">
        <f>IF(G5="","FALTA CARGA",IF(G5&lt;=J5,"VERIFICA","NO VERIFICA"))</f>
        <v/>
      </c>
      <c r="L5" s="13" t="inlineStr">
        <is>
          <t>Recibe el extremo de VI 01a.</t>
        </is>
      </c>
    </row>
    <row r="6" ht="17" customHeight="1">
      <c r="A6" s="11" t="n"/>
      <c r="B6" s="23" t="inlineStr">
        <is>
          <t>T01b</t>
        </is>
      </c>
      <c r="C6" s="10" t="n">
        <v>12</v>
      </c>
      <c r="D6" s="8" t="n">
        <v>0.9</v>
      </c>
      <c r="E6" s="8" t="n">
        <v>3.15</v>
      </c>
      <c r="F6" s="42" t="n"/>
      <c r="G6" s="25">
        <f>IF(F6="","",F6/D6)</f>
        <v/>
      </c>
      <c r="H6" s="38">
        <f>E6*100/C6</f>
        <v/>
      </c>
      <c r="I6" s="33">
        <f>MAX(0,1-(E6*100/(32*C6))^2)</f>
        <v/>
      </c>
      <c r="J6" s="9">
        <f>0.55*0.65*Datos_vigas!$B$5*(100*C6)*I6/1000</f>
        <v/>
      </c>
      <c r="K6" s="11">
        <f>IF(G6="","FALTA CARGA",IF(G6&lt;=J6,"VERIFICA","NO VERIFICA"))</f>
        <v/>
      </c>
      <c r="L6" s="13" t="inlineStr">
        <is>
          <t>Falta la carga que recibe. Mientras tanto no se puede verificar.</t>
        </is>
      </c>
    </row>
    <row r="7" ht="17" customHeight="1">
      <c r="A7" s="11" t="n"/>
      <c r="B7" s="23" t="inlineStr">
        <is>
          <t>T02</t>
        </is>
      </c>
      <c r="C7" s="10" t="n">
        <v>12</v>
      </c>
      <c r="D7" s="8" t="n">
        <v>0.9</v>
      </c>
      <c r="E7" s="8" t="n">
        <v>3.15</v>
      </c>
      <c r="F7" s="42" t="n"/>
      <c r="G7" s="25">
        <f>IF(F7="","",F7/D7)</f>
        <v/>
      </c>
      <c r="H7" s="38">
        <f>E7*100/C7</f>
        <v/>
      </c>
      <c r="I7" s="33">
        <f>MAX(0,1-(E7*100/(32*C7))^2)</f>
        <v/>
      </c>
      <c r="J7" s="9">
        <f>0.55*0.65*Datos_vigas!$B$5*(100*C7)*I7/1000</f>
        <v/>
      </c>
      <c r="K7" s="11">
        <f>IF(G7="","FALTA CARGA",IF(G7&lt;=J7,"VERIFICA","NO VERIFICA"))</f>
        <v/>
      </c>
      <c r="L7" s="13" t="inlineStr">
        <is>
          <t>Falta la carga que recibe. Mientras tanto no se puede verificar.</t>
        </is>
      </c>
    </row>
    <row r="8" ht="17" customHeight="1">
      <c r="A8" s="11" t="n"/>
      <c r="B8" s="23" t="inlineStr">
        <is>
          <t>T03</t>
        </is>
      </c>
      <c r="C8" s="10" t="n">
        <v>12</v>
      </c>
      <c r="D8" s="8" t="n">
        <v>3.75</v>
      </c>
      <c r="E8" s="8" t="n">
        <v>3.15</v>
      </c>
      <c r="F8" s="42" t="n"/>
      <c r="G8" s="25">
        <f>IF(F8="","",F8/D8)</f>
        <v/>
      </c>
      <c r="H8" s="38">
        <f>E8*100/C8</f>
        <v/>
      </c>
      <c r="I8" s="33">
        <f>MAX(0,1-(E8*100/(32*C8))^2)</f>
        <v/>
      </c>
      <c r="J8" s="9">
        <f>0.55*0.65*Datos_vigas!$B$5*(100*C8)*I8/1000</f>
        <v/>
      </c>
      <c r="K8" s="11">
        <f>IF(G8="","FALTA CARGA",IF(G8&lt;=J8,"VERIFICA","NO VERIFICA"))</f>
        <v/>
      </c>
      <c r="L8" s="13" t="inlineStr">
        <is>
          <t>No se habia detectado en el plano: aparece en el computo. Falta la carga que recibe. Mientras tanto no se puede verificar.</t>
        </is>
      </c>
    </row>
    <row r="9" ht="17" customHeight="1">
      <c r="A9" s="11" t="n"/>
      <c r="B9" s="23" t="inlineStr">
        <is>
          <t>T04a</t>
        </is>
      </c>
      <c r="C9" s="10" t="n">
        <v>12</v>
      </c>
      <c r="D9" s="8" t="n">
        <v>0.73</v>
      </c>
      <c r="E9" s="8" t="n">
        <v>3.15</v>
      </c>
      <c r="F9" s="42" t="n"/>
      <c r="G9" s="25">
        <f>IF(F9="","",F9/D9)</f>
        <v/>
      </c>
      <c r="H9" s="38">
        <f>E9*100/C9</f>
        <v/>
      </c>
      <c r="I9" s="33">
        <f>MAX(0,1-(E9*100/(32*C9))^2)</f>
        <v/>
      </c>
      <c r="J9" s="9">
        <f>0.55*0.65*Datos_vigas!$B$5*(100*C9)*I9/1000</f>
        <v/>
      </c>
      <c r="K9" s="11">
        <f>IF(G9="","FALTA CARGA",IF(G9&lt;=J9,"VERIFICA","NO VERIFICA"))</f>
        <v/>
      </c>
      <c r="L9" s="13" t="inlineStr">
        <is>
          <t>Falta la carga que recibe. Mientras tanto no se puede verificar.</t>
        </is>
      </c>
    </row>
    <row r="10" ht="17" customHeight="1">
      <c r="A10" s="11" t="n"/>
      <c r="B10" s="23" t="inlineStr">
        <is>
          <t>T04b</t>
        </is>
      </c>
      <c r="C10" s="10" t="n">
        <v>12</v>
      </c>
      <c r="D10" s="8" t="n">
        <v>0.73</v>
      </c>
      <c r="E10" s="8" t="n">
        <v>3.15</v>
      </c>
      <c r="F10" s="42" t="n"/>
      <c r="G10" s="25">
        <f>IF(F10="","",F10/D10)</f>
        <v/>
      </c>
      <c r="H10" s="38">
        <f>E10*100/C10</f>
        <v/>
      </c>
      <c r="I10" s="33">
        <f>MAX(0,1-(E10*100/(32*C10))^2)</f>
        <v/>
      </c>
      <c r="J10" s="9">
        <f>0.55*0.65*Datos_vigas!$B$5*(100*C10)*I10/1000</f>
        <v/>
      </c>
      <c r="K10" s="11">
        <f>IF(G10="","FALTA CARGA",IF(G10&lt;=J10,"VERIFICA","NO VERIFICA"))</f>
        <v/>
      </c>
      <c r="L10" s="13" t="inlineStr">
        <is>
          <t>En el plano solo figura en la planta de fundacion. Falta la carga que recibe. Mientras tanto no se puede verificar.</t>
        </is>
      </c>
    </row>
    <row r="11" ht="17" customHeight="1">
      <c r="A11" s="11" t="n"/>
      <c r="B11" s="23" t="inlineStr">
        <is>
          <t>T05a</t>
        </is>
      </c>
      <c r="C11" s="10" t="n">
        <v>12</v>
      </c>
      <c r="D11" s="8" t="n">
        <v>2.7</v>
      </c>
      <c r="E11" s="8" t="n">
        <v>3.15</v>
      </c>
      <c r="F11" s="42" t="n"/>
      <c r="G11" s="25">
        <f>IF(F11="","",F11/D11)</f>
        <v/>
      </c>
      <c r="H11" s="38">
        <f>E11*100/C11</f>
        <v/>
      </c>
      <c r="I11" s="33">
        <f>MAX(0,1-(E11*100/(32*C11))^2)</f>
        <v/>
      </c>
      <c r="J11" s="9">
        <f>0.55*0.65*Datos_vigas!$B$5*(100*C11)*I11/1000</f>
        <v/>
      </c>
      <c r="K11" s="11">
        <f>IF(G11="","FALTA CARGA",IF(G11&lt;=J11,"VERIFICA","NO VERIFICA"))</f>
        <v/>
      </c>
      <c r="L11" s="13" t="inlineStr">
        <is>
          <t>Falta la carga que recibe. Mientras tanto no se puede verificar.</t>
        </is>
      </c>
    </row>
    <row r="12" ht="17" customHeight="1">
      <c r="A12" s="11" t="n"/>
      <c r="B12" s="23" t="inlineStr">
        <is>
          <t>T05b</t>
        </is>
      </c>
      <c r="C12" s="10" t="n">
        <v>12</v>
      </c>
      <c r="D12" s="8" t="n">
        <v>2</v>
      </c>
      <c r="E12" s="8" t="n">
        <v>3.15</v>
      </c>
      <c r="F12" s="8" t="n">
        <v>25.47</v>
      </c>
      <c r="G12" s="25">
        <f>IF(F12="","",F12/D12)</f>
        <v/>
      </c>
      <c r="H12" s="38">
        <f>E12*100/C12</f>
        <v/>
      </c>
      <c r="I12" s="33">
        <f>MAX(0,1-(E12*100/(32*C12))^2)</f>
        <v/>
      </c>
      <c r="J12" s="9">
        <f>0.55*0.65*Datos_vigas!$B$5*(100*C12)*I12/1000</f>
        <v/>
      </c>
      <c r="K12" s="11">
        <f>IF(G12="","FALTA CARGA",IF(G12&lt;=J12,"VERIFICA","NO VERIFICA"))</f>
        <v/>
      </c>
      <c r="L12" s="13" t="inlineStr">
        <is>
          <t>Recibe el extremo de VI 07c.</t>
        </is>
      </c>
    </row>
    <row r="13" ht="17" customHeight="1">
      <c r="A13" s="11" t="n"/>
      <c r="B13" s="23" t="inlineStr">
        <is>
          <t>T06a</t>
        </is>
      </c>
      <c r="C13" s="10" t="n">
        <v>12</v>
      </c>
      <c r="D13" s="8" t="n">
        <v>0.9</v>
      </c>
      <c r="E13" s="8" t="n">
        <v>3.15</v>
      </c>
      <c r="F13" s="42" t="n"/>
      <c r="G13" s="25">
        <f>IF(F13="","",F13/D13)</f>
        <v/>
      </c>
      <c r="H13" s="38">
        <f>E13*100/C13</f>
        <v/>
      </c>
      <c r="I13" s="33">
        <f>MAX(0,1-(E13*100/(32*C13))^2)</f>
        <v/>
      </c>
      <c r="J13" s="9">
        <f>0.55*0.65*Datos_vigas!$B$5*(100*C13)*I13/1000</f>
        <v/>
      </c>
      <c r="K13" s="11">
        <f>IF(G13="","FALTA CARGA",IF(G13&lt;=J13,"VERIFICA","NO VERIFICA"))</f>
        <v/>
      </c>
      <c r="L13" s="13" t="inlineStr">
        <is>
          <t>Falta la carga que recibe. Mientras tanto no se puede verificar.</t>
        </is>
      </c>
    </row>
    <row r="14" ht="17" customHeight="1">
      <c r="A14" s="11" t="n"/>
      <c r="B14" s="23" t="inlineStr">
        <is>
          <t>T06b</t>
        </is>
      </c>
      <c r="C14" s="10" t="n">
        <v>12</v>
      </c>
      <c r="D14" s="8" t="n">
        <v>5.55</v>
      </c>
      <c r="E14" s="8" t="n">
        <v>3.15</v>
      </c>
      <c r="F14" s="42" t="n"/>
      <c r="G14" s="25">
        <f>IF(F14="","",F14/D14)</f>
        <v/>
      </c>
      <c r="H14" s="38">
        <f>E14*100/C14</f>
        <v/>
      </c>
      <c r="I14" s="33">
        <f>MAX(0,1-(E14*100/(32*C14))^2)</f>
        <v/>
      </c>
      <c r="J14" s="9">
        <f>0.55*0.65*Datos_vigas!$B$5*(100*C14)*I14/1000</f>
        <v/>
      </c>
      <c r="K14" s="11">
        <f>IF(G14="","FALTA CARGA",IF(G14&lt;=J14,"VERIFICA","NO VERIFICA"))</f>
        <v/>
      </c>
      <c r="L14" s="13" t="inlineStr">
        <is>
          <t>Perpendicular a las vigas chatas, en la union de VCH 03a con VCH 03b. Falta la carga que recibe. Mientras tanto no se puede verificar.</t>
        </is>
      </c>
    </row>
    <row r="15" ht="17" customHeight="1">
      <c r="A15" s="11" t="n"/>
      <c r="B15" s="23" t="inlineStr">
        <is>
          <t>T06c</t>
        </is>
      </c>
      <c r="C15" s="10" t="n">
        <v>12</v>
      </c>
      <c r="D15" s="8" t="n">
        <v>1</v>
      </c>
      <c r="E15" s="8" t="n">
        <v>3.15</v>
      </c>
      <c r="F15" s="42" t="n"/>
      <c r="G15" s="25">
        <f>IF(F15="","",F15/D15)</f>
        <v/>
      </c>
      <c r="H15" s="38">
        <f>E15*100/C15</f>
        <v/>
      </c>
      <c r="I15" s="33">
        <f>MAX(0,1-(E15*100/(32*C15))^2)</f>
        <v/>
      </c>
      <c r="J15" s="9">
        <f>0.55*0.65*Datos_vigas!$B$5*(100*C15)*I15/1000</f>
        <v/>
      </c>
      <c r="K15" s="11">
        <f>IF(G15="","FALTA CARGA",IF(G15&lt;=J15,"VERIFICA","NO VERIFICA"))</f>
        <v/>
      </c>
      <c r="L15" s="13" t="inlineStr">
        <is>
          <t>Falta la carga que recibe. Mientras tanto no se puede verificar.</t>
        </is>
      </c>
    </row>
    <row r="16" ht="17" customHeight="1">
      <c r="A16" s="11" t="n"/>
      <c r="B16" s="23" t="inlineStr">
        <is>
          <t>T07</t>
        </is>
      </c>
      <c r="C16" s="10" t="n">
        <v>12</v>
      </c>
      <c r="D16" s="8" t="n">
        <v>0.98</v>
      </c>
      <c r="E16" s="8" t="n">
        <v>3.15</v>
      </c>
      <c r="F16" s="8" t="n">
        <v>21.12</v>
      </c>
      <c r="G16" s="25">
        <f>IF(F16="","",F16/D16)</f>
        <v/>
      </c>
      <c r="H16" s="38">
        <f>E16*100/C16</f>
        <v/>
      </c>
      <c r="I16" s="33">
        <f>MAX(0,1-(E16*100/(32*C16))^2)</f>
        <v/>
      </c>
      <c r="J16" s="9">
        <f>0.55*0.65*Datos_vigas!$B$5*(100*C16)*I16/1000</f>
        <v/>
      </c>
      <c r="K16" s="11">
        <f>IF(G16="","FALTA CARGA",IF(G16&lt;=J16,"VERIFICA","NO VERIFICA"))</f>
        <v/>
      </c>
      <c r="L16" s="13" t="inlineStr">
        <is>
          <t>Recibe el extremo de VI 02, perpendicular.</t>
        </is>
      </c>
    </row>
    <row r="17" ht="17" customHeight="1">
      <c r="A17" s="11" t="n"/>
      <c r="B17" s="23" t="inlineStr">
        <is>
          <t>T08a</t>
        </is>
      </c>
      <c r="C17" s="10" t="n">
        <v>12</v>
      </c>
      <c r="D17" s="8" t="n">
        <v>2.9</v>
      </c>
      <c r="E17" s="8" t="n">
        <v>3.15</v>
      </c>
      <c r="F17" s="8" t="n">
        <v>14.6</v>
      </c>
      <c r="G17" s="25">
        <f>IF(F17="","",F17/D17)</f>
        <v/>
      </c>
      <c r="H17" s="38">
        <f>E17*100/C17</f>
        <v/>
      </c>
      <c r="I17" s="33">
        <f>MAX(0,1-(E17*100/(32*C17))^2)</f>
        <v/>
      </c>
      <c r="J17" s="9">
        <f>0.55*0.65*Datos_vigas!$B$5*(100*C17)*I17/1000</f>
        <v/>
      </c>
      <c r="K17" s="11">
        <f>IF(G17="","FALTA CARGA",IF(G17&lt;=J17,"VERIFICA","NO VERIFICA"))</f>
        <v/>
      </c>
      <c r="L17" s="13" t="inlineStr">
        <is>
          <t>Recibe el extremo de VI 11a.</t>
        </is>
      </c>
    </row>
    <row r="18" ht="17" customHeight="1">
      <c r="A18" s="18" t="n"/>
      <c r="B18" s="28" t="inlineStr">
        <is>
          <t>T08b</t>
        </is>
      </c>
      <c r="C18" s="17" t="n">
        <v>12</v>
      </c>
      <c r="D18" s="15" t="n">
        <v>4.2</v>
      </c>
      <c r="E18" s="15" t="n">
        <v>3.15</v>
      </c>
      <c r="F18" s="43" t="n"/>
      <c r="G18" s="30">
        <f>IF(F18="","",F18/D18)</f>
        <v/>
      </c>
      <c r="H18" s="40">
        <f>E18*100/C18</f>
        <v/>
      </c>
      <c r="I18" s="35">
        <f>MAX(0,1-(E18*100/(32*C18))^2)</f>
        <v/>
      </c>
      <c r="J18" s="16">
        <f>0.55*0.65*Datos_vigas!$B$5*(100*C18)*I18/1000</f>
        <v/>
      </c>
      <c r="K18" s="18">
        <f>IF(G18="","FALTA CARGA",IF(G18&lt;=J18,"VERIFICA","NO VERIFICA"))</f>
        <v/>
      </c>
      <c r="L18" s="20" t="inlineStr">
        <is>
          <t>Falta la carga que recibe. Mientras tanto no se puede verificar.</t>
        </is>
      </c>
    </row>
    <row r="19">
      <c r="A19" s="6" t="inlineStr">
        <is>
          <t>PA   (altura de entrepiso)</t>
        </is>
      </c>
      <c r="B19" s="4" t="n"/>
      <c r="C19" s="4" t="n"/>
      <c r="D19" s="4" t="n"/>
      <c r="E19" s="4" t="n"/>
      <c r="F19" s="4" t="n"/>
      <c r="G19" s="4" t="n"/>
      <c r="H19" s="4" t="n"/>
      <c r="I19" s="4" t="n"/>
      <c r="J19" s="4" t="n"/>
      <c r="K19" s="4" t="n"/>
      <c r="L19" s="4" t="n"/>
    </row>
    <row r="20" ht="17" customHeight="1">
      <c r="A20" s="11" t="n"/>
      <c r="B20" s="23" t="inlineStr">
        <is>
          <t>T09</t>
        </is>
      </c>
      <c r="C20" s="10" t="n">
        <v>12</v>
      </c>
      <c r="D20" s="8" t="n">
        <v>3.75</v>
      </c>
      <c r="E20" s="8" t="n">
        <v>3.2</v>
      </c>
      <c r="F20" s="42" t="n"/>
      <c r="G20" s="25">
        <f>IF(F20="","",F20/D20)</f>
        <v/>
      </c>
      <c r="H20" s="38">
        <f>E20*100/C20</f>
        <v/>
      </c>
      <c r="I20" s="33">
        <f>MAX(0,1-(E20*100/(32*C20))^2)</f>
        <v/>
      </c>
      <c r="J20" s="9">
        <f>0.55*0.65*Datos_vigas!$B$5*(100*C20)*I20/1000</f>
        <v/>
      </c>
      <c r="K20" s="11">
        <f>IF(G20="","FALTA CARGA",IF(G20&lt;=J20,"VERIFICA","NO VERIFICA"))</f>
        <v/>
      </c>
      <c r="L20" s="13" t="inlineStr">
        <is>
          <t>Falta la carga que recibe. Mientras tanto no se puede verificar.</t>
        </is>
      </c>
    </row>
    <row r="21" ht="17" customHeight="1">
      <c r="A21" s="11" t="n"/>
      <c r="B21" s="23" t="inlineStr">
        <is>
          <t>T10</t>
        </is>
      </c>
      <c r="C21" s="10" t="n">
        <v>12</v>
      </c>
      <c r="D21" s="8" t="n">
        <v>1.7</v>
      </c>
      <c r="E21" s="8" t="n">
        <v>2.6</v>
      </c>
      <c r="F21" s="42" t="n"/>
      <c r="G21" s="25">
        <f>IF(F21="","",F21/D21)</f>
        <v/>
      </c>
      <c r="H21" s="38">
        <f>E21*100/C21</f>
        <v/>
      </c>
      <c r="I21" s="33">
        <f>MAX(0,1-(E21*100/(32*C21))^2)</f>
        <v/>
      </c>
      <c r="J21" s="9">
        <f>0.55*0.65*Datos_vigas!$B$5*(100*C21)*I21/1000</f>
        <v/>
      </c>
      <c r="K21" s="11">
        <f>IF(G21="","FALTA CARGA",IF(G21&lt;=J21,"VERIFICA","NO VERIFICA"))</f>
        <v/>
      </c>
      <c r="L21" s="13" t="inlineStr">
        <is>
          <t>Falta la carga que recibe. Mientras tanto no se puede verificar.</t>
        </is>
      </c>
    </row>
    <row r="22" ht="17" customHeight="1">
      <c r="A22" s="11" t="n"/>
      <c r="B22" s="23" t="inlineStr">
        <is>
          <t>T11</t>
        </is>
      </c>
      <c r="C22" s="10" t="n">
        <v>12</v>
      </c>
      <c r="D22" s="8" t="n">
        <v>0.28</v>
      </c>
      <c r="E22" s="8" t="n">
        <v>2.6</v>
      </c>
      <c r="F22" s="42" t="n"/>
      <c r="G22" s="25">
        <f>IF(F22="","",F22/D22)</f>
        <v/>
      </c>
      <c r="H22" s="38">
        <f>E22*100/C22</f>
        <v/>
      </c>
      <c r="I22" s="33">
        <f>MAX(0,1-(E22*100/(32*C22))^2)</f>
        <v/>
      </c>
      <c r="J22" s="9">
        <f>0.55*0.65*Datos_vigas!$B$5*(100*C22)*I22/1000</f>
        <v/>
      </c>
      <c r="K22" s="11">
        <f>IF(G22="","FALTA CARGA",IF(G22&lt;=J22,"VERIFICA","NO VERIFICA"))</f>
        <v/>
      </c>
      <c r="L22" s="13" t="inlineStr">
        <is>
          <t>Longitud muy corta: verificar si es un tabique o el machon de una abertura. Falta la carga que recibe. Mientras tanto no se puede verificar.</t>
        </is>
      </c>
    </row>
    <row r="23" ht="17" customHeight="1">
      <c r="A23" s="11" t="n"/>
      <c r="B23" s="23" t="inlineStr">
        <is>
          <t>T12</t>
        </is>
      </c>
      <c r="C23" s="10" t="n">
        <v>12</v>
      </c>
      <c r="D23" s="8" t="n">
        <v>0.32</v>
      </c>
      <c r="E23" s="8" t="n">
        <v>2.6</v>
      </c>
      <c r="F23" s="42" t="n"/>
      <c r="G23" s="25">
        <f>IF(F23="","",F23/D23)</f>
        <v/>
      </c>
      <c r="H23" s="38">
        <f>E23*100/C23</f>
        <v/>
      </c>
      <c r="I23" s="33">
        <f>MAX(0,1-(E23*100/(32*C23))^2)</f>
        <v/>
      </c>
      <c r="J23" s="9">
        <f>0.55*0.65*Datos_vigas!$B$5*(100*C23)*I23/1000</f>
        <v/>
      </c>
      <c r="K23" s="11">
        <f>IF(G23="","FALTA CARGA",IF(G23&lt;=J23,"VERIFICA","NO VERIFICA"))</f>
        <v/>
      </c>
      <c r="L23" s="13" t="inlineStr">
        <is>
          <t>Longitud muy corta: verificar si es un tabique o el machon de una abertura. Falta la carga que recibe. Mientras tanto no se puede verificar.</t>
        </is>
      </c>
    </row>
    <row r="24" ht="17" customHeight="1">
      <c r="A24" s="18" t="n"/>
      <c r="B24" s="28" t="inlineStr">
        <is>
          <t>T13</t>
        </is>
      </c>
      <c r="C24" s="17" t="n">
        <v>12</v>
      </c>
      <c r="D24" s="15" t="n">
        <v>1.32</v>
      </c>
      <c r="E24" s="15" t="n">
        <v>3.2</v>
      </c>
      <c r="F24" s="43" t="n"/>
      <c r="G24" s="30">
        <f>IF(F24="","",F24/D24)</f>
        <v/>
      </c>
      <c r="H24" s="40">
        <f>E24*100/C24</f>
        <v/>
      </c>
      <c r="I24" s="35">
        <f>MAX(0,1-(E24*100/(32*C24))^2)</f>
        <v/>
      </c>
      <c r="J24" s="16">
        <f>0.55*0.65*Datos_vigas!$B$5*(100*C24)*I24/1000</f>
        <v/>
      </c>
      <c r="K24" s="18">
        <f>IF(G24="","FALTA CARGA",IF(G24&lt;=J24,"VERIFICA","NO VERIFICA"))</f>
        <v/>
      </c>
      <c r="L24" s="20" t="inlineStr">
        <is>
          <t>Falta la carga que recibe. Mientras tanto no se puede verificar.</t>
        </is>
      </c>
    </row>
    <row r="25">
      <c r="A25" s="2" t="n"/>
      <c r="B25" s="2" t="n"/>
      <c r="C25" s="2" t="n"/>
      <c r="D25" s="2" t="n"/>
      <c r="E25" s="2" t="n"/>
      <c r="F25" s="2" t="n"/>
      <c r="G25" s="2" t="n"/>
      <c r="H25" s="2" t="n"/>
      <c r="I25" s="2" t="n"/>
      <c r="J25" s="2" t="n"/>
      <c r="K25" s="2" t="n"/>
      <c r="L25" s="2" t="n"/>
    </row>
    <row r="26">
      <c r="A26" s="41" t="inlineStr">
        <is>
          <t>fi Pn = 0,55 x 0,65 x f'c x Ag x [1 - (alto / 32 espesor)^2]    muro portante de hormigon armado, con reduccion por esbeltez.</t>
        </is>
      </c>
      <c r="B26" s="2" t="n"/>
      <c r="C26" s="2" t="n"/>
      <c r="D26" s="2" t="n"/>
      <c r="E26" s="2" t="n"/>
      <c r="F26" s="2" t="n"/>
      <c r="G26" s="2" t="n"/>
      <c r="H26" s="2" t="n"/>
      <c r="I26" s="2" t="n"/>
      <c r="J26" s="2" t="n"/>
      <c r="K26" s="2" t="n"/>
      <c r="L26" s="2" t="n"/>
    </row>
    <row r="27">
      <c r="A27" s="44" t="inlineStr">
        <is>
          <t>Longitudes tomadas del computo metrico (planilla N 3, item 4.1.10).</t>
        </is>
      </c>
      <c r="B27" s="2" t="n"/>
      <c r="C27" s="2" t="n"/>
      <c r="D27" s="2" t="n"/>
      <c r="E27" s="2" t="n"/>
      <c r="F27" s="2" t="n"/>
      <c r="G27" s="2" t="n"/>
      <c r="H27" s="2" t="n"/>
      <c r="I27" s="2" t="n"/>
      <c r="J27" s="2" t="n"/>
      <c r="K27" s="2" t="n"/>
      <c r="L27" s="2" t="n"/>
    </row>
  </sheetData>
  <mergeCells count="11">
    <mergeCell ref="C2:E2"/>
    <mergeCell ref="A19:L19"/>
    <mergeCell ref="A1:L1"/>
    <mergeCell ref="A4:L4"/>
    <mergeCell ref="B2:B3"/>
    <mergeCell ref="A2:A3"/>
    <mergeCell ref="H2:J2"/>
    <mergeCell ref="F2:F3"/>
    <mergeCell ref="K2:K3"/>
    <mergeCell ref="G2:G3"/>
    <mergeCell ref="L2:L3"/>
  </mergeCells>
  <conditionalFormatting sqref="K4:K24">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8"/>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losa. Lo confirman las cotas del plano y el hecho de que el cielorraso sea de</t>
        </is>
      </c>
    </row>
    <row r="37">
      <c r="A37" s="61" t="inlineStr"/>
      <c r="B37" s="62" t="inlineStr">
        <is>
          <t>hormigon visto: una viga colgante quedaria a la vista. El computo metrico las</t>
        </is>
      </c>
    </row>
    <row r="38">
      <c r="A38" s="61" t="inlineStr"/>
      <c r="B38" s="62" t="inlineStr">
        <is>
          <t>agrupa a las 28 bajo el rubro Vigas invertidas 15x70.</t>
        </is>
      </c>
    </row>
    <row r="39">
      <c r="A39" s="61" t="inlineStr"/>
      <c r="B39" s="62" t="inlineStr">
        <is>
          <t>Esto define donde la losa aporta ala comprimida:</t>
        </is>
      </c>
    </row>
    <row r="40">
      <c r="A40" s="61" t="inlineStr"/>
      <c r="B40" s="62" t="inlineStr">
        <is>
          <t xml:space="preserve">  viga COLGANTE  -&gt; la losa esta arriba  -&gt; ala util en el TRAMO (momento positivo)</t>
        </is>
      </c>
    </row>
    <row r="41">
      <c r="A41" s="61" t="inlineStr"/>
      <c r="B41" s="62" t="inlineStr">
        <is>
          <t xml:space="preserve">  viga INVERTIDA -&gt; la losa esta abajo   -&gt; ala util en el APOYO (momento negativo)</t>
        </is>
      </c>
    </row>
    <row r="42">
      <c r="A42" s="61" t="inlineStr"/>
      <c r="B42" s="62" t="inlineStr">
        <is>
          <t>En la zona con ala se adopta b efectivo = min(L/4 ; b + 16 hf); en la otra, la</t>
        </is>
      </c>
    </row>
    <row r="43">
      <c r="A43" s="61" t="inlineStr"/>
      <c r="B43" s="62" t="inlineStr">
        <is>
          <t>seccion es rectangular de ancho b. Las columnas b ef tramo y b ef apoyo lo muestran.</t>
        </is>
      </c>
    </row>
    <row r="44">
      <c r="A44" s="61" t="inlineStr"/>
      <c r="B44" s="62" t="inlineStr">
        <is>
          <t>PENDIENTE: las invertidas de BORDE (VI 01a, 01b, 07a, 07b, 07c, 11a, 11b, 11c,</t>
        </is>
      </c>
    </row>
    <row r="45">
      <c r="A45" s="61" t="inlineStr"/>
      <c r="B45" s="62" t="inlineStr">
        <is>
          <t>15a y 15b) reciben la reaccion de la losa de un solo lado, excentrica respecto</t>
        </is>
      </c>
    </row>
    <row r="46">
      <c r="A46" s="61" t="inlineStr"/>
      <c r="B46" s="62" t="inlineStr">
        <is>
          <t>de su eje, y quedan sometidas a TORSION. Esta planilla no la verifica.</t>
        </is>
      </c>
    </row>
    <row r="47">
      <c r="A47" s="61" t="inlineStr"/>
      <c r="B47" s="62" t="inlineStr"/>
    </row>
    <row r="48">
      <c r="A48" s="61" t="inlineStr">
        <is>
          <t>7. RESULTADO</t>
        </is>
      </c>
      <c r="B48" s="61" t="inlineStr">
        <is>
          <t>30 vigas: 21 del entrepiso PA y 9 de la losa de techo. 28 verifican.</t>
        </is>
      </c>
    </row>
    <row r="49">
      <c r="A49" s="61" t="inlineStr"/>
      <c r="B49" s="62" t="inlineStr">
        <is>
          <t>VI 02 (15x60, 9,88 m): recibe L02 y L03, B = 2,88 m. La armadura de apoyo</t>
        </is>
      </c>
    </row>
    <row r="50">
      <c r="A50" s="61" t="inlineStr"/>
      <c r="B50" s="62" t="inlineStr">
        <is>
          <t xml:space="preserve">   necesaria ronda los 25 cm2 y supera la cuantia maxima. Los apoyos estan</t>
        </is>
      </c>
    </row>
    <row r="51">
      <c r="A51" s="61" t="inlineStr"/>
      <c r="B51" s="62" t="inlineStr">
        <is>
          <t xml:space="preserve">   confirmados en obra: tabique T07 perpendicular arriba y COL 02 abajo, sin apoyo</t>
        </is>
      </c>
    </row>
    <row r="52">
      <c r="A52" s="61" t="inlineStr"/>
      <c r="B52" s="62" t="inlineStr">
        <is>
          <t xml:space="preserve">   intermedio. Para esta carga la seccion necesaria es 15x75.</t>
        </is>
      </c>
    </row>
    <row r="53">
      <c r="A53" s="61" t="inlineStr"/>
      <c r="B53" s="62" t="inlineStr">
        <is>
          <t>VCH 03a (40x13, 3,83 m). Recibe L03, B = 2,08 m, y no</t>
        </is>
      </c>
    </row>
    <row r="54">
      <c r="A54" s="61" t="inlineStr"/>
      <c r="B54" s="62" t="inlineStr">
        <is>
          <t xml:space="preserve">   verifica: haria falta mas espesor. Tampoco verifica con B = 0,60 m, asi</t>
        </is>
      </c>
    </row>
    <row r="55">
      <c r="A55" s="61" t="inlineStr"/>
      <c r="B55" s="62" t="inlineStr">
        <is>
          <t xml:space="preserve">   que el problema no es la hipotesis de carga sino la relacion luz/espesor. Una viga</t>
        </is>
      </c>
    </row>
    <row r="56">
      <c r="A56" s="61" t="inlineStr"/>
      <c r="B56" s="62" t="inlineStr">
        <is>
          <t xml:space="preserve">   chata del mismo espesor que la losa no puede ser apoyo lineal de un pano de 4,15 m.</t>
        </is>
      </c>
    </row>
    <row r="57">
      <c r="A57" s="61" t="inlineStr"/>
      <c r="B57" s="62" t="inlineStr">
        <is>
          <t xml:space="preserve">   Revisar si tiene un muro debajo que acorte su luz libre.</t>
        </is>
      </c>
    </row>
    <row r="58">
      <c r="A58" s="61" t="inlineStr"/>
      <c r="B58" s="62" t="inlineStr">
        <is>
          <t>VCH 03a (40x13, 3,71 m): excede la cuantia maxima y no llega a la altura minima por</t>
        </is>
      </c>
    </row>
    <row r="59">
      <c r="A59" s="61" t="inlineStr"/>
      <c r="B59" s="62" t="inlineStr">
        <is>
          <t xml:space="preserve">   flecha. Revisar el ancho tributario: si solo recibe el muro y no losa, baja mucho.</t>
        </is>
      </c>
    </row>
    <row r="60">
      <c r="A60" s="61" t="inlineStr"/>
      <c r="B60" s="62" t="inlineStr"/>
    </row>
    <row r="61">
      <c r="A61" s="61" t="inlineStr">
        <is>
          <t>8. ALCANCE</t>
        </is>
      </c>
      <c r="B61" s="62" t="inlineStr">
        <is>
          <t>No se incluyen las 31 vigas de fundacion (VF01 a VF18c): su calculo depende de las</t>
        </is>
      </c>
    </row>
    <row r="62">
      <c r="A62" s="61" t="inlineStr"/>
      <c r="B62" s="62" t="inlineStr">
        <is>
          <t>cargas que bajan por las columnas y corresponde hacerlo despues. Tampoco losas ni columnas.</t>
        </is>
      </c>
    </row>
    <row r="63">
      <c r="A63" s="61" t="inlineStr"/>
      <c r="B63" s="62" t="inlineStr"/>
    </row>
    <row r="64">
      <c r="A64" s="61" t="inlineStr">
        <is>
          <t>LIMITACIONES</t>
        </is>
      </c>
      <c r="B64" s="61" t="inlineStr">
        <is>
          <t>El ancho tributario B esta relevado solo en</t>
        </is>
      </c>
    </row>
    <row r="65">
      <c r="A65" s="61" t="inlineStr"/>
      <c r="B65" s="62" t="inlineStr">
        <is>
          <t>VI 02 (0,80 m) y VCH 03a (2,08 m). En las demas sigue adoptado en 2,00 m, a falta</t>
        </is>
      </c>
    </row>
    <row r="66">
      <c r="A66" s="61" t="inlineStr"/>
      <c r="B66" s="62" t="inlineStr">
        <is>
          <t>hipotesis mas influyente del calculo: ajustarla viga por viga en la columna B trib.</t>
        </is>
      </c>
    </row>
    <row r="67">
      <c r="A67" s="61" t="inlineStr"/>
      <c r="B67" s="62" t="inlineStr">
        <is>
          <t>El esquema se asigno por criterio: continua si integra una serie a-b-c o si supera 5,5 m.</t>
        </is>
      </c>
    </row>
    <row r="68">
      <c r="A68" s="61" t="inlineStr"/>
      <c r="B68"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planilla modelo de la catedra tiene 10 columnas en PB: puede faltar una que no</t>
        </is>
      </c>
    </row>
    <row r="10">
      <c r="A10" s="61" t="inlineStr"/>
      <c r="B10" s="62" t="inlineStr">
        <is>
          <t>haya podido resolverse por rotulo. Conviene contarlas en el plano.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C4, A REVISAR</t>
        </is>
      </c>
      <c r="B40" s="61" t="inlineStr">
        <is>
          <t>C4 figura en el plano como 10x10 y recibe el extremo de VI 01a, con 17 t de</t>
        </is>
      </c>
    </row>
    <row r="41">
      <c r="A41" s="61" t="inlineStr"/>
      <c r="B41" s="62" t="inlineStr">
        <is>
          <t>reaccion. Una columna de 10x10 no toma esa carga. VI 01a corre sobre la medianera,</t>
        </is>
      </c>
    </row>
    <row r="42">
      <c r="A42" s="61" t="inlineStr"/>
      <c r="B42" s="62" t="inlineStr">
        <is>
          <t>asi que lo mas probable es que apoye en el muro y ese 10x10 no sea una columna.</t>
        </is>
      </c>
    </row>
    <row r="43">
      <c r="A43" s="61" t="inlineStr"/>
      <c r="B43" s="62" t="inlineStr"/>
    </row>
    <row r="44">
      <c r="A44" s="61" t="inlineStr">
        <is>
          <t>LIMITACIONES</t>
        </is>
      </c>
      <c r="B44" s="61" t="inlineStr">
        <is>
          <t>Trabajo academico. Requiere verificacion y firma de profesional matriculado.</t>
        </is>
      </c>
    </row>
    <row r="45">
      <c r="A45" s="61" t="inlineStr"/>
      <c r="B45" s="62" t="inlineStr">
        <is>
          <t>No se verifica flexion compuesta: las columnas de borde reciben momento de las</t>
        </is>
      </c>
    </row>
    <row r="46">
      <c r="A46" s="61" t="inlineStr"/>
      <c r="B46"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2026-10-21T23:19:51Z</dcterms:created>
  <dcterms:modified xmlns:dcterms="http://purl.org/dc/terms/" xmlns:xsi="http://www.w3.org/2001/XMLSchema-instance" xsi:type="dcterms:W3CDTF">2026-10-21T23:19:52Z</dcterms:modified>
</cp:coreProperties>
</file>