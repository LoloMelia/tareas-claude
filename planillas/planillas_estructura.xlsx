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higrotermica'!$A$1:$M$35</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8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Noreste (borde derecho del plano)</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SUM(D7:D13)</f>
        <v/>
      </c>
      <c r="F7" s="29">
        <f>IF(OR(D7="",$E$7=""),"",D7/$E$7)</f>
        <v/>
      </c>
      <c r="G7" s="27">
        <f>Datos_higro!$B$4</f>
        <v/>
      </c>
      <c r="H7" s="25" t="inlineStr">
        <is>
          <t>DVH 6+9+3+3 (aluminio linea A30)</t>
        </is>
      </c>
      <c r="I7" s="25" t="inlineStr">
        <is>
          <t>Cortina de enrollar exterior</t>
        </is>
      </c>
      <c r="J7" s="26" t="n">
        <v>2.8</v>
      </c>
      <c r="K7" s="25" t="inlineStr">
        <is>
          <t>Noreste</t>
        </is>
      </c>
      <c r="L7" s="26">
        <f>IF(I7="","",IFERROR(VLOOKUP(I7,Datos_higro!$A$21:$B$27,2,0),""))</f>
        <v/>
      </c>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inlineStr">
        <is>
          <t>Sin Proteccion</t>
        </is>
      </c>
      <c r="J8" s="26" t="n">
        <v>2.8</v>
      </c>
      <c r="K8" s="25" t="inlineStr">
        <is>
          <t>Noreste</t>
        </is>
      </c>
      <c r="L8" s="26">
        <f>IF(I8="","",IFERROR(VLOOKUP(I8,Datos_higro!$A$21:$B$27,2,0),""))</f>
        <v/>
      </c>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inlineStr">
        <is>
          <t>Cortina de enrollar exterior</t>
        </is>
      </c>
      <c r="J9" s="26" t="n">
        <v>2.8</v>
      </c>
      <c r="K9" s="25" t="inlineStr">
        <is>
          <t>Noreste</t>
        </is>
      </c>
      <c r="L9" s="26">
        <f>IF(I9="","",IFERROR(VLOOKUP(I9,Datos_higro!$A$21:$B$27,2,0),""))</f>
        <v/>
      </c>
      <c r="M9" s="30">
        <f>IF(OR(D9="",J9=""),"",IF(J9&lt;=G9,"CUMPLE","NO CUMPLE"))</f>
        <v/>
      </c>
    </row>
    <row r="10" ht="17" customHeight="1">
      <c r="A10" s="25" t="inlineStr">
        <is>
          <t>PV01</t>
        </is>
      </c>
      <c r="B10" s="26" t="n">
        <v>3</v>
      </c>
      <c r="C10" s="26" t="n">
        <v>7.7</v>
      </c>
      <c r="D10" s="27">
        <f>IF(COUNT(B10,C10)&lt;2,"",B10*C10)</f>
        <v/>
      </c>
      <c r="E10" s="31" t="n"/>
      <c r="F10" s="29">
        <f>IF(OR(D10="",$E$7=""),"",D10/$E$7)</f>
        <v/>
      </c>
      <c r="G10" s="27">
        <f>Datos_higro!$B$4</f>
        <v/>
      </c>
      <c r="H10" s="25" t="inlineStr">
        <is>
          <t>DVH 6+9+3+3 (aluminio linea A30)</t>
        </is>
      </c>
      <c r="I10" s="25" t="inlineStr">
        <is>
          <t>Cortina de enrollar exterior</t>
        </is>
      </c>
      <c r="J10" s="26" t="n">
        <v>2.8</v>
      </c>
      <c r="K10" s="25" t="inlineStr">
        <is>
          <t>Noreste</t>
        </is>
      </c>
      <c r="L10" s="26">
        <f>IF(I10="","",IFERROR(VLOOKUP(I10,Datos_higro!$A$21:$B$27,2,0),""))</f>
        <v/>
      </c>
      <c r="M10" s="30">
        <f>IF(OR(D10="",J10=""),"",IF(J10&lt;=G10,"CUMPLE","NO CUMPLE"))</f>
        <v/>
      </c>
    </row>
    <row r="11" ht="17" customHeight="1">
      <c r="A11" s="25" t="inlineStr">
        <is>
          <t>PF01</t>
        </is>
      </c>
      <c r="B11" s="26" t="n">
        <v>3</v>
      </c>
      <c r="C11" s="26" t="n">
        <v>3.55</v>
      </c>
      <c r="D11" s="27">
        <f>IF(COUNT(B11,C11)&lt;2,"",B11*C11)</f>
        <v/>
      </c>
      <c r="E11" s="31" t="n"/>
      <c r="F11" s="29">
        <f>IF(OR(D11="",$E$7=""),"",D11/$E$7)</f>
        <v/>
      </c>
      <c r="G11" s="27">
        <f>Datos_higro!$B$4</f>
        <v/>
      </c>
      <c r="H11" s="25" t="inlineStr">
        <is>
          <t>DVH 6+9+3+3 (aluminio linea A30)</t>
        </is>
      </c>
      <c r="I11" s="25" t="inlineStr">
        <is>
          <t>Sin Proteccion</t>
        </is>
      </c>
      <c r="J11" s="26" t="n">
        <v>2.8</v>
      </c>
      <c r="K11" s="25" t="inlineStr">
        <is>
          <t>Noreste</t>
        </is>
      </c>
      <c r="L11" s="26">
        <f>IF(I11="","",IFERROR(VLOOKUP(I11,Datos_higro!$A$21:$B$27,2,0),""))</f>
        <v/>
      </c>
      <c r="M11" s="30">
        <f>IF(OR(D11="",J11=""),"",IF(J11&lt;=G11,"CUMPLE","NO CUMPLE"))</f>
        <v/>
      </c>
    </row>
    <row r="12" ht="17" customHeight="1">
      <c r="A12" s="25" t="n"/>
      <c r="B12" s="26" t="n"/>
      <c r="C12" s="26" t="n"/>
      <c r="D12" s="27">
        <f>IF(COUNT(B12,C12)&lt;2,"",B12*C12)</f>
        <v/>
      </c>
      <c r="E12" s="31" t="n"/>
      <c r="F12" s="29">
        <f>IF(OR(D12="",$E$7=""),"",D12/$E$7)</f>
        <v/>
      </c>
      <c r="G12" s="27">
        <f>Datos_higro!$B$4</f>
        <v/>
      </c>
      <c r="H12" s="25" t="n"/>
      <c r="I12" s="25" t="n"/>
      <c r="J12" s="26" t="n"/>
      <c r="K12" s="25" t="n"/>
      <c r="L12" s="26">
        <f>IF(I12="","",IFERROR(VLOOKUP(I12,Datos_higro!$A$21:$B$27,2,0),""))</f>
        <v/>
      </c>
      <c r="M12" s="30">
        <f>IF(OR(D12="",J12=""),"",IF(J12&lt;=G12,"CUMPLE","NO CUMPLE"))</f>
        <v/>
      </c>
    </row>
    <row r="13" ht="17" customHeight="1">
      <c r="A13" s="32" t="n"/>
      <c r="B13" s="33" t="n"/>
      <c r="C13" s="33" t="n"/>
      <c r="D13" s="34">
        <f>IF(COUNT(B13,C13)&lt;2,"",B13*C13)</f>
        <v/>
      </c>
      <c r="E13" s="35" t="n"/>
      <c r="F13" s="36">
        <f>IF(OR(D13="",$E$7=""),"",D13/$E$7)</f>
        <v/>
      </c>
      <c r="G13" s="34">
        <f>Datos_higro!$B$4</f>
        <v/>
      </c>
      <c r="H13" s="32" t="n"/>
      <c r="I13" s="32" t="n"/>
      <c r="J13" s="33" t="n"/>
      <c r="K13" s="32" t="n"/>
      <c r="L13" s="33">
        <f>IF(I13="","",IFERROR(VLOOKUP(I13,Datos_higro!$A$21:$B$27,2,0),""))</f>
        <v/>
      </c>
      <c r="M13" s="37">
        <f>IF(OR(D13="",J13=""),"",IF(J13&lt;=G13,"CUMPLE","NO CUMPLE"))</f>
        <v/>
      </c>
    </row>
    <row r="14">
      <c r="A14" s="24" t="inlineStr">
        <is>
          <t>Plano: Fachada Sudoeste (borde izquierdo)</t>
        </is>
      </c>
      <c r="B14" s="4" t="n"/>
      <c r="C14" s="4" t="n"/>
      <c r="D14" s="4" t="n"/>
      <c r="E14" s="4" t="n"/>
      <c r="F14" s="4" t="n"/>
      <c r="G14" s="4" t="n"/>
      <c r="H14" s="4" t="n"/>
      <c r="I14" s="4" t="n"/>
      <c r="J14" s="4" t="n"/>
      <c r="K14" s="4" t="n"/>
      <c r="L14" s="4" t="n"/>
      <c r="M14" s="4" t="n"/>
    </row>
    <row r="15" ht="17" customHeight="1">
      <c r="A15" s="25" t="inlineStr">
        <is>
          <t>VA01</t>
        </is>
      </c>
      <c r="B15" s="26" t="n">
        <v>3</v>
      </c>
      <c r="C15" s="26" t="n">
        <v>0.75</v>
      </c>
      <c r="D15" s="27">
        <f>IF(COUNT(B15,C15)&lt;2,"",B15*C15)</f>
        <v/>
      </c>
      <c r="E15" s="28">
        <f>SUM(D15:D18)</f>
        <v/>
      </c>
      <c r="F15" s="29">
        <f>IF(OR(D15="",$E$15=""),"",D15/$E$15)</f>
        <v/>
      </c>
      <c r="G15" s="27">
        <f>Datos_higro!$B$4</f>
        <v/>
      </c>
      <c r="H15" s="25" t="inlineStr">
        <is>
          <t>DVH 6+9+3+3 (aluminio linea A30)</t>
        </is>
      </c>
      <c r="I15" s="25" t="inlineStr">
        <is>
          <t>Cortina de enrollar exterior</t>
        </is>
      </c>
      <c r="J15" s="26" t="n">
        <v>2.8</v>
      </c>
      <c r="K15" s="25" t="inlineStr">
        <is>
          <t>Sudoeste</t>
        </is>
      </c>
      <c r="L15" s="26">
        <f>IF(I15="","",IFERROR(VLOOKUP(I15,Datos_higro!$A$21:$B$27,2,0),""))</f>
        <v/>
      </c>
      <c r="M15" s="30">
        <f>IF(OR(D15="",J15=""),"",IF(J15&lt;=G15,"CUMPLE","NO CUMPLE"))</f>
        <v/>
      </c>
    </row>
    <row r="16" ht="17" customHeight="1">
      <c r="A16" s="25" t="inlineStr">
        <is>
          <t>PF01 (2)</t>
        </is>
      </c>
      <c r="B16" s="26" t="n">
        <v>3</v>
      </c>
      <c r="C16" s="26" t="n">
        <v>3.55</v>
      </c>
      <c r="D16" s="27">
        <f>IF(COUNT(B16,C16)&lt;2,"",B16*C16)</f>
        <v/>
      </c>
      <c r="E16" s="31" t="n"/>
      <c r="F16" s="29">
        <f>IF(OR(D16="",$E$15=""),"",D16/$E$15)</f>
        <v/>
      </c>
      <c r="G16" s="27">
        <f>Datos_higro!$B$4</f>
        <v/>
      </c>
      <c r="H16" s="25" t="inlineStr">
        <is>
          <t>DVH 6+9+3+3 (aluminio linea A30)</t>
        </is>
      </c>
      <c r="I16" s="25" t="inlineStr">
        <is>
          <t>Sin Proteccion</t>
        </is>
      </c>
      <c r="J16" s="26" t="n">
        <v>2.8</v>
      </c>
      <c r="K16" s="25" t="inlineStr">
        <is>
          <t>Sudoeste</t>
        </is>
      </c>
      <c r="L16" s="26">
        <f>IF(I16="","",IFERROR(VLOOKUP(I16,Datos_higro!$A$21:$B$27,2,0),""))</f>
        <v/>
      </c>
      <c r="M16" s="30">
        <f>IF(OR(D16="",J16=""),"",IF(J16&lt;=G16,"CUMPLE","NO CUMPLE"))</f>
        <v/>
      </c>
    </row>
    <row r="17" ht="17" customHeight="1">
      <c r="A17" s="25" t="n"/>
      <c r="B17" s="26" t="n"/>
      <c r="C17" s="26" t="n"/>
      <c r="D17" s="27">
        <f>IF(COUNT(B17,C17)&lt;2,"",B17*C17)</f>
        <v/>
      </c>
      <c r="E17" s="31" t="n"/>
      <c r="F17" s="29">
        <f>IF(OR(D17="",$E$15=""),"",D17/$E$15)</f>
        <v/>
      </c>
      <c r="G17" s="27">
        <f>Datos_higro!$B$4</f>
        <v/>
      </c>
      <c r="H17" s="25" t="n"/>
      <c r="I17" s="25" t="n"/>
      <c r="J17" s="26" t="n"/>
      <c r="K17" s="25" t="n"/>
      <c r="L17" s="26">
        <f>IF(I17="","",IFERROR(VLOOKUP(I17,Datos_higro!$A$21:$B$27,2,0),""))</f>
        <v/>
      </c>
      <c r="M17" s="30">
        <f>IF(OR(D17="",J17=""),"",IF(J17&lt;=G17,"CUMPLE","NO CUMPLE"))</f>
        <v/>
      </c>
    </row>
    <row r="18" ht="17" customHeight="1">
      <c r="A18" s="32" t="n"/>
      <c r="B18" s="33" t="n"/>
      <c r="C18" s="33" t="n"/>
      <c r="D18" s="34">
        <f>IF(COUNT(B18,C18)&lt;2,"",B18*C18)</f>
        <v/>
      </c>
      <c r="E18" s="35" t="n"/>
      <c r="F18" s="36">
        <f>IF(OR(D18="",$E$15=""),"",D18/$E$15)</f>
        <v/>
      </c>
      <c r="G18" s="34">
        <f>Datos_higro!$B$4</f>
        <v/>
      </c>
      <c r="H18" s="32" t="n"/>
      <c r="I18" s="32" t="n"/>
      <c r="J18" s="33" t="n"/>
      <c r="K18" s="32" t="n"/>
      <c r="L18" s="33">
        <f>IF(I18="","",IFERROR(VLOOKUP(I18,Datos_higro!$A$21:$B$27,2,0),""))</f>
        <v/>
      </c>
      <c r="M18" s="37">
        <f>IF(OR(D18="",J18=""),"",IF(J18&lt;=G18,"CUMPLE","NO CUMPLE"))</f>
        <v/>
      </c>
    </row>
    <row r="19">
      <c r="A19" s="24" t="inlineStr">
        <is>
          <t>Plano: Fachada Sudeste (borde inferior)</t>
        </is>
      </c>
      <c r="B19" s="4" t="n"/>
      <c r="C19" s="4" t="n"/>
      <c r="D19" s="4" t="n"/>
      <c r="E19" s="4" t="n"/>
      <c r="F19" s="4" t="n"/>
      <c r="G19" s="4" t="n"/>
      <c r="H19" s="4" t="n"/>
      <c r="I19" s="4" t="n"/>
      <c r="J19" s="4" t="n"/>
      <c r="K19" s="4" t="n"/>
      <c r="L19" s="4" t="n"/>
      <c r="M19" s="4" t="n"/>
    </row>
    <row r="20" ht="17" customHeight="1">
      <c r="A20" s="25" t="inlineStr">
        <is>
          <t>PA01</t>
        </is>
      </c>
      <c r="B20" s="26" t="n">
        <v>3</v>
      </c>
      <c r="C20" s="26" t="n">
        <v>1</v>
      </c>
      <c r="D20" s="27">
        <f>IF(COUNT(B20,C20)&lt;2,"",B20*C20)</f>
        <v/>
      </c>
      <c r="E20" s="28">
        <f>SUM(D20:D27)</f>
        <v/>
      </c>
      <c r="F20" s="29">
        <f>IF(OR(D20="",$E$20=""),"",D20/$E$20)</f>
        <v/>
      </c>
      <c r="G20" s="27">
        <f>Datos_higro!$B$4</f>
        <v/>
      </c>
      <c r="H20" s="25" t="inlineStr">
        <is>
          <t>DVH 6+9+3+3 (aluminio linea A30)</t>
        </is>
      </c>
      <c r="I20" s="25" t="inlineStr">
        <is>
          <t>Cortina de enrollar exterior</t>
        </is>
      </c>
      <c r="J20" s="26" t="n">
        <v>2.8</v>
      </c>
      <c r="K20" s="25" t="inlineStr">
        <is>
          <t>Sudeste</t>
        </is>
      </c>
      <c r="L20" s="26">
        <f>IF(I20="","",IFERROR(VLOOKUP(I20,Datos_higro!$A$21:$B$27,2,0),""))</f>
        <v/>
      </c>
      <c r="M20" s="30">
        <f>IF(OR(D20="",J20=""),"",IF(J20&lt;=G20,"CUMPLE","NO CUMPLE"))</f>
        <v/>
      </c>
    </row>
    <row r="21" ht="17" customHeight="1">
      <c r="A21" s="25" t="inlineStr">
        <is>
          <t>PF04</t>
        </is>
      </c>
      <c r="B21" s="26" t="n">
        <v>0.6</v>
      </c>
      <c r="C21" s="26" t="n">
        <v>2.7</v>
      </c>
      <c r="D21" s="27">
        <f>IF(COUNT(B21,C21)&lt;2,"",B21*C21)</f>
        <v/>
      </c>
      <c r="E21" s="31" t="n"/>
      <c r="F21" s="29">
        <f>IF(OR(D21="",$E$20=""),"",D21/$E$20)</f>
        <v/>
      </c>
      <c r="G21" s="27">
        <f>Datos_higro!$B$4</f>
        <v/>
      </c>
      <c r="H21" s="25" t="inlineStr">
        <is>
          <t>DVH 6+9+3+3 (aluminio linea A30)</t>
        </is>
      </c>
      <c r="I21" s="25" t="inlineStr">
        <is>
          <t>Sin Proteccion</t>
        </is>
      </c>
      <c r="J21" s="26" t="n">
        <v>2.8</v>
      </c>
      <c r="K21" s="25" t="inlineStr">
        <is>
          <t>Sudeste</t>
        </is>
      </c>
      <c r="L21" s="26">
        <f>IF(I21="","",IFERROR(VLOOKUP(I21,Datos_higro!$A$21:$B$27,2,0),""))</f>
        <v/>
      </c>
      <c r="M21" s="30">
        <f>IF(OR(D21="",J21=""),"",IF(J21&lt;=G21,"CUMPLE","NO CUMPLE"))</f>
        <v/>
      </c>
    </row>
    <row r="22" ht="17" customHeight="1">
      <c r="A22" s="25" t="inlineStr">
        <is>
          <t>VA05</t>
        </is>
      </c>
      <c r="B22" s="26" t="n">
        <v>2.52</v>
      </c>
      <c r="C22" s="26" t="n">
        <v>1.4</v>
      </c>
      <c r="D22" s="27">
        <f>IF(COUNT(B22,C22)&lt;2,"",B22*C22)</f>
        <v/>
      </c>
      <c r="E22" s="31" t="n"/>
      <c r="F22" s="29">
        <f>IF(OR(D22="",$E$20=""),"",D22/$E$20)</f>
        <v/>
      </c>
      <c r="G22" s="27">
        <f>Datos_higro!$B$4</f>
        <v/>
      </c>
      <c r="H22" s="25" t="inlineStr">
        <is>
          <t>DVH 6+9+3+3 (aluminio linea A30)</t>
        </is>
      </c>
      <c r="I22" s="25" t="inlineStr">
        <is>
          <t>Cortina de enrollar exterior</t>
        </is>
      </c>
      <c r="J22" s="26" t="n">
        <v>2.8</v>
      </c>
      <c r="K22" s="25" t="inlineStr">
        <is>
          <t>Sudeste</t>
        </is>
      </c>
      <c r="L22" s="26">
        <f>IF(I22="","",IFERROR(VLOOKUP(I22,Datos_higro!$A$21:$B$27,2,0),""))</f>
        <v/>
      </c>
      <c r="M22" s="30">
        <f>IF(OR(D22="",J22=""),"",IF(J22&lt;=G22,"CUMPLE","NO CUMPLE"))</f>
        <v/>
      </c>
    </row>
    <row r="23" ht="17" customHeight="1">
      <c r="A23" s="25" t="inlineStr">
        <is>
          <t>PV04</t>
        </is>
      </c>
      <c r="B23" s="26" t="n">
        <v>3</v>
      </c>
      <c r="C23" s="26" t="n">
        <v>2.06</v>
      </c>
      <c r="D23" s="27">
        <f>IF(COUNT(B23,C23)&lt;2,"",B23*C23)</f>
        <v/>
      </c>
      <c r="E23" s="31" t="n"/>
      <c r="F23" s="29">
        <f>IF(OR(D23="",$E$20=""),"",D23/$E$20)</f>
        <v/>
      </c>
      <c r="G23" s="27">
        <f>Datos_higro!$B$4</f>
        <v/>
      </c>
      <c r="H23" s="25" t="inlineStr">
        <is>
          <t>DVH 6+9+3+3 (aluminio linea A30)</t>
        </is>
      </c>
      <c r="I23" s="25" t="inlineStr">
        <is>
          <t>Cortina de enrollar exterior</t>
        </is>
      </c>
      <c r="J23" s="26" t="n">
        <v>2.8</v>
      </c>
      <c r="K23" s="25" t="inlineStr">
        <is>
          <t>Sudeste</t>
        </is>
      </c>
      <c r="L23" s="26">
        <f>IF(I23="","",IFERROR(VLOOKUP(I23,Datos_higro!$A$21:$B$27,2,0),""))</f>
        <v/>
      </c>
      <c r="M23" s="30">
        <f>IF(OR(D23="",J23=""),"",IF(J23&lt;=G23,"CUMPLE","NO CUMPLE"))</f>
        <v/>
      </c>
    </row>
    <row r="24" ht="17" customHeight="1">
      <c r="A24" s="25" t="inlineStr">
        <is>
          <t>PV04 (2)</t>
        </is>
      </c>
      <c r="B24" s="26" t="n">
        <v>2.95</v>
      </c>
      <c r="C24" s="26" t="n">
        <v>1.5</v>
      </c>
      <c r="D24" s="27">
        <f>IF(COUNT(B24,C24)&lt;2,"",B24*C24)</f>
        <v/>
      </c>
      <c r="E24" s="31" t="n"/>
      <c r="F24" s="29">
        <f>IF(OR(D24="",$E$20=""),"",D24/$E$20)</f>
        <v/>
      </c>
      <c r="G24" s="27">
        <f>Datos_higro!$B$4</f>
        <v/>
      </c>
      <c r="H24" s="25" t="inlineStr">
        <is>
          <t>DVH 6+9+3+3 (aluminio linea A30)</t>
        </is>
      </c>
      <c r="I24" s="25" t="inlineStr">
        <is>
          <t>Cortina de enrollar exterior</t>
        </is>
      </c>
      <c r="J24" s="26" t="n">
        <v>2.8</v>
      </c>
      <c r="K24" s="25" t="inlineStr">
        <is>
          <t>Sudeste</t>
        </is>
      </c>
      <c r="L24" s="26">
        <f>IF(I24="","",IFERROR(VLOOKUP(I24,Datos_higro!$A$21:$B$27,2,0),""))</f>
        <v/>
      </c>
      <c r="M24" s="30">
        <f>IF(OR(D24="",J24=""),"",IF(J24&lt;=G24,"CUMPLE","NO CUMPLE"))</f>
        <v/>
      </c>
    </row>
    <row r="25" ht="17" customHeight="1">
      <c r="A25" s="25" t="inlineStr">
        <is>
          <t>PF02</t>
        </is>
      </c>
      <c r="B25" s="26" t="n">
        <v>3</v>
      </c>
      <c r="C25" s="26" t="n">
        <v>3.75</v>
      </c>
      <c r="D25" s="27">
        <f>IF(COUNT(B25,C25)&lt;2,"",B25*C25)</f>
        <v/>
      </c>
      <c r="E25" s="31" t="n"/>
      <c r="F25" s="29">
        <f>IF(OR(D25="",$E$20=""),"",D25/$E$20)</f>
        <v/>
      </c>
      <c r="G25" s="27">
        <f>Datos_higro!$B$4</f>
        <v/>
      </c>
      <c r="H25" s="25" t="inlineStr">
        <is>
          <t>DVH 6+9+3+3 (aluminio linea A30)</t>
        </is>
      </c>
      <c r="I25" s="25" t="inlineStr">
        <is>
          <t>Sin Proteccion</t>
        </is>
      </c>
      <c r="J25" s="26" t="n">
        <v>2.8</v>
      </c>
      <c r="K25" s="25" t="inlineStr">
        <is>
          <t>Sudeste</t>
        </is>
      </c>
      <c r="L25" s="26">
        <f>IF(I25="","",IFERROR(VLOOKUP(I25,Datos_higro!$A$21:$B$27,2,0),""))</f>
        <v/>
      </c>
      <c r="M25" s="30">
        <f>IF(OR(D25="",J25=""),"",IF(J25&lt;=G25,"CUMPLE","NO CUMPLE"))</f>
        <v/>
      </c>
    </row>
    <row r="26" ht="17" customHeight="1">
      <c r="A26" s="25" t="n"/>
      <c r="B26" s="26" t="n"/>
      <c r="C26" s="26" t="n"/>
      <c r="D26" s="27">
        <f>IF(COUNT(B26,C26)&lt;2,"",B26*C26)</f>
        <v/>
      </c>
      <c r="E26" s="31" t="n"/>
      <c r="F26" s="29">
        <f>IF(OR(D26="",$E$20=""),"",D26/$E$20)</f>
        <v/>
      </c>
      <c r="G26" s="27">
        <f>Datos_higro!$B$4</f>
        <v/>
      </c>
      <c r="H26" s="25" t="n"/>
      <c r="I26" s="25" t="n"/>
      <c r="J26" s="26" t="n"/>
      <c r="K26" s="25" t="n"/>
      <c r="L26" s="26">
        <f>IF(I26="","",IFERROR(VLOOKUP(I26,Datos_higro!$A$21:$B$27,2,0),""))</f>
        <v/>
      </c>
      <c r="M26" s="30">
        <f>IF(OR(D26="",J26=""),"",IF(J26&lt;=G26,"CUMPLE","NO CUMPLE"))</f>
        <v/>
      </c>
    </row>
    <row r="27" ht="17" customHeight="1">
      <c r="A27" s="32" t="n"/>
      <c r="B27" s="33" t="n"/>
      <c r="C27" s="33" t="n"/>
      <c r="D27" s="34">
        <f>IF(COUNT(B27,C27)&lt;2,"",B27*C27)</f>
        <v/>
      </c>
      <c r="E27" s="35" t="n"/>
      <c r="F27" s="36">
        <f>IF(OR(D27="",$E$20=""),"",D27/$E$20)</f>
        <v/>
      </c>
      <c r="G27" s="34">
        <f>Datos_higro!$B$4</f>
        <v/>
      </c>
      <c r="H27" s="32" t="n"/>
      <c r="I27" s="32" t="n"/>
      <c r="J27" s="33" t="n"/>
      <c r="K27" s="32" t="n"/>
      <c r="L27" s="33">
        <f>IF(I27="","",IFERROR(VLOOKUP(I27,Datos_higro!$A$21:$B$27,2,0),""))</f>
        <v/>
      </c>
      <c r="M27" s="37">
        <f>IF(OR(D27="",J27=""),"",IF(J27&lt;=G27,"CUMPLE","NO CUMPLE"))</f>
        <v/>
      </c>
    </row>
    <row r="28">
      <c r="A28" s="24" t="inlineStr">
        <is>
          <t>Plano: Fachada Noroeste (borde superior)</t>
        </is>
      </c>
      <c r="B28" s="4" t="n"/>
      <c r="C28" s="4" t="n"/>
      <c r="D28" s="4" t="n"/>
      <c r="E28" s="4" t="n"/>
      <c r="F28" s="4" t="n"/>
      <c r="G28" s="4" t="n"/>
      <c r="H28" s="4" t="n"/>
      <c r="I28" s="4" t="n"/>
      <c r="J28" s="4" t="n"/>
      <c r="K28" s="4" t="n"/>
      <c r="L28" s="4" t="n"/>
      <c r="M28" s="4" t="n"/>
    </row>
    <row r="29" ht="17" customHeight="1">
      <c r="A29" s="25" t="inlineStr">
        <is>
          <t>PV03</t>
        </is>
      </c>
      <c r="B29" s="26" t="n">
        <v>3</v>
      </c>
      <c r="C29" s="26" t="n">
        <v>1.76</v>
      </c>
      <c r="D29" s="27">
        <f>IF(COUNT(B29,C29)&lt;2,"",B29*C29)</f>
        <v/>
      </c>
      <c r="E29" s="28">
        <f>SUM(D29:D35)</f>
        <v/>
      </c>
      <c r="F29" s="29">
        <f>IF(OR(D29="",$E$29=""),"",D29/$E$29)</f>
        <v/>
      </c>
      <c r="G29" s="27">
        <f>Datos_higro!$B$4</f>
        <v/>
      </c>
      <c r="H29" s="25" t="inlineStr">
        <is>
          <t>DVH 6+9+3+3 (aluminio linea A30)</t>
        </is>
      </c>
      <c r="I29" s="25" t="inlineStr">
        <is>
          <t>Cortina de enrollar exterior</t>
        </is>
      </c>
      <c r="J29" s="26" t="n">
        <v>2.8</v>
      </c>
      <c r="K29" s="25" t="inlineStr">
        <is>
          <t>Noroeste</t>
        </is>
      </c>
      <c r="L29" s="26">
        <f>IF(I29="","",IFERROR(VLOOKUP(I29,Datos_higro!$A$21:$B$27,2,0),""))</f>
        <v/>
      </c>
      <c r="M29" s="30">
        <f>IF(OR(D29="",J29=""),"",IF(J29&lt;=G29,"CUMPLE","NO CUMPLE"))</f>
        <v/>
      </c>
    </row>
    <row r="30" ht="17" customHeight="1">
      <c r="A30" s="25" t="inlineStr">
        <is>
          <t>VA02</t>
        </is>
      </c>
      <c r="B30" s="26" t="n">
        <v>2.15</v>
      </c>
      <c r="C30" s="26" t="n">
        <v>0.75</v>
      </c>
      <c r="D30" s="27">
        <f>IF(COUNT(B30,C30)&lt;2,"",B30*C30)</f>
        <v/>
      </c>
      <c r="E30" s="31" t="n"/>
      <c r="F30" s="29">
        <f>IF(OR(D30="",$E$29=""),"",D30/$E$29)</f>
        <v/>
      </c>
      <c r="G30" s="27">
        <f>Datos_higro!$B$4</f>
        <v/>
      </c>
      <c r="H30" s="25" t="inlineStr">
        <is>
          <t>DVH 6+9+3+3 (aluminio linea A30)</t>
        </is>
      </c>
      <c r="I30" s="25" t="inlineStr">
        <is>
          <t>Cortina de enrollar exterior</t>
        </is>
      </c>
      <c r="J30" s="26" t="n">
        <v>2.8</v>
      </c>
      <c r="K30" s="25" t="inlineStr">
        <is>
          <t>Noroeste</t>
        </is>
      </c>
      <c r="L30" s="26">
        <f>IF(I30="","",IFERROR(VLOOKUP(I30,Datos_higro!$A$21:$B$27,2,0),""))</f>
        <v/>
      </c>
      <c r="M30" s="30">
        <f>IF(OR(D30="",J30=""),"",IF(J30&lt;=G30,"CUMPLE","NO CUMPLE"))</f>
        <v/>
      </c>
    </row>
    <row r="31" ht="17" customHeight="1">
      <c r="A31" s="25" t="inlineStr">
        <is>
          <t>PA02</t>
        </is>
      </c>
      <c r="B31" s="26" t="n">
        <v>3</v>
      </c>
      <c r="C31" s="26" t="n">
        <v>0.75</v>
      </c>
      <c r="D31" s="27">
        <f>IF(COUNT(B31,C31)&lt;2,"",B31*C31)</f>
        <v/>
      </c>
      <c r="E31" s="31" t="n"/>
      <c r="F31" s="29">
        <f>IF(OR(D31="",$E$29=""),"",D31/$E$29)</f>
        <v/>
      </c>
      <c r="G31" s="27">
        <f>Datos_higro!$B$4</f>
        <v/>
      </c>
      <c r="H31" s="25" t="inlineStr">
        <is>
          <t>DVH 6+9+3+3 (aluminio linea A30)</t>
        </is>
      </c>
      <c r="I31" s="25" t="inlineStr">
        <is>
          <t>Cortina de enrollar exterior</t>
        </is>
      </c>
      <c r="J31" s="26" t="n">
        <v>2.8</v>
      </c>
      <c r="K31" s="25" t="inlineStr">
        <is>
          <t>Noroeste</t>
        </is>
      </c>
      <c r="L31" s="26">
        <f>IF(I31="","",IFERROR(VLOOKUP(I31,Datos_higro!$A$21:$B$27,2,0),""))</f>
        <v/>
      </c>
      <c r="M31" s="30">
        <f>IF(OR(D31="",J31=""),"",IF(J31&lt;=G31,"CUMPLE","NO CUMPLE"))</f>
        <v/>
      </c>
    </row>
    <row r="32" ht="17" customHeight="1">
      <c r="A32" s="25" t="inlineStr">
        <is>
          <t>VA03</t>
        </is>
      </c>
      <c r="B32" s="26" t="n">
        <v>2.52</v>
      </c>
      <c r="C32" s="26" t="n">
        <v>0.75</v>
      </c>
      <c r="D32" s="27">
        <f>IF(COUNT(B32,C32)&lt;2,"",B32*C32)</f>
        <v/>
      </c>
      <c r="E32" s="31" t="n"/>
      <c r="F32" s="29">
        <f>IF(OR(D32="",$E$29=""),"",D32/$E$29)</f>
        <v/>
      </c>
      <c r="G32" s="27">
        <f>Datos_higro!$B$4</f>
        <v/>
      </c>
      <c r="H32" s="25" t="inlineStr">
        <is>
          <t>DVH 6+9+3+3 (aluminio linea A30)</t>
        </is>
      </c>
      <c r="I32" s="25" t="inlineStr">
        <is>
          <t>Cortina de enrollar exterior</t>
        </is>
      </c>
      <c r="J32" s="26" t="n">
        <v>2.8</v>
      </c>
      <c r="K32" s="25" t="inlineStr">
        <is>
          <t>Noroeste</t>
        </is>
      </c>
      <c r="L32" s="26">
        <f>IF(I32="","",IFERROR(VLOOKUP(I32,Datos_higro!$A$21:$B$27,2,0),""))</f>
        <v/>
      </c>
      <c r="M32" s="30">
        <f>IF(OR(D32="",J32=""),"",IF(J32&lt;=G32,"CUMPLE","NO CUMPLE"))</f>
        <v/>
      </c>
    </row>
    <row r="33" ht="17" customHeight="1">
      <c r="A33" s="25" t="inlineStr">
        <is>
          <t>PF05</t>
        </is>
      </c>
      <c r="B33" s="26" t="n">
        <v>2.52</v>
      </c>
      <c r="C33" s="26" t="n">
        <v>0.75</v>
      </c>
      <c r="D33" s="27">
        <f>IF(COUNT(B33,C33)&lt;2,"",B33*C33)</f>
        <v/>
      </c>
      <c r="E33" s="31" t="n"/>
      <c r="F33" s="29">
        <f>IF(OR(D33="",$E$29=""),"",D33/$E$29)</f>
        <v/>
      </c>
      <c r="G33" s="27">
        <f>Datos_higro!$B$4</f>
        <v/>
      </c>
      <c r="H33" s="25" t="inlineStr">
        <is>
          <t>DVH 6+9+3+3 (aluminio linea A30)</t>
        </is>
      </c>
      <c r="I33" s="25" t="inlineStr">
        <is>
          <t>Sin Proteccion</t>
        </is>
      </c>
      <c r="J33" s="26" t="n">
        <v>2.8</v>
      </c>
      <c r="K33" s="25" t="inlineStr">
        <is>
          <t>Noroeste</t>
        </is>
      </c>
      <c r="L33" s="26">
        <f>IF(I33="","",IFERROR(VLOOKUP(I33,Datos_higro!$A$21:$B$27,2,0),""))</f>
        <v/>
      </c>
      <c r="M33" s="30">
        <f>IF(OR(D33="",J33=""),"",IF(J33&lt;=G33,"CUMPLE","NO CUMPLE"))</f>
        <v/>
      </c>
    </row>
    <row r="34" ht="17" customHeight="1">
      <c r="A34" s="25" t="n"/>
      <c r="B34" s="26" t="n"/>
      <c r="C34" s="26" t="n"/>
      <c r="D34" s="27">
        <f>IF(COUNT(B34,C34)&lt;2,"",B34*C34)</f>
        <v/>
      </c>
      <c r="E34" s="31" t="n"/>
      <c r="F34" s="29">
        <f>IF(OR(D34="",$E$29=""),"",D34/$E$29)</f>
        <v/>
      </c>
      <c r="G34" s="27">
        <f>Datos_higro!$B$4</f>
        <v/>
      </c>
      <c r="H34" s="25" t="n"/>
      <c r="I34" s="25" t="n"/>
      <c r="J34" s="26" t="n"/>
      <c r="K34" s="25" t="n"/>
      <c r="L34" s="26">
        <f>IF(I34="","",IFERROR(VLOOKUP(I34,Datos_higro!$A$21:$B$27,2,0),""))</f>
        <v/>
      </c>
      <c r="M34" s="30">
        <f>IF(OR(D34="",J34=""),"",IF(J34&lt;=G34,"CUMPLE","NO CUMPLE"))</f>
        <v/>
      </c>
    </row>
    <row r="35" ht="17" customHeight="1">
      <c r="A35" s="32" t="n"/>
      <c r="B35" s="33" t="n"/>
      <c r="C35" s="33" t="n"/>
      <c r="D35" s="34">
        <f>IF(COUNT(B35,C35)&lt;2,"",B35*C35)</f>
        <v/>
      </c>
      <c r="E35" s="35" t="n"/>
      <c r="F35" s="36">
        <f>IF(OR(D35="",$E$29=""),"",D35/$E$29)</f>
        <v/>
      </c>
      <c r="G35" s="34">
        <f>Datos_higro!$B$4</f>
        <v/>
      </c>
      <c r="H35" s="32" t="n"/>
      <c r="I35" s="32" t="n"/>
      <c r="J35" s="33" t="n"/>
      <c r="K35" s="32" t="n"/>
      <c r="L35" s="33">
        <f>IF(I35="","",IFERROR(VLOOKUP(I35,Datos_higro!$A$21:$B$27,2,0),""))</f>
        <v/>
      </c>
      <c r="M35" s="37">
        <f>IF(OR(D35="",J35=""),"",IF(J35&lt;=G35,"CUMPLE","NO CUMPLE"))</f>
        <v/>
      </c>
    </row>
    <row r="36">
      <c r="A36" s="2" t="n"/>
      <c r="B36" s="2" t="n"/>
      <c r="C36" s="2" t="n"/>
      <c r="D36" s="2" t="n"/>
      <c r="E36" s="2" t="n"/>
      <c r="F36" s="2" t="n"/>
      <c r="G36" s="2" t="n"/>
      <c r="H36" s="2" t="n"/>
      <c r="I36" s="2" t="n"/>
      <c r="J36" s="2" t="n"/>
      <c r="K36" s="2" t="n"/>
      <c r="L36" s="2" t="n"/>
      <c r="M36" s="2" t="n"/>
    </row>
    <row r="37">
      <c r="A37" s="38" t="inlineStr">
        <is>
          <t>COMO SE COMPLETA</t>
        </is>
      </c>
      <c r="B37" s="2" t="n"/>
      <c r="C37" s="2" t="n"/>
      <c r="D37" s="2" t="n"/>
      <c r="E37" s="2" t="n"/>
      <c r="F37" s="2" t="n"/>
      <c r="G37" s="2" t="n"/>
      <c r="H37" s="2" t="n"/>
      <c r="I37" s="2" t="n"/>
      <c r="J37" s="2" t="n"/>
      <c r="K37" s="2" t="n"/>
      <c r="L37" s="2" t="n"/>
      <c r="M37" s="2" t="n"/>
    </row>
    <row r="38">
      <c r="A38" s="39" t="inlineStr">
        <is>
          <t>Descripcion, altura y ancho del vano: de la planilla de carpinterias.</t>
        </is>
      </c>
      <c r="B38" s="2" t="n"/>
      <c r="C38" s="2" t="n"/>
      <c r="D38" s="2" t="n"/>
      <c r="E38" s="2" t="n"/>
      <c r="F38" s="2" t="n"/>
      <c r="G38" s="2" t="n"/>
      <c r="H38" s="2" t="n"/>
      <c r="I38" s="2" t="n"/>
      <c r="J38" s="2" t="n"/>
      <c r="K38" s="2" t="n"/>
      <c r="L38" s="2" t="n"/>
      <c r="M38" s="2" t="n"/>
    </row>
    <row r="39">
      <c r="A39" s="39" t="inlineStr">
        <is>
          <t>Area del vano, area total por plano y porcentaje: se calculan solos.</t>
        </is>
      </c>
      <c r="B39" s="2" t="n"/>
      <c r="C39" s="2" t="n"/>
      <c r="D39" s="2" t="n"/>
      <c r="E39" s="2" t="n"/>
      <c r="F39" s="2" t="n"/>
      <c r="G39" s="2" t="n"/>
      <c r="H39" s="2" t="n"/>
      <c r="I39" s="2" t="n"/>
      <c r="J39" s="2" t="n"/>
      <c r="K39" s="2" t="n"/>
      <c r="L39" s="2" t="n"/>
      <c r="M39" s="2" t="n"/>
    </row>
    <row r="40">
      <c r="A40" s="39" t="inlineStr">
        <is>
          <t>Tipo de vidrio y tipo de proteccion: desplegables; sus valores estan en la hoja Datos_higro.</t>
        </is>
      </c>
      <c r="B40" s="2" t="n"/>
      <c r="C40" s="2" t="n"/>
      <c r="D40" s="2" t="n"/>
      <c r="E40" s="2" t="n"/>
      <c r="F40" s="2" t="n"/>
      <c r="G40" s="2" t="n"/>
      <c r="H40" s="2" t="n"/>
      <c r="I40" s="2" t="n"/>
      <c r="J40" s="2" t="n"/>
      <c r="K40" s="2" t="n"/>
      <c r="L40" s="2" t="n"/>
      <c r="M40" s="2" t="n"/>
    </row>
    <row r="41">
      <c r="A41" s="39" t="inlineStr">
        <is>
          <t>Transmitancia del cerramiento: cargarla segun el vidrio y el marco adoptados.</t>
        </is>
      </c>
      <c r="B41" s="2" t="n"/>
      <c r="C41" s="2" t="n"/>
      <c r="D41" s="2" t="n"/>
      <c r="E41" s="2" t="n"/>
      <c r="F41" s="2" t="n"/>
      <c r="G41" s="2" t="n"/>
      <c r="H41" s="2" t="n"/>
      <c r="I41" s="2" t="n"/>
      <c r="J41" s="2" t="n"/>
      <c r="K41" s="2" t="n"/>
      <c r="L41" s="2" t="n"/>
      <c r="M41" s="2" t="n"/>
    </row>
    <row r="42">
      <c r="A42" s="39" t="inlineStr">
        <is>
          <t>PROTECCION: ningun pano fijo PF tiene cortina: PF01, su gemelo, PF02, PF03, PF04 y PF05 van</t>
        </is>
      </c>
      <c r="B42" s="2" t="n"/>
      <c r="C42" s="2" t="n"/>
      <c r="D42" s="2" t="n"/>
      <c r="E42" s="2" t="n"/>
      <c r="F42" s="2" t="n"/>
      <c r="G42" s="2" t="n"/>
      <c r="H42" s="2" t="n"/>
      <c r="I42" s="2" t="n"/>
      <c r="J42" s="2" t="n"/>
      <c r="K42" s="2" t="n"/>
      <c r="L42" s="2" t="n"/>
      <c r="M42" s="2" t="n"/>
    </row>
    <row r="43">
      <c r="A43" s="39" t="inlineStr">
        <is>
          <t>Sin Proteccion (FES 0,88). Las otras doce llevan cortina de enrollar exterior (FES 0,25).</t>
        </is>
      </c>
      <c r="B43" s="2" t="n"/>
      <c r="C43" s="2" t="n"/>
      <c r="D43" s="2" t="n"/>
      <c r="E43" s="2" t="n"/>
      <c r="F43" s="2" t="n"/>
      <c r="G43" s="2" t="n"/>
      <c r="H43" s="2" t="n"/>
      <c r="I43" s="2" t="n"/>
      <c r="J43" s="2" t="n"/>
      <c r="K43" s="2" t="n"/>
      <c r="L43" s="2" t="n"/>
      <c r="M43" s="2" t="n"/>
    </row>
    <row r="44">
      <c r="A44" s="39" t="inlineStr"/>
      <c r="B44" s="2" t="n"/>
      <c r="C44" s="2" t="n"/>
      <c r="D44" s="2" t="n"/>
      <c r="E44" s="2" t="n"/>
      <c r="F44" s="2" t="n"/>
      <c r="G44" s="2" t="n"/>
      <c r="H44" s="2" t="n"/>
      <c r="I44" s="2" t="n"/>
      <c r="J44" s="2" t="n"/>
      <c r="K44" s="2" t="n"/>
      <c r="L44" s="2" t="n"/>
      <c r="M44" s="2" t="n"/>
    </row>
    <row r="45">
      <c r="A45" s="39" t="inlineStr">
        <is>
          <t>OJO con esas seis: 0,88 esta muy por encima del maximo de 0,30 que la ordenanza admite para</t>
        </is>
      </c>
      <c r="B45" s="2" t="n"/>
      <c r="C45" s="2" t="n"/>
      <c r="D45" s="2" t="n"/>
      <c r="E45" s="2" t="n"/>
      <c r="F45" s="2" t="n"/>
      <c r="G45" s="2" t="n"/>
      <c r="H45" s="2" t="n"/>
      <c r="I45" s="2" t="n"/>
      <c r="J45" s="2" t="n"/>
      <c r="K45" s="2" t="n"/>
      <c r="L45" s="2" t="n"/>
      <c r="M45" s="2" t="n"/>
    </row>
    <row r="46">
      <c r="A46" s="39" t="inlineStr">
        <is>
          <t>el cuadrante Este/Oeste, donde caen las cuatro fachadas de esta casa por estar girada 45</t>
        </is>
      </c>
      <c r="B46" s="2" t="n"/>
      <c r="C46" s="2" t="n"/>
      <c r="D46" s="2" t="n"/>
      <c r="E46" s="2" t="n"/>
      <c r="F46" s="2" t="n"/>
      <c r="G46" s="2" t="n"/>
      <c r="H46" s="2" t="n"/>
      <c r="I46" s="2" t="n"/>
      <c r="J46" s="2" t="n"/>
      <c r="K46" s="2" t="n"/>
      <c r="L46" s="2" t="n"/>
      <c r="M46" s="2" t="n"/>
    </row>
    <row r="47">
      <c r="A47" s="39" t="inlineStr">
        <is>
          <t>grados. La verificacion de la planilla no lo controla, igual que la de la catedra, pero si lo</t>
        </is>
      </c>
      <c r="B47" s="2" t="n"/>
      <c r="C47" s="2" t="n"/>
      <c r="D47" s="2" t="n"/>
      <c r="E47" s="2" t="n"/>
      <c r="F47" s="2" t="n"/>
      <c r="G47" s="2" t="n"/>
      <c r="H47" s="2" t="n"/>
      <c r="I47" s="2" t="n"/>
      <c r="J47" s="2" t="n"/>
      <c r="K47" s="2" t="n"/>
      <c r="L47" s="2" t="n"/>
      <c r="M47" s="2" t="n"/>
    </row>
    <row r="48">
      <c r="A48" s="39" t="inlineStr">
        <is>
          <t>presentas en el municipio esas cinco aberturas no pasarian el factor de exposicion solar.</t>
        </is>
      </c>
      <c r="B48" s="2" t="n"/>
      <c r="C48" s="2" t="n"/>
      <c r="D48" s="2" t="n"/>
      <c r="E48" s="2" t="n"/>
      <c r="F48" s="2" t="n"/>
      <c r="G48" s="2" t="n"/>
      <c r="H48" s="2" t="n"/>
      <c r="I48" s="2" t="n"/>
      <c r="J48" s="2" t="n"/>
      <c r="K48" s="2" t="n"/>
      <c r="L48" s="2" t="n"/>
      <c r="M48" s="2" t="n"/>
    </row>
    <row r="49">
      <c r="A49" s="39" t="inlineStr">
        <is>
          <t>Hay una salida: si la abertura ocupa menos del 20% del lado expuesto del local, no se verifica</t>
        </is>
      </c>
      <c r="B49" s="2" t="n"/>
      <c r="C49" s="2" t="n"/>
      <c r="D49" s="2" t="n"/>
      <c r="E49" s="2" t="n"/>
      <c r="F49" s="2" t="n"/>
      <c r="G49" s="2" t="n"/>
      <c r="H49" s="2" t="n"/>
      <c r="I49" s="2" t="n"/>
      <c r="J49" s="2" t="n"/>
      <c r="K49" s="2" t="n"/>
      <c r="L49" s="2" t="n"/>
      <c r="M49" s="2" t="n"/>
    </row>
    <row r="50">
      <c r="A50" s="39" t="inlineStr">
        <is>
          <t>el FES. Conviene chequearlo local por local.</t>
        </is>
      </c>
      <c r="B50" s="2" t="n"/>
      <c r="C50" s="2" t="n"/>
      <c r="D50" s="2" t="n"/>
      <c r="E50" s="2" t="n"/>
      <c r="F50" s="2" t="n"/>
      <c r="G50" s="2" t="n"/>
      <c r="H50" s="2" t="n"/>
      <c r="I50" s="2" t="n"/>
      <c r="J50" s="2" t="n"/>
      <c r="K50" s="2" t="n"/>
      <c r="L50" s="2" t="n"/>
      <c r="M50" s="2" t="n"/>
    </row>
    <row r="51">
      <c r="A51" s="39" t="inlineStr"/>
      <c r="B51" s="2" t="n"/>
      <c r="C51" s="2" t="n"/>
      <c r="D51" s="2" t="n"/>
      <c r="E51" s="2" t="n"/>
      <c r="F51" s="2" t="n"/>
      <c r="G51" s="2" t="n"/>
      <c r="H51" s="2" t="n"/>
      <c r="I51" s="2" t="n"/>
      <c r="J51" s="2" t="n"/>
      <c r="K51" s="2" t="n"/>
      <c r="L51" s="2" t="n"/>
      <c r="M51" s="2" t="n"/>
    </row>
    <row r="52">
      <c r="A52" s="39" t="inlineStr">
        <is>
          <t>Orientacion: ya cargada. Factor de exposicion solar: se completa SOLO al elegir el tipo de</t>
        </is>
      </c>
      <c r="B52" s="2" t="n"/>
      <c r="C52" s="2" t="n"/>
      <c r="D52" s="2" t="n"/>
      <c r="E52" s="2" t="n"/>
      <c r="F52" s="2" t="n"/>
      <c r="G52" s="2" t="n"/>
      <c r="H52" s="2" t="n"/>
      <c r="I52" s="2" t="n"/>
      <c r="J52" s="2" t="n"/>
      <c r="K52" s="2" t="n"/>
      <c r="L52" s="2" t="n"/>
      <c r="M52" s="2" t="n"/>
    </row>
    <row r="53">
      <c r="A53" s="39" t="inlineStr">
        <is>
          <t>proteccion, con los valores de la tabla de Datos_higro (Sin Proteccion 0,88; Parasol</t>
        </is>
      </c>
      <c r="B53" s="2" t="n"/>
      <c r="C53" s="2" t="n"/>
      <c r="D53" s="2" t="n"/>
      <c r="E53" s="2" t="n"/>
      <c r="F53" s="2" t="n"/>
      <c r="G53" s="2" t="n"/>
      <c r="H53" s="2" t="n"/>
      <c r="I53" s="2" t="n"/>
      <c r="J53" s="2" t="n"/>
      <c r="K53" s="2" t="n"/>
      <c r="L53" s="2" t="n"/>
      <c r="M53" s="2" t="n"/>
    </row>
    <row r="54">
      <c r="A54" s="39" t="inlineStr">
        <is>
          <t>horizontal fijo 1:2 0,35), que son los mismos de la planilla de la catedra.</t>
        </is>
      </c>
      <c r="B54" s="2" t="n"/>
      <c r="C54" s="2" t="n"/>
      <c r="D54" s="2" t="n"/>
      <c r="E54" s="2" t="n"/>
      <c r="F54" s="2" t="n"/>
      <c r="G54" s="2" t="n"/>
      <c r="H54" s="2" t="n"/>
      <c r="I54" s="2" t="n"/>
      <c r="J54" s="2" t="n"/>
      <c r="K54" s="2" t="n"/>
      <c r="L54" s="2" t="n"/>
      <c r="M54" s="2" t="n"/>
    </row>
    <row r="55">
      <c r="A55" s="39" t="inlineStr">
        <is>
          <t>En Datos_higro esta ademas el FES maximo admitido por cuadrante segun la ordenanza, como</t>
        </is>
      </c>
      <c r="B55" s="2" t="n"/>
      <c r="C55" s="2" t="n"/>
      <c r="D55" s="2" t="n"/>
      <c r="E55" s="2" t="n"/>
      <c r="F55" s="2" t="n"/>
      <c r="G55" s="2" t="n"/>
      <c r="H55" s="2" t="n"/>
      <c r="I55" s="2" t="n"/>
      <c r="J55" s="2" t="n"/>
      <c r="K55" s="2" t="n"/>
      <c r="L55" s="2" t="n"/>
      <c r="M55" s="2" t="n"/>
    </row>
    <row r="56">
      <c r="A56" s="39" t="inlineStr">
        <is>
          <t>referencia: la verificacion no lo controla, igual que en la planilla de la catedra.</t>
        </is>
      </c>
      <c r="B56" s="2" t="n"/>
      <c r="C56" s="2" t="n"/>
      <c r="D56" s="2" t="n"/>
      <c r="E56" s="2" t="n"/>
      <c r="F56" s="2" t="n"/>
      <c r="G56" s="2" t="n"/>
      <c r="H56" s="2" t="n"/>
      <c r="I56" s="2" t="n"/>
      <c r="J56" s="2" t="n"/>
      <c r="K56" s="2" t="n"/>
      <c r="L56" s="2" t="n"/>
      <c r="M56" s="2" t="n"/>
    </row>
    <row r="57">
      <c r="A57" s="39" t="inlineStr"/>
      <c r="B57" s="2" t="n"/>
      <c r="C57" s="2" t="n"/>
      <c r="D57" s="2" t="n"/>
      <c r="E57" s="2" t="n"/>
      <c r="F57" s="2" t="n"/>
      <c r="G57" s="2" t="n"/>
      <c r="H57" s="2" t="n"/>
      <c r="I57" s="2" t="n"/>
      <c r="J57" s="2" t="n"/>
      <c r="K57" s="2" t="n"/>
      <c r="L57" s="2" t="n"/>
      <c r="M57" s="2" t="n"/>
    </row>
    <row r="58">
      <c r="A58" s="39" t="inlineStr">
        <is>
          <t>CARGADO de la planilla de carpinterias: designacion, ubicacion, ancho y tipo de vidrio</t>
        </is>
      </c>
      <c r="B58" s="2" t="n"/>
      <c r="C58" s="2" t="n"/>
      <c r="D58" s="2" t="n"/>
      <c r="E58" s="2" t="n"/>
      <c r="F58" s="2" t="n"/>
      <c r="G58" s="2" t="n"/>
      <c r="H58" s="2" t="n"/>
      <c r="I58" s="2" t="n"/>
      <c r="J58" s="2" t="n"/>
      <c r="K58" s="2" t="n"/>
      <c r="L58" s="2" t="n"/>
      <c r="M58" s="2" t="n"/>
    </row>
    <row r="59">
      <c r="A59" s="39" t="inlineStr">
        <is>
          <t>(DVH 6+9+3+3, carpinteria de aluminio linea A30 pintado negro, igual en todas las aberturas).</t>
        </is>
      </c>
      <c r="B59" s="2" t="n"/>
      <c r="C59" s="2" t="n"/>
      <c r="D59" s="2" t="n"/>
      <c r="E59" s="2" t="n"/>
      <c r="F59" s="2" t="n"/>
      <c r="G59" s="2" t="n"/>
      <c r="H59" s="2" t="n"/>
      <c r="I59" s="2" t="n"/>
      <c r="J59" s="2" t="n"/>
      <c r="K59" s="2" t="n"/>
      <c r="L59" s="2" t="n"/>
      <c r="M59" s="2" t="n"/>
    </row>
    <row r="60">
      <c r="A60" s="39" t="inlineStr"/>
      <c r="B60" s="2" t="n"/>
      <c r="C60" s="2" t="n"/>
      <c r="D60" s="2" t="n"/>
      <c r="E60" s="2" t="n"/>
      <c r="F60" s="2" t="n"/>
      <c r="G60" s="2" t="n"/>
      <c r="H60" s="2" t="n"/>
      <c r="I60" s="2" t="n"/>
      <c r="J60" s="2" t="n"/>
      <c r="K60" s="2" t="n"/>
      <c r="L60" s="2" t="n"/>
      <c r="M60" s="2" t="n"/>
    </row>
    <row r="61">
      <c r="A61" s="39" t="inlineStr">
        <is>
          <t>ALTURAS: medidas sobre el dibujo de las vistas de la planilla de carpinterias, con la escala</t>
        </is>
      </c>
      <c r="B61" s="2" t="n"/>
      <c r="C61" s="2" t="n"/>
      <c r="D61" s="2" t="n"/>
      <c r="E61" s="2" t="n"/>
      <c r="F61" s="2" t="n"/>
      <c r="G61" s="2" t="n"/>
      <c r="H61" s="2" t="n"/>
      <c r="I61" s="2" t="n"/>
      <c r="J61" s="2" t="n"/>
      <c r="K61" s="2" t="n"/>
      <c r="L61" s="2" t="n"/>
      <c r="M61" s="2" t="n"/>
    </row>
    <row r="62">
      <c r="A62" s="39" t="inlineStr">
        <is>
          <t>verificada contra los anchos acotados (error menor a 2 cm). La mayoria de las aberturas son de</t>
        </is>
      </c>
      <c r="B62" s="2" t="n"/>
      <c r="C62" s="2" t="n"/>
      <c r="D62" s="2" t="n"/>
      <c r="E62" s="2" t="n"/>
      <c r="F62" s="2" t="n"/>
      <c r="G62" s="2" t="n"/>
      <c r="H62" s="2" t="n"/>
      <c r="I62" s="2" t="n"/>
      <c r="J62" s="2" t="n"/>
      <c r="K62" s="2" t="n"/>
      <c r="L62" s="2" t="n"/>
      <c r="M62" s="2" t="n"/>
    </row>
    <row r="63">
      <c r="A63" s="39" t="inlineStr">
        <is>
          <t>piso a cielorraso, 3,00 m. VERIFICARLAS contra el plano antes de presentar.</t>
        </is>
      </c>
      <c r="B63" s="2" t="n"/>
      <c r="C63" s="2" t="n"/>
      <c r="D63" s="2" t="n"/>
      <c r="E63" s="2" t="n"/>
      <c r="F63" s="2" t="n"/>
      <c r="G63" s="2" t="n"/>
      <c r="H63" s="2" t="n"/>
      <c r="I63" s="2" t="n"/>
      <c r="J63" s="2" t="n"/>
      <c r="K63" s="2" t="n"/>
      <c r="L63" s="2" t="n"/>
      <c r="M63" s="2" t="n"/>
    </row>
    <row r="64">
      <c r="A64" s="39" t="inlineStr">
        <is>
          <t>PF04 es la unica con antepecho: arranca a 1,09 y mide 0,60 de alto. El resto llega al piso.</t>
        </is>
      </c>
      <c r="B64" s="2" t="n"/>
      <c r="C64" s="2" t="n"/>
      <c r="D64" s="2" t="n"/>
      <c r="E64" s="2" t="n"/>
      <c r="F64" s="2" t="n"/>
      <c r="G64" s="2" t="n"/>
      <c r="H64" s="2" t="n"/>
      <c r="I64" s="2" t="n"/>
      <c r="J64" s="2" t="n"/>
      <c r="K64" s="2" t="n"/>
      <c r="L64" s="2" t="n"/>
      <c r="M64" s="2" t="n"/>
    </row>
    <row r="65">
      <c r="A65" s="39" t="inlineStr">
        <is>
          <t>Las alturas de PV01 (3,00), PF04 (0,60) y PV04 (2) (2,95) las aporto el autor del proyecto.</t>
        </is>
      </c>
      <c r="B65" s="2" t="n"/>
      <c r="C65" s="2" t="n"/>
      <c r="D65" s="2" t="n"/>
      <c r="E65" s="2" t="n"/>
      <c r="F65" s="2" t="n"/>
      <c r="G65" s="2" t="n"/>
      <c r="H65" s="2" t="n"/>
      <c r="I65" s="2" t="n"/>
      <c r="J65" s="2" t="n"/>
      <c r="K65" s="2" t="n"/>
      <c r="L65" s="2" t="n"/>
      <c r="M65" s="2" t="n"/>
    </row>
    <row r="66">
      <c r="A66" s="39" t="inlineStr"/>
      <c r="B66" s="2" t="n"/>
      <c r="C66" s="2" t="n"/>
      <c r="D66" s="2" t="n"/>
      <c r="E66" s="2" t="n"/>
      <c r="F66" s="2" t="n"/>
      <c r="G66" s="2" t="n"/>
      <c r="H66" s="2" t="n"/>
      <c r="I66" s="2" t="n"/>
      <c r="J66" s="2" t="n"/>
      <c r="K66" s="2" t="n"/>
      <c r="L66" s="2" t="n"/>
      <c r="M66" s="2" t="n"/>
    </row>
    <row r="67">
      <c r="A67" s="39" t="inlineStr">
        <is>
          <t>ORIENTACION: el simbolo de norte del plano (circulo con aguja, en el patio interno) apunta a</t>
        </is>
      </c>
      <c r="B67" s="2" t="n"/>
      <c r="C67" s="2" t="n"/>
      <c r="D67" s="2" t="n"/>
      <c r="E67" s="2" t="n"/>
      <c r="F67" s="2" t="n"/>
      <c r="G67" s="2" t="n"/>
      <c r="H67" s="2" t="n"/>
      <c r="I67" s="2" t="n"/>
      <c r="J67" s="2" t="n"/>
      <c r="K67" s="2" t="n"/>
      <c r="L67" s="2" t="n"/>
      <c r="M67" s="2" t="n"/>
    </row>
    <row r="68">
      <c r="A68" s="39" t="inlineStr">
        <is>
          <t>45 grados hacia arriba y a la derecha de la hoja. Entonces las cuatro fachadas NO son N-S-E-O</t>
        </is>
      </c>
      <c r="B68" s="2" t="n"/>
      <c r="C68" s="2" t="n"/>
      <c r="D68" s="2" t="n"/>
      <c r="E68" s="2" t="n"/>
      <c r="F68" s="2" t="n"/>
      <c r="G68" s="2" t="n"/>
      <c r="H68" s="2" t="n"/>
      <c r="I68" s="2" t="n"/>
      <c r="J68" s="2" t="n"/>
      <c r="K68" s="2" t="n"/>
      <c r="L68" s="2" t="n"/>
      <c r="M68" s="2" t="n"/>
    </row>
    <row r="69">
      <c r="A69" s="39" t="inlineStr">
        <is>
          <t>sino: arriba = Noroeste, derecha = Noreste, abajo = Sudeste, izquierda = Sudoeste.</t>
        </is>
      </c>
      <c r="B69" s="2" t="n"/>
      <c r="C69" s="2" t="n"/>
      <c r="D69" s="2" t="n"/>
      <c r="E69" s="2" t="n"/>
      <c r="F69" s="2" t="n"/>
      <c r="G69" s="2" t="n"/>
      <c r="H69" s="2" t="n"/>
      <c r="I69" s="2" t="n"/>
      <c r="J69" s="2" t="n"/>
      <c r="K69" s="2" t="n"/>
      <c r="L69" s="2" t="n"/>
      <c r="M69" s="2" t="n"/>
    </row>
    <row r="70">
      <c r="A70" s="39" t="inlineStr">
        <is>
          <t>Cada abertura se asigno a la fachada por su posicion en planta. Las del patio interno se</t>
        </is>
      </c>
      <c r="B70" s="2" t="n"/>
      <c r="C70" s="2" t="n"/>
      <c r="D70" s="2" t="n"/>
      <c r="E70" s="2" t="n"/>
      <c r="F70" s="2" t="n"/>
      <c r="G70" s="2" t="n"/>
      <c r="H70" s="2" t="n"/>
      <c r="I70" s="2" t="n"/>
      <c r="J70" s="2" t="n"/>
      <c r="K70" s="2" t="n"/>
      <c r="L70" s="2" t="n"/>
      <c r="M70" s="2" t="n"/>
    </row>
    <row r="71">
      <c r="A71" s="39" t="inlineStr">
        <is>
          <t>orientan por la pared en la que estan: miran hacia adentro del patio.</t>
        </is>
      </c>
      <c r="B71" s="2" t="n"/>
      <c r="C71" s="2" t="n"/>
      <c r="D71" s="2" t="n"/>
      <c r="E71" s="2" t="n"/>
      <c r="F71" s="2" t="n"/>
      <c r="G71" s="2" t="n"/>
      <c r="H71" s="2" t="n"/>
      <c r="I71" s="2" t="n"/>
      <c r="J71" s="2" t="n"/>
      <c r="K71" s="2" t="n"/>
      <c r="L71" s="2" t="n"/>
      <c r="M71" s="2" t="n"/>
    </row>
    <row r="72">
      <c r="A72" s="39" t="inlineStr">
        <is>
          <t>Los rotulos Dormitorio Norte y Dormitorio Sur del plano no coinciden con el norte real;</t>
        </is>
      </c>
      <c r="B72" s="2" t="n"/>
      <c r="C72" s="2" t="n"/>
      <c r="D72" s="2" t="n"/>
      <c r="E72" s="2" t="n"/>
      <c r="F72" s="2" t="n"/>
      <c r="G72" s="2" t="n"/>
      <c r="H72" s="2" t="n"/>
      <c r="I72" s="2" t="n"/>
      <c r="J72" s="2" t="n"/>
      <c r="K72" s="2" t="n"/>
      <c r="L72" s="2" t="n"/>
      <c r="M72" s="2" t="n"/>
    </row>
    <row r="73">
      <c r="A73" s="39" t="inlineStr">
        <is>
          <t>parecen ser nombres de uso, no orientaciones.</t>
        </is>
      </c>
      <c r="B73" s="2" t="n"/>
      <c r="C73" s="2" t="n"/>
      <c r="D73" s="2" t="n"/>
      <c r="E73" s="2" t="n"/>
      <c r="F73" s="2" t="n"/>
      <c r="G73" s="2" t="n"/>
      <c r="H73" s="2" t="n"/>
      <c r="I73" s="2" t="n"/>
      <c r="J73" s="2" t="n"/>
      <c r="K73" s="2" t="n"/>
      <c r="L73" s="2" t="n"/>
      <c r="M73" s="2" t="n"/>
    </row>
    <row r="74">
      <c r="A74" s="39" t="inlineStr"/>
      <c r="B74" s="2" t="n"/>
      <c r="C74" s="2" t="n"/>
      <c r="D74" s="2" t="n"/>
      <c r="E74" s="2" t="n"/>
      <c r="F74" s="2" t="n"/>
      <c r="G74" s="2" t="n"/>
      <c r="H74" s="2" t="n"/>
      <c r="I74" s="2" t="n"/>
      <c r="J74" s="2" t="n"/>
      <c r="K74" s="2" t="n"/>
      <c r="L74" s="2" t="n"/>
      <c r="M74" s="2" t="n"/>
    </row>
    <row r="75">
      <c r="A75" s="39" t="inlineStr">
        <is>
          <t>PF01 figura dos veces en el plano, en las dos paredes laterales del patio interno, y por eso</t>
        </is>
      </c>
      <c r="B75" s="2" t="n"/>
      <c r="C75" s="2" t="n"/>
      <c r="D75" s="2" t="n"/>
      <c r="E75" s="2" t="n"/>
      <c r="F75" s="2" t="n"/>
      <c r="G75" s="2" t="n"/>
      <c r="H75" s="2" t="n"/>
      <c r="I75" s="2" t="n"/>
      <c r="J75" s="2" t="n"/>
      <c r="K75" s="2" t="n"/>
      <c r="L75" s="2" t="n"/>
      <c r="M75" s="2" t="n"/>
    </row>
    <row r="76">
      <c r="A76" s="39" t="inlineStr">
        <is>
          <t>se cargan dos filas. Si fuera una sola abertura rotulada dos veces, borrar la segunda.</t>
        </is>
      </c>
      <c r="B76" s="2" t="n"/>
      <c r="C76" s="2" t="n"/>
      <c r="D76" s="2" t="n"/>
      <c r="E76" s="2" t="n"/>
      <c r="F76" s="2" t="n"/>
      <c r="G76" s="2" t="n"/>
      <c r="H76" s="2" t="n"/>
      <c r="I76" s="2" t="n"/>
      <c r="J76" s="2" t="n"/>
      <c r="K76" s="2" t="n"/>
      <c r="L76" s="2" t="n"/>
      <c r="M76" s="2" t="n"/>
    </row>
    <row r="77">
      <c r="A77" s="39" t="inlineStr"/>
      <c r="B77" s="2" t="n"/>
      <c r="C77" s="2" t="n"/>
      <c r="D77" s="2" t="n"/>
      <c r="E77" s="2" t="n"/>
      <c r="F77" s="2" t="n"/>
      <c r="G77" s="2" t="n"/>
      <c r="H77" s="2" t="n"/>
      <c r="I77" s="2" t="n"/>
      <c r="J77" s="2" t="n"/>
      <c r="K77" s="2" t="n"/>
      <c r="L77" s="2" t="n"/>
      <c r="M77" s="2" t="n"/>
    </row>
    <row r="78">
      <c r="A78" s="39" t="inlineStr">
        <is>
          <t>Las puertas interiores de madera PM01 a PM08 no se cargan: no son cerramientos exteriores.</t>
        </is>
      </c>
      <c r="B78" s="2" t="n"/>
      <c r="C78" s="2" t="n"/>
      <c r="D78" s="2" t="n"/>
      <c r="E78" s="2" t="n"/>
      <c r="F78" s="2" t="n"/>
      <c r="G78" s="2" t="n"/>
      <c r="H78" s="2" t="n"/>
      <c r="I78" s="2" t="n"/>
      <c r="J78" s="2" t="n"/>
      <c r="K78" s="2" t="n"/>
      <c r="L78" s="2" t="n"/>
      <c r="M78" s="2" t="n"/>
    </row>
    <row r="79">
      <c r="A79" s="39" t="inlineStr"/>
      <c r="B79" s="2" t="n"/>
      <c r="C79" s="2" t="n"/>
      <c r="D79" s="2" t="n"/>
      <c r="E79" s="2" t="n"/>
      <c r="F79" s="2" t="n"/>
      <c r="G79" s="2" t="n"/>
      <c r="H79" s="2" t="n"/>
      <c r="I79" s="2" t="n"/>
      <c r="J79" s="2" t="n"/>
      <c r="K79" s="2" t="n"/>
      <c r="L79" s="2" t="n"/>
      <c r="M79" s="2" t="n"/>
    </row>
    <row r="80">
      <c r="A80" s="39" t="inlineStr">
        <is>
          <t>DATO DE CONTRASTE: la planilla de iluminacion y ventilacion da la superficie vidriada</t>
        </is>
      </c>
      <c r="B80" s="2" t="n"/>
      <c r="C80" s="2" t="n"/>
      <c r="D80" s="2" t="n"/>
      <c r="E80" s="2" t="n"/>
      <c r="F80" s="2" t="n"/>
      <c r="G80" s="2" t="n"/>
      <c r="H80" s="2" t="n"/>
      <c r="I80" s="2" t="n"/>
      <c r="J80" s="2" t="n"/>
      <c r="K80" s="2" t="n"/>
      <c r="L80" s="2" t="n"/>
      <c r="M80" s="2" t="n"/>
    </row>
    <row r="81">
      <c r="A81" s="39" t="inlineStr">
        <is>
          <t>proyectada de cada local. La suma da 97,4 m2, que es el orden de magnitud que deberia</t>
        </is>
      </c>
      <c r="B81" s="2" t="n"/>
      <c r="C81" s="2" t="n"/>
      <c r="D81" s="2" t="n"/>
      <c r="E81" s="2" t="n"/>
      <c r="F81" s="2" t="n"/>
      <c r="G81" s="2" t="n"/>
      <c r="H81" s="2" t="n"/>
      <c r="I81" s="2" t="n"/>
      <c r="J81" s="2" t="n"/>
      <c r="K81" s="2" t="n"/>
      <c r="L81" s="2" t="n"/>
      <c r="M81" s="2" t="n"/>
    </row>
    <row r="82">
      <c r="A82" s="39" t="inlineStr">
        <is>
          <t>dar el total de vanos de los cuatro planos. Sirve para controlar que no falte ninguno.</t>
        </is>
      </c>
      <c r="B82" s="2" t="n"/>
      <c r="C82" s="2" t="n"/>
      <c r="D82" s="2" t="n"/>
      <c r="E82" s="2" t="n"/>
      <c r="F82" s="2" t="n"/>
      <c r="G82" s="2" t="n"/>
      <c r="H82" s="2" t="n"/>
      <c r="I82" s="2" t="n"/>
      <c r="J82" s="2" t="n"/>
      <c r="K82" s="2" t="n"/>
      <c r="L82" s="2" t="n"/>
      <c r="M82" s="2" t="n"/>
    </row>
  </sheetData>
  <mergeCells count="12">
    <mergeCell ref="A19:M19"/>
    <mergeCell ref="A14:M14"/>
    <mergeCell ref="A1:M1"/>
    <mergeCell ref="A6:M6"/>
    <mergeCell ref="E20:E27"/>
    <mergeCell ref="A4:M4"/>
    <mergeCell ref="E29:E35"/>
    <mergeCell ref="A3:M3"/>
    <mergeCell ref="E7:E13"/>
    <mergeCell ref="E15:E18"/>
    <mergeCell ref="A2:M2"/>
    <mergeCell ref="A28:M28"/>
  </mergeCells>
  <conditionalFormatting sqref="M6:M35">
    <cfRule type="cellIs" priority="1" operator="equal" dxfId="2">
      <formula>"CUMPLE"</formula>
    </cfRule>
    <cfRule type="cellIs" priority="2" operator="equal" dxfId="3">
      <formula>"NO CUMPLE"</formula>
    </cfRule>
  </conditionalFormatting>
  <dataValidations count="3">
    <dataValidation sqref="H6:H35" showDropDown="0" showInputMessage="0" showErrorMessage="0" allowBlank="1" type="list">
      <formula1>=Datos_higro!$A$10:$A$17</formula1>
    </dataValidation>
    <dataValidation sqref="I6:I35" showDropDown="0" showInputMessage="0" showErrorMessage="0" allowBlank="1" type="list">
      <formula1>=Datos_higro!$A$21:$A$27</formula1>
    </dataValidation>
    <dataValidation sqref="K6:K35"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Es el valor que usa la planilla de la catedra en todas las filas.</t>
        </is>
      </c>
    </row>
    <row r="5">
      <c r="A5" s="61" t="inlineStr">
        <is>
          <t>K maximo si los vanos superan el 60% de la fachada</t>
        </is>
      </c>
      <c r="B5" s="73" t="n">
        <v>1.8</v>
      </c>
      <c r="C5" s="11" t="inlineStr">
        <is>
          <t>W/m2K</t>
        </is>
      </c>
      <c r="D5" s="66"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72" t="inlineStr">
        <is>
          <t>TIPOS DE VIDRIO</t>
        </is>
      </c>
      <c r="B8" s="2" t="n"/>
      <c r="C8" s="2" t="n"/>
      <c r="D8" s="2" t="n"/>
    </row>
    <row r="9">
      <c r="A9" s="59" t="inlineStr">
        <is>
          <t>descripcion</t>
        </is>
      </c>
      <c r="B9" s="60" t="inlineStr">
        <is>
          <t>K orientativo</t>
        </is>
      </c>
      <c r="C9" s="2" t="n"/>
      <c r="D9" s="2" t="n"/>
    </row>
    <row r="10">
      <c r="A10" s="61" t="inlineStr">
        <is>
          <t>DVH 6+9+3+3 (el de obra, aluminio linea A30)</t>
        </is>
      </c>
      <c r="B10" s="73" t="n">
        <v>2.8</v>
      </c>
      <c r="C10" s="2" t="n"/>
      <c r="D10" s="2" t="n"/>
    </row>
    <row r="11">
      <c r="A11" s="61" t="inlineStr">
        <is>
          <t>Simple incoloro 3 mm</t>
        </is>
      </c>
      <c r="B11" s="73" t="n">
        <v>5.8</v>
      </c>
      <c r="C11" s="2" t="n"/>
      <c r="D11" s="2" t="n"/>
    </row>
    <row r="12">
      <c r="A12" s="61" t="inlineStr">
        <is>
          <t>Simple incoloro 6 mm</t>
        </is>
      </c>
      <c r="B12" s="73" t="n">
        <v>5.7</v>
      </c>
      <c r="C12" s="2" t="n"/>
      <c r="D12" s="2" t="n"/>
    </row>
    <row r="13">
      <c r="A13" s="61" t="inlineStr">
        <is>
          <t>DVH Incoloro ext; incoloro interior (3+12+3 mm)</t>
        </is>
      </c>
      <c r="B13" s="73" t="n">
        <v>2.8</v>
      </c>
      <c r="C13" s="2" t="n"/>
      <c r="D13" s="2" t="n"/>
    </row>
    <row r="14">
      <c r="A14" s="61" t="inlineStr">
        <is>
          <t>DVH Incoloro ext; incoloro interior (4+12+4 mm)</t>
        </is>
      </c>
      <c r="B14" s="73" t="n">
        <v>2.75</v>
      </c>
      <c r="C14" s="2" t="n"/>
      <c r="D14" s="2" t="n"/>
    </row>
    <row r="15">
      <c r="A15" s="61" t="inlineStr">
        <is>
          <t>DVH con lamina de baja emisividad (3+12+3 mm)</t>
        </is>
      </c>
      <c r="B15" s="73" t="n">
        <v>1.8</v>
      </c>
      <c r="C15" s="2" t="n"/>
      <c r="D15" s="2" t="n"/>
    </row>
    <row r="16">
      <c r="A16" s="61" t="inlineStr">
        <is>
          <t>DVH con camara de argon (4+16+4 mm)</t>
        </is>
      </c>
      <c r="B16" s="73" t="n">
        <v>1.6</v>
      </c>
      <c r="C16" s="2" t="n"/>
      <c r="D16" s="2" t="n"/>
    </row>
    <row r="17">
      <c r="A17" s="61" t="inlineStr">
        <is>
          <t>Vidrio laminado 3+3 mm</t>
        </is>
      </c>
      <c r="B17" s="73" t="n">
        <v>5.6</v>
      </c>
      <c r="C17" s="2" t="n"/>
      <c r="D17" s="2" t="n"/>
    </row>
    <row r="18">
      <c r="A18" s="2" t="n"/>
      <c r="B18" s="2" t="n"/>
      <c r="C18" s="2" t="n"/>
      <c r="D18" s="2" t="n"/>
    </row>
    <row r="19">
      <c r="A19" s="72" t="inlineStr">
        <is>
          <t>TIPOS DE PROTECCION</t>
        </is>
      </c>
      <c r="B19" s="2" t="n"/>
      <c r="C19" s="2" t="n"/>
      <c r="D19" s="2" t="n"/>
    </row>
    <row r="20">
      <c r="A20" s="59" t="inlineStr">
        <is>
          <t>descripcion</t>
        </is>
      </c>
      <c r="B20" s="60" t="inlineStr">
        <is>
          <t>FES orientativo</t>
        </is>
      </c>
      <c r="C20" s="2" t="n"/>
      <c r="D20" s="2" t="n"/>
    </row>
    <row r="21">
      <c r="A21" s="61" t="inlineStr">
        <is>
          <t>Sin Proteccion</t>
        </is>
      </c>
      <c r="B21" s="73" t="n">
        <v>0.88</v>
      </c>
      <c r="C21" s="2" t="n"/>
      <c r="D21" s="2" t="n"/>
    </row>
    <row r="22">
      <c r="A22" s="61" t="inlineStr">
        <is>
          <t>Parasol horizontal fijo 1:2</t>
        </is>
      </c>
      <c r="B22" s="73" t="n">
        <v>0.35</v>
      </c>
      <c r="C22" s="2" t="n"/>
      <c r="D22" s="2" t="n"/>
    </row>
    <row r="23">
      <c r="A23" s="61" t="inlineStr">
        <is>
          <t>Parasol horizontal fijo 1:1</t>
        </is>
      </c>
      <c r="B23" s="73" t="n">
        <v>0.5</v>
      </c>
      <c r="C23" s="2" t="n"/>
      <c r="D23" s="2" t="n"/>
    </row>
    <row r="24">
      <c r="A24" s="61" t="inlineStr">
        <is>
          <t>Alero</t>
        </is>
      </c>
      <c r="B24" s="73" t="n">
        <v>0.6</v>
      </c>
      <c r="C24" s="2" t="n"/>
      <c r="D24" s="2" t="n"/>
    </row>
    <row r="25">
      <c r="A25" s="61" t="inlineStr">
        <is>
          <t>Cortina de enrollar exterior</t>
        </is>
      </c>
      <c r="B25" s="73" t="n">
        <v>0.25</v>
      </c>
      <c r="C25" s="2" t="n"/>
      <c r="D25" s="2" t="n"/>
    </row>
    <row r="26">
      <c r="A26" s="61" t="inlineStr">
        <is>
          <t>Persiana de madera</t>
        </is>
      </c>
      <c r="B26" s="73" t="n">
        <v>0.3</v>
      </c>
      <c r="C26" s="2" t="n"/>
      <c r="D26" s="2" t="n"/>
    </row>
    <row r="27">
      <c r="A27" s="61" t="inlineStr">
        <is>
          <t>Toldo</t>
        </is>
      </c>
      <c r="B27" s="73" t="n">
        <v>0.2</v>
      </c>
      <c r="C27" s="2" t="n"/>
      <c r="D27" s="2" t="n"/>
    </row>
    <row r="28">
      <c r="A28" s="2" t="n"/>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72" t="inlineStr">
        <is>
          <t>FACTOR DE EXPOSICION SOLAR MAXIMO ADMITIDO  (Ordenanza 8757/11)</t>
        </is>
      </c>
      <c r="B44" s="2" t="n"/>
      <c r="C44" s="2" t="n"/>
      <c r="D44" s="2" t="n"/>
    </row>
    <row r="45">
      <c r="A45" s="59" t="inlineStr">
        <is>
          <t>orientacion</t>
        </is>
      </c>
      <c r="B45" s="60" t="inlineStr">
        <is>
          <t>FES max</t>
        </is>
      </c>
      <c r="C45" s="60" t="inlineStr">
        <is>
          <t>cuadrante</t>
        </is>
      </c>
      <c r="D45" s="59" t="inlineStr">
        <is>
          <t>observacion</t>
        </is>
      </c>
    </row>
    <row r="46">
      <c r="A46" s="61" t="inlineStr">
        <is>
          <t>Norte</t>
        </is>
      </c>
      <c r="B46" s="73" t="n">
        <v>0.45</v>
      </c>
      <c r="C46" s="74" t="inlineStr">
        <is>
          <t>341 a 20 grados</t>
        </is>
      </c>
      <c r="D46" s="66" t="inlineStr">
        <is>
          <t>Cuadrante Norte (NNE-NNO).</t>
        </is>
      </c>
    </row>
    <row r="47">
      <c r="A47" s="61" t="inlineStr">
        <is>
          <t>Este</t>
        </is>
      </c>
      <c r="B47" s="73" t="n">
        <v>0.3</v>
      </c>
      <c r="C47" s="74" t="inlineStr">
        <is>
          <t>21 a 160 grados</t>
        </is>
      </c>
      <c r="D47" s="66" t="inlineStr">
        <is>
          <t>Modificado a 0,39 por decreto de 2021. Verificar vigencia.</t>
        </is>
      </c>
    </row>
    <row r="48">
      <c r="A48" s="61" t="inlineStr">
        <is>
          <t>Oeste</t>
        </is>
      </c>
      <c r="B48" s="73" t="n">
        <v>0.3</v>
      </c>
      <c r="C48" s="74" t="inlineStr">
        <is>
          <t>201 a 340 grados</t>
        </is>
      </c>
      <c r="D48" s="66" t="inlineStr">
        <is>
          <t>Modificado a 0,39 por decreto de 2021. Verificar vigencia.</t>
        </is>
      </c>
    </row>
    <row r="49">
      <c r="A49" s="61" t="inlineStr">
        <is>
          <t>Sur</t>
        </is>
      </c>
      <c r="B49" s="73" t="n">
        <v>0.9</v>
      </c>
      <c r="C49" s="74" t="inlineStr">
        <is>
          <t>161 a 200 grados</t>
        </is>
      </c>
      <c r="D49" s="66" t="inlineStr">
        <is>
          <t>Cuadrante Sur (SSE-SSO).</t>
        </is>
      </c>
    </row>
    <row r="50">
      <c r="A50" s="61" t="inlineStr">
        <is>
          <t>Noreste</t>
        </is>
      </c>
      <c r="B50" s="73" t="n">
        <v>0.3</v>
      </c>
      <c r="C50" s="74" t="inlineStr">
        <is>
          <t>cae en cuadrante Este</t>
        </is>
      </c>
      <c r="D50" s="66" t="inlineStr">
        <is>
          <t>45 grados: entra en el cuadrante Este (21 a 160).</t>
        </is>
      </c>
    </row>
    <row r="51">
      <c r="A51" s="61" t="inlineStr">
        <is>
          <t>Sudeste</t>
        </is>
      </c>
      <c r="B51" s="73" t="n">
        <v>0.3</v>
      </c>
      <c r="C51" s="74" t="inlineStr">
        <is>
          <t>cae en cuadrante Este</t>
        </is>
      </c>
      <c r="D51" s="66" t="inlineStr">
        <is>
          <t>135 grados: entra en el cuadrante Este (21 a 160).</t>
        </is>
      </c>
    </row>
    <row r="52">
      <c r="A52" s="61" t="inlineStr">
        <is>
          <t>Sudoeste</t>
        </is>
      </c>
      <c r="B52" s="73" t="n">
        <v>0.3</v>
      </c>
      <c r="C52" s="74" t="inlineStr">
        <is>
          <t>cae en cuadrante Oeste</t>
        </is>
      </c>
      <c r="D52" s="66" t="inlineStr">
        <is>
          <t>225 grados: entra en el cuadrante Oeste (201 a 340).</t>
        </is>
      </c>
    </row>
    <row r="53">
      <c r="A53" s="61" t="inlineStr">
        <is>
          <t>Noroeste</t>
        </is>
      </c>
      <c r="B53" s="73" t="n">
        <v>0.3</v>
      </c>
      <c r="C53" s="74" t="inlineStr">
        <is>
          <t>cae en cuadrante Oeste</t>
        </is>
      </c>
      <c r="D53" s="66" t="inlineStr">
        <is>
          <t>315 grados: entra en el cuadrante Oeste (201 a 340).</t>
        </is>
      </c>
    </row>
    <row r="54">
      <c r="A54" s="61" t="inlineStr">
        <is>
          <t>Horizontal</t>
        </is>
      </c>
      <c r="B54" s="73" t="n">
        <v>0.25</v>
      </c>
      <c r="C54" s="74" t="inlineStr">
        <is>
          <t>lucernarios</t>
        </is>
      </c>
      <c r="D54" s="66" t="inlineStr">
        <is>
          <t>Planos inclinados con angulo menor a 60 grados.</t>
        </is>
      </c>
    </row>
    <row r="55">
      <c r="A55" s="2" t="n"/>
      <c r="B55" s="2" t="n"/>
      <c r="C55" s="2" t="n"/>
      <c r="D55" s="2" t="n"/>
    </row>
    <row r="56">
      <c r="A56" s="38" t="inlineStr">
        <is>
          <t>La casa esta girada 45 grados respecto del norte, asi que NINGUNA de sus cuatro fachadas</t>
        </is>
      </c>
      <c r="B56" s="2" t="n"/>
      <c r="C56" s="2" t="n"/>
      <c r="D56" s="2" t="n"/>
    </row>
    <row r="57">
      <c r="A57" s="39" t="inlineStr">
        <is>
          <t>cae en el cuadrante Norte ni en el Sur: las cuatro entran en el cuadrante Este/Oeste, que es</t>
        </is>
      </c>
      <c r="B57" s="2" t="n"/>
      <c r="C57" s="2" t="n"/>
      <c r="D57" s="2" t="n"/>
    </row>
    <row r="58">
      <c r="A58" s="39" t="inlineStr">
        <is>
          <t>el mas exigente (0,30, o 0,39 segun la modificacion de 2021). Conviene confirmarlo en la</t>
        </is>
      </c>
      <c r="B58" s="2" t="n"/>
      <c r="C58" s="2" t="n"/>
      <c r="D58" s="2" t="n"/>
    </row>
    <row r="59">
      <c r="A59" s="39" t="inlineStr">
        <is>
          <t>Secretaria de Planeamiento antes de presentar: hay versiones distintas dando vueltas.</t>
        </is>
      </c>
      <c r="B59" s="2" t="n"/>
      <c r="C59" s="2" t="n"/>
      <c r="D59" s="2" t="n"/>
    </row>
    <row r="60">
      <c r="A60" s="2" t="n"/>
      <c r="B60" s="2" t="n"/>
      <c r="C60" s="2" t="n"/>
      <c r="D60" s="2" t="n"/>
    </row>
    <row r="61">
      <c r="A61" s="38" t="inlineStr">
        <is>
          <t>Si la abertura ocupa menos del 20% del lado expuesto del local, NO hay que verificar el FES</t>
        </is>
      </c>
      <c r="B61" s="2" t="n"/>
      <c r="C61" s="2" t="n"/>
      <c r="D61" s="2" t="n"/>
    </row>
    <row r="62">
      <c r="A62" s="39"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9"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9" t="inlineStr">
        <is>
          <t>Cota no legible: completar</t>
        </is>
      </c>
    </row>
    <row r="14">
      <c r="A14" s="42" t="inlineStr">
        <is>
          <t>VF06b</t>
        </is>
      </c>
      <c r="B14" s="11" t="n"/>
      <c r="C14" s="11" t="n"/>
      <c r="D14" s="11" t="n"/>
      <c r="E14" s="79"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9"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2026-10-23T21:47:43Z</dcterms:created>
  <dcterms:modified xmlns:dcterms="http://purl.org/dc/terms/" xmlns:xsi="http://www.w3.org/2001/XMLSchema-instance" xsi:type="dcterms:W3CDTF">2026-10-23T21:47:44Z</dcterms:modified>
</cp:coreProperties>
</file>