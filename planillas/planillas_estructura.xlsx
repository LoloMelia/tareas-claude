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80">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8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Fachada Noreste (borde derecho del plano)</t>
        </is>
      </c>
      <c r="B6" s="4" t="n"/>
      <c r="C6" s="4" t="n"/>
      <c r="D6" s="4" t="n"/>
      <c r="E6" s="4" t="n"/>
      <c r="F6" s="4" t="n"/>
      <c r="G6" s="4" t="n"/>
      <c r="H6" s="4" t="n"/>
      <c r="I6" s="4" t="n"/>
      <c r="J6" s="4" t="n"/>
      <c r="K6" s="4" t="n"/>
      <c r="L6" s="4" t="n"/>
      <c r="M6" s="4" t="n"/>
    </row>
    <row r="7" ht="17" customHeight="1">
      <c r="A7" s="25" t="inlineStr">
        <is>
          <t>PV02</t>
        </is>
      </c>
      <c r="B7" s="26" t="n">
        <v>3</v>
      </c>
      <c r="C7" s="26" t="n">
        <v>2.48</v>
      </c>
      <c r="D7" s="27">
        <f>IF(COUNT(B7,C7)&lt;2,"",B7*C7)</f>
        <v/>
      </c>
      <c r="E7" s="28">
        <f>SUM(D7:D14)</f>
        <v/>
      </c>
      <c r="F7" s="29">
        <f>IF(OR(D7="",$E$7=""),"",D7/$E$7)</f>
        <v/>
      </c>
      <c r="G7" s="27">
        <f>Datos_higro!$B$4</f>
        <v/>
      </c>
      <c r="H7" s="25" t="inlineStr">
        <is>
          <t>DVH 6+9+3+3 (aluminio linea A30)</t>
        </is>
      </c>
      <c r="I7" s="25" t="inlineStr">
        <is>
          <t>Cortina de enrollar exterior</t>
        </is>
      </c>
      <c r="J7" s="26" t="n">
        <v>2.8</v>
      </c>
      <c r="K7" s="25" t="inlineStr">
        <is>
          <t>Noreste</t>
        </is>
      </c>
      <c r="L7" s="26">
        <f>IF(I7="","",IFERROR(VLOOKUP(I7,Datos_higro!$A$21:$B$27,2,0),""))</f>
        <v/>
      </c>
      <c r="M7" s="30">
        <f>IF(OR(D7="",J7=""),"",IF(J7&lt;=G7,"CUMPLE","NO CUMPLE"))</f>
        <v/>
      </c>
    </row>
    <row r="8" ht="17" customHeight="1">
      <c r="A8" s="25" t="inlineStr">
        <is>
          <t>PF03</t>
        </is>
      </c>
      <c r="B8" s="26" t="n">
        <v>3</v>
      </c>
      <c r="C8" s="26" t="n">
        <v>2.88</v>
      </c>
      <c r="D8" s="27">
        <f>IF(COUNT(B8,C8)&lt;2,"",B8*C8)</f>
        <v/>
      </c>
      <c r="E8" s="31" t="n"/>
      <c r="F8" s="29">
        <f>IF(OR(D8="",$E$7=""),"",D8/$E$7)</f>
        <v/>
      </c>
      <c r="G8" s="27">
        <f>Datos_higro!$B$4</f>
        <v/>
      </c>
      <c r="H8" s="25" t="inlineStr">
        <is>
          <t>DVH 6+9+3+3 (aluminio linea A30)</t>
        </is>
      </c>
      <c r="I8" s="25" t="inlineStr">
        <is>
          <t>Sin Proteccion</t>
        </is>
      </c>
      <c r="J8" s="26" t="n">
        <v>2.8</v>
      </c>
      <c r="K8" s="25" t="inlineStr">
        <is>
          <t>Noreste</t>
        </is>
      </c>
      <c r="L8" s="26">
        <f>IF(I8="","",IFERROR(VLOOKUP(I8,Datos_higro!$A$21:$B$27,2,0),""))</f>
        <v/>
      </c>
      <c r="M8" s="30">
        <f>IF(OR(D8="",J8=""),"",IF(J8&lt;=G8,"CUMPLE","NO CUMPLE"))</f>
        <v/>
      </c>
    </row>
    <row r="9" ht="17" customHeight="1">
      <c r="A9" s="25" t="inlineStr">
        <is>
          <t>VA04</t>
        </is>
      </c>
      <c r="B9" s="26" t="n">
        <v>2.52</v>
      </c>
      <c r="C9" s="26" t="n">
        <v>2</v>
      </c>
      <c r="D9" s="27">
        <f>IF(COUNT(B9,C9)&lt;2,"",B9*C9)</f>
        <v/>
      </c>
      <c r="E9" s="31" t="n"/>
      <c r="F9" s="29">
        <f>IF(OR(D9="",$E$7=""),"",D9/$E$7)</f>
        <v/>
      </c>
      <c r="G9" s="27">
        <f>Datos_higro!$B$4</f>
        <v/>
      </c>
      <c r="H9" s="25" t="inlineStr">
        <is>
          <t>DVH 6+9+3+3 (aluminio linea A30)</t>
        </is>
      </c>
      <c r="I9" s="25" t="inlineStr">
        <is>
          <t>Cortina de enrollar exterior</t>
        </is>
      </c>
      <c r="J9" s="26" t="n">
        <v>2.8</v>
      </c>
      <c r="K9" s="25" t="inlineStr">
        <is>
          <t>Noreste</t>
        </is>
      </c>
      <c r="L9" s="26">
        <f>IF(I9="","",IFERROR(VLOOKUP(I9,Datos_higro!$A$21:$B$27,2,0),""))</f>
        <v/>
      </c>
      <c r="M9" s="30">
        <f>IF(OR(D9="",J9=""),"",IF(J9&lt;=G9,"CUMPLE","NO CUMPLE"))</f>
        <v/>
      </c>
    </row>
    <row r="10" ht="17" customHeight="1">
      <c r="A10" s="25" t="inlineStr">
        <is>
          <t>VA04 (2)</t>
        </is>
      </c>
      <c r="B10" s="26" t="n">
        <v>2.52</v>
      </c>
      <c r="C10" s="26" t="n">
        <v>2</v>
      </c>
      <c r="D10" s="27">
        <f>IF(COUNT(B10,C10)&lt;2,"",B10*C10)</f>
        <v/>
      </c>
      <c r="E10" s="31" t="n"/>
      <c r="F10" s="29">
        <f>IF(OR(D10="",$E$7=""),"",D10/$E$7)</f>
        <v/>
      </c>
      <c r="G10" s="27">
        <f>Datos_higro!$B$4</f>
        <v/>
      </c>
      <c r="H10" s="25" t="inlineStr">
        <is>
          <t>DVH 6+9+3+3 (aluminio linea A30)</t>
        </is>
      </c>
      <c r="I10" s="25" t="inlineStr">
        <is>
          <t>Cortina de enrollar exterior</t>
        </is>
      </c>
      <c r="J10" s="26" t="n">
        <v>2.8</v>
      </c>
      <c r="K10" s="25" t="inlineStr">
        <is>
          <t>Noreste</t>
        </is>
      </c>
      <c r="L10" s="26">
        <f>IF(I10="","",IFERROR(VLOOKUP(I10,Datos_higro!$A$21:$B$27,2,0),""))</f>
        <v/>
      </c>
      <c r="M10" s="30">
        <f>IF(OR(D10="",J10=""),"",IF(J10&lt;=G10,"CUMPLE","NO CUMPLE"))</f>
        <v/>
      </c>
    </row>
    <row r="11" ht="17" customHeight="1">
      <c r="A11" s="25" t="inlineStr">
        <is>
          <t>PV01</t>
        </is>
      </c>
      <c r="B11" s="26" t="n">
        <v>3</v>
      </c>
      <c r="C11" s="26" t="n">
        <v>7.7</v>
      </c>
      <c r="D11" s="27">
        <f>IF(COUNT(B11,C11)&lt;2,"",B11*C11)</f>
        <v/>
      </c>
      <c r="E11" s="31" t="n"/>
      <c r="F11" s="29">
        <f>IF(OR(D11="",$E$7=""),"",D11/$E$7)</f>
        <v/>
      </c>
      <c r="G11" s="27">
        <f>Datos_higro!$B$4</f>
        <v/>
      </c>
      <c r="H11" s="25" t="inlineStr">
        <is>
          <t>DVH 6+9+3+3 (aluminio linea A30)</t>
        </is>
      </c>
      <c r="I11" s="25" t="inlineStr">
        <is>
          <t>Cortina de enrollar exterior</t>
        </is>
      </c>
      <c r="J11" s="26" t="n">
        <v>2.8</v>
      </c>
      <c r="K11" s="25" t="inlineStr">
        <is>
          <t>Noreste</t>
        </is>
      </c>
      <c r="L11" s="26">
        <f>IF(I11="","",IFERROR(VLOOKUP(I11,Datos_higro!$A$21:$B$27,2,0),""))</f>
        <v/>
      </c>
      <c r="M11" s="30">
        <f>IF(OR(D11="",J11=""),"",IF(J11&lt;=G11,"CUMPLE","NO CUMPLE"))</f>
        <v/>
      </c>
    </row>
    <row r="12" ht="17" customHeight="1">
      <c r="A12" s="25" t="inlineStr">
        <is>
          <t>PF01</t>
        </is>
      </c>
      <c r="B12" s="26" t="n">
        <v>3</v>
      </c>
      <c r="C12" s="26" t="n">
        <v>3.55</v>
      </c>
      <c r="D12" s="27">
        <f>IF(COUNT(B12,C12)&lt;2,"",B12*C12)</f>
        <v/>
      </c>
      <c r="E12" s="31" t="n"/>
      <c r="F12" s="29">
        <f>IF(OR(D12="",$E$7=""),"",D12/$E$7)</f>
        <v/>
      </c>
      <c r="G12" s="27">
        <f>Datos_higro!$B$4</f>
        <v/>
      </c>
      <c r="H12" s="25" t="inlineStr">
        <is>
          <t>DVH 6+9+3+3 (aluminio linea A30)</t>
        </is>
      </c>
      <c r="I12" s="25" t="inlineStr">
        <is>
          <t>Sin Proteccion</t>
        </is>
      </c>
      <c r="J12" s="26" t="n">
        <v>2.8</v>
      </c>
      <c r="K12" s="25" t="inlineStr">
        <is>
          <t>Noreste</t>
        </is>
      </c>
      <c r="L12" s="26">
        <f>IF(I12="","",IFERROR(VLOOKUP(I12,Datos_higro!$A$21:$B$27,2,0),""))</f>
        <v/>
      </c>
      <c r="M12" s="30">
        <f>IF(OR(D12="",J12=""),"",IF(J12&lt;=G12,"CUMPLE","NO CUMPLE"))</f>
        <v/>
      </c>
    </row>
    <row r="13" ht="17" customHeight="1">
      <c r="A13" s="25" t="n"/>
      <c r="B13" s="26" t="n"/>
      <c r="C13" s="26" t="n"/>
      <c r="D13" s="27">
        <f>IF(COUNT(B13,C13)&lt;2,"",B13*C13)</f>
        <v/>
      </c>
      <c r="E13" s="31" t="n"/>
      <c r="F13" s="29">
        <f>IF(OR(D13="",$E$7=""),"",D13/$E$7)</f>
        <v/>
      </c>
      <c r="G13" s="27">
        <f>Datos_higro!$B$4</f>
        <v/>
      </c>
      <c r="H13" s="25" t="n"/>
      <c r="I13" s="25" t="n"/>
      <c r="J13" s="26" t="n"/>
      <c r="K13" s="25" t="n"/>
      <c r="L13" s="26">
        <f>IF(I13="","",IFERROR(VLOOKUP(I13,Datos_higro!$A$21:$B$27,2,0),""))</f>
        <v/>
      </c>
      <c r="M13" s="30">
        <f>IF(OR(D13="",J13=""),"",IF(J13&lt;=G13,"CUMPLE","NO CUMPLE"))</f>
        <v/>
      </c>
    </row>
    <row r="14" ht="17" customHeight="1">
      <c r="A14" s="32" t="n"/>
      <c r="B14" s="33" t="n"/>
      <c r="C14" s="33" t="n"/>
      <c r="D14" s="34">
        <f>IF(COUNT(B14,C14)&lt;2,"",B14*C14)</f>
        <v/>
      </c>
      <c r="E14" s="35" t="n"/>
      <c r="F14" s="36">
        <f>IF(OR(D14="",$E$7=""),"",D14/$E$7)</f>
        <v/>
      </c>
      <c r="G14" s="34">
        <f>Datos_higro!$B$4</f>
        <v/>
      </c>
      <c r="H14" s="32" t="n"/>
      <c r="I14" s="32" t="n"/>
      <c r="J14" s="33" t="n"/>
      <c r="K14" s="32" t="n"/>
      <c r="L14" s="33">
        <f>IF(I14="","",IFERROR(VLOOKUP(I14,Datos_higro!$A$21:$B$27,2,0),""))</f>
        <v/>
      </c>
      <c r="M14" s="37">
        <f>IF(OR(D14="",J14=""),"",IF(J14&lt;=G14,"CUMPLE","NO CUMPLE"))</f>
        <v/>
      </c>
    </row>
    <row r="15">
      <c r="A15" s="24" t="inlineStr">
        <is>
          <t>Plano: Fachada Sudoeste (borde izquierdo)</t>
        </is>
      </c>
      <c r="B15" s="4" t="n"/>
      <c r="C15" s="4" t="n"/>
      <c r="D15" s="4" t="n"/>
      <c r="E15" s="4" t="n"/>
      <c r="F15" s="4" t="n"/>
      <c r="G15" s="4" t="n"/>
      <c r="H15" s="4" t="n"/>
      <c r="I15" s="4" t="n"/>
      <c r="J15" s="4" t="n"/>
      <c r="K15" s="4" t="n"/>
      <c r="L15" s="4" t="n"/>
      <c r="M15" s="4" t="n"/>
    </row>
    <row r="16" ht="17" customHeight="1">
      <c r="A16" s="25" t="inlineStr">
        <is>
          <t>VA01</t>
        </is>
      </c>
      <c r="B16" s="26" t="n">
        <v>3</v>
      </c>
      <c r="C16" s="26" t="n">
        <v>0.75</v>
      </c>
      <c r="D16" s="27">
        <f>IF(COUNT(B16,C16)&lt;2,"",B16*C16)</f>
        <v/>
      </c>
      <c r="E16" s="28">
        <f>SUM(D16:D19)</f>
        <v/>
      </c>
      <c r="F16" s="29">
        <f>IF(OR(D16="",$E$16=""),"",D16/$E$16)</f>
        <v/>
      </c>
      <c r="G16" s="27">
        <f>Datos_higro!$B$4</f>
        <v/>
      </c>
      <c r="H16" s="25" t="inlineStr">
        <is>
          <t>DVH 6+9+3+3 (aluminio linea A30)</t>
        </is>
      </c>
      <c r="I16" s="25" t="inlineStr">
        <is>
          <t>Cortina de enrollar exterior</t>
        </is>
      </c>
      <c r="J16" s="26" t="n">
        <v>2.8</v>
      </c>
      <c r="K16" s="25" t="inlineStr">
        <is>
          <t>Sudoeste</t>
        </is>
      </c>
      <c r="L16" s="26">
        <f>IF(I16="","",IFERROR(VLOOKUP(I16,Datos_higro!$A$21:$B$27,2,0),""))</f>
        <v/>
      </c>
      <c r="M16" s="30">
        <f>IF(OR(D16="",J16=""),"",IF(J16&lt;=G16,"CUMPLE","NO CUMPLE"))</f>
        <v/>
      </c>
    </row>
    <row r="17" ht="17" customHeight="1">
      <c r="A17" s="25" t="inlineStr">
        <is>
          <t>PF01 (2)</t>
        </is>
      </c>
      <c r="B17" s="26" t="n">
        <v>3</v>
      </c>
      <c r="C17" s="26" t="n">
        <v>3.55</v>
      </c>
      <c r="D17" s="27">
        <f>IF(COUNT(B17,C17)&lt;2,"",B17*C17)</f>
        <v/>
      </c>
      <c r="E17" s="31" t="n"/>
      <c r="F17" s="29">
        <f>IF(OR(D17="",$E$16=""),"",D17/$E$16)</f>
        <v/>
      </c>
      <c r="G17" s="27">
        <f>Datos_higro!$B$4</f>
        <v/>
      </c>
      <c r="H17" s="25" t="inlineStr">
        <is>
          <t>DVH 6+9+3+3 (aluminio linea A30)</t>
        </is>
      </c>
      <c r="I17" s="25" t="inlineStr">
        <is>
          <t>Sin Proteccion</t>
        </is>
      </c>
      <c r="J17" s="26" t="n">
        <v>2.8</v>
      </c>
      <c r="K17" s="25" t="inlineStr">
        <is>
          <t>Sudoeste</t>
        </is>
      </c>
      <c r="L17" s="26">
        <f>IF(I17="","",IFERROR(VLOOKUP(I17,Datos_higro!$A$21:$B$27,2,0),""))</f>
        <v/>
      </c>
      <c r="M17" s="30">
        <f>IF(OR(D17="",J17=""),"",IF(J17&lt;=G17,"CUMPLE","NO CUMPLE"))</f>
        <v/>
      </c>
    </row>
    <row r="18" ht="17" customHeight="1">
      <c r="A18" s="25" t="n"/>
      <c r="B18" s="26" t="n"/>
      <c r="C18" s="26" t="n"/>
      <c r="D18" s="27">
        <f>IF(COUNT(B18,C18)&lt;2,"",B18*C18)</f>
        <v/>
      </c>
      <c r="E18" s="31" t="n"/>
      <c r="F18" s="29">
        <f>IF(OR(D18="",$E$16=""),"",D18/$E$16)</f>
        <v/>
      </c>
      <c r="G18" s="27">
        <f>Datos_higro!$B$4</f>
        <v/>
      </c>
      <c r="H18" s="25" t="n"/>
      <c r="I18" s="25" t="n"/>
      <c r="J18" s="26" t="n"/>
      <c r="K18" s="25" t="n"/>
      <c r="L18" s="26">
        <f>IF(I18="","",IFERROR(VLOOKUP(I18,Datos_higro!$A$21:$B$27,2,0),""))</f>
        <v/>
      </c>
      <c r="M18" s="30">
        <f>IF(OR(D18="",J18=""),"",IF(J18&lt;=G18,"CUMPLE","NO CUMPLE"))</f>
        <v/>
      </c>
    </row>
    <row r="19" ht="17" customHeight="1">
      <c r="A19" s="32" t="n"/>
      <c r="B19" s="33" t="n"/>
      <c r="C19" s="33" t="n"/>
      <c r="D19" s="34">
        <f>IF(COUNT(B19,C19)&lt;2,"",B19*C19)</f>
        <v/>
      </c>
      <c r="E19" s="35" t="n"/>
      <c r="F19" s="36">
        <f>IF(OR(D19="",$E$16=""),"",D19/$E$16)</f>
        <v/>
      </c>
      <c r="G19" s="34">
        <f>Datos_higro!$B$4</f>
        <v/>
      </c>
      <c r="H19" s="32" t="n"/>
      <c r="I19" s="32" t="n"/>
      <c r="J19" s="33" t="n"/>
      <c r="K19" s="32" t="n"/>
      <c r="L19" s="33">
        <f>IF(I19="","",IFERROR(VLOOKUP(I19,Datos_higro!$A$21:$B$27,2,0),""))</f>
        <v/>
      </c>
      <c r="M19" s="37">
        <f>IF(OR(D19="",J19=""),"",IF(J19&lt;=G19,"CUMPLE","NO CUMPLE"))</f>
        <v/>
      </c>
    </row>
    <row r="20">
      <c r="A20" s="24" t="inlineStr">
        <is>
          <t>Plano: Fachada Sudeste (borde inferior)</t>
        </is>
      </c>
      <c r="B20" s="4" t="n"/>
      <c r="C20" s="4" t="n"/>
      <c r="D20" s="4" t="n"/>
      <c r="E20" s="4" t="n"/>
      <c r="F20" s="4" t="n"/>
      <c r="G20" s="4" t="n"/>
      <c r="H20" s="4" t="n"/>
      <c r="I20" s="4" t="n"/>
      <c r="J20" s="4" t="n"/>
      <c r="K20" s="4" t="n"/>
      <c r="L20" s="4" t="n"/>
      <c r="M20" s="4" t="n"/>
    </row>
    <row r="21" ht="17" customHeight="1">
      <c r="A21" s="25" t="inlineStr">
        <is>
          <t>PA01</t>
        </is>
      </c>
      <c r="B21" s="26" t="n">
        <v>3</v>
      </c>
      <c r="C21" s="26" t="n">
        <v>1</v>
      </c>
      <c r="D21" s="27">
        <f>IF(COUNT(B21,C21)&lt;2,"",B21*C21)</f>
        <v/>
      </c>
      <c r="E21" s="28">
        <f>SUM(D21:D29)</f>
        <v/>
      </c>
      <c r="F21" s="29">
        <f>IF(OR(D21="",$E$21=""),"",D21/$E$21)</f>
        <v/>
      </c>
      <c r="G21" s="27">
        <f>Datos_higro!$B$4</f>
        <v/>
      </c>
      <c r="H21" s="25" t="inlineStr">
        <is>
          <t>DVH 6+9+3+3 (aluminio linea A30)</t>
        </is>
      </c>
      <c r="I21" s="25" t="inlineStr">
        <is>
          <t>Cortina de enrollar exterior</t>
        </is>
      </c>
      <c r="J21" s="26" t="n">
        <v>2.8</v>
      </c>
      <c r="K21" s="25" t="inlineStr">
        <is>
          <t>Sudeste</t>
        </is>
      </c>
      <c r="L21" s="26">
        <f>IF(I21="","",IFERROR(VLOOKUP(I21,Datos_higro!$A$21:$B$27,2,0),""))</f>
        <v/>
      </c>
      <c r="M21" s="30">
        <f>IF(OR(D21="",J21=""),"",IF(J21&lt;=G21,"CUMPLE","NO CUMPLE"))</f>
        <v/>
      </c>
    </row>
    <row r="22" ht="17" customHeight="1">
      <c r="A22" s="25" t="inlineStr">
        <is>
          <t>PF04</t>
        </is>
      </c>
      <c r="B22" s="26" t="n">
        <v>0.6</v>
      </c>
      <c r="C22" s="26" t="n">
        <v>2.7</v>
      </c>
      <c r="D22" s="27">
        <f>IF(COUNT(B22,C22)&lt;2,"",B22*C22)</f>
        <v/>
      </c>
      <c r="E22" s="31" t="n"/>
      <c r="F22" s="29">
        <f>IF(OR(D22="",$E$21=""),"",D22/$E$21)</f>
        <v/>
      </c>
      <c r="G22" s="27">
        <f>Datos_higro!$B$4</f>
        <v/>
      </c>
      <c r="H22" s="25" t="inlineStr">
        <is>
          <t>DVH 6+9+3+3 (aluminio linea A30)</t>
        </is>
      </c>
      <c r="I22" s="25" t="inlineStr">
        <is>
          <t>Sin Proteccion</t>
        </is>
      </c>
      <c r="J22" s="26" t="n">
        <v>2.8</v>
      </c>
      <c r="K22" s="25" t="inlineStr">
        <is>
          <t>Sudeste</t>
        </is>
      </c>
      <c r="L22" s="26">
        <f>IF(I22="","",IFERROR(VLOOKUP(I22,Datos_higro!$A$21:$B$27,2,0),""))</f>
        <v/>
      </c>
      <c r="M22" s="30">
        <f>IF(OR(D22="",J22=""),"",IF(J22&lt;=G22,"CUMPLE","NO CUMPLE"))</f>
        <v/>
      </c>
    </row>
    <row r="23" ht="17" customHeight="1">
      <c r="A23" s="25" t="inlineStr">
        <is>
          <t>VA01 (2)</t>
        </is>
      </c>
      <c r="B23" s="26" t="n">
        <v>3</v>
      </c>
      <c r="C23" s="26" t="n">
        <v>0.75</v>
      </c>
      <c r="D23" s="27">
        <f>IF(COUNT(B23,C23)&lt;2,"",B23*C23)</f>
        <v/>
      </c>
      <c r="E23" s="31" t="n"/>
      <c r="F23" s="29">
        <f>IF(OR(D23="",$E$21=""),"",D23/$E$21)</f>
        <v/>
      </c>
      <c r="G23" s="27">
        <f>Datos_higro!$B$4</f>
        <v/>
      </c>
      <c r="H23" s="25" t="inlineStr">
        <is>
          <t>DVH 6+9+3+3 (aluminio linea A30)</t>
        </is>
      </c>
      <c r="I23" s="25" t="inlineStr">
        <is>
          <t>Cortina de enrollar exterior</t>
        </is>
      </c>
      <c r="J23" s="26" t="n">
        <v>2.8</v>
      </c>
      <c r="K23" s="25" t="inlineStr">
        <is>
          <t>Sudeste</t>
        </is>
      </c>
      <c r="L23" s="26">
        <f>IF(I23="","",IFERROR(VLOOKUP(I23,Datos_higro!$A$21:$B$27,2,0),""))</f>
        <v/>
      </c>
      <c r="M23" s="30">
        <f>IF(OR(D23="",J23=""),"",IF(J23&lt;=G23,"CUMPLE","NO CUMPLE"))</f>
        <v/>
      </c>
    </row>
    <row r="24" ht="17" customHeight="1">
      <c r="A24" s="25" t="inlineStr">
        <is>
          <t>VA05</t>
        </is>
      </c>
      <c r="B24" s="26" t="n">
        <v>2.52</v>
      </c>
      <c r="C24" s="26" t="n">
        <v>1.4</v>
      </c>
      <c r="D24" s="27">
        <f>IF(COUNT(B24,C24)&lt;2,"",B24*C24)</f>
        <v/>
      </c>
      <c r="E24" s="31" t="n"/>
      <c r="F24" s="29">
        <f>IF(OR(D24="",$E$21=""),"",D24/$E$21)</f>
        <v/>
      </c>
      <c r="G24" s="27">
        <f>Datos_higro!$B$4</f>
        <v/>
      </c>
      <c r="H24" s="25" t="inlineStr">
        <is>
          <t>DVH 6+9+3+3 (aluminio linea A30)</t>
        </is>
      </c>
      <c r="I24" s="25" t="inlineStr">
        <is>
          <t>Cortina de enrollar exterior</t>
        </is>
      </c>
      <c r="J24" s="26" t="n">
        <v>2.8</v>
      </c>
      <c r="K24" s="25" t="inlineStr">
        <is>
          <t>Sudeste</t>
        </is>
      </c>
      <c r="L24" s="26">
        <f>IF(I24="","",IFERROR(VLOOKUP(I24,Datos_higro!$A$21:$B$27,2,0),""))</f>
        <v/>
      </c>
      <c r="M24" s="30">
        <f>IF(OR(D24="",J24=""),"",IF(J24&lt;=G24,"CUMPLE","NO CUMPLE"))</f>
        <v/>
      </c>
    </row>
    <row r="25" ht="17" customHeight="1">
      <c r="A25" s="25" t="inlineStr">
        <is>
          <t>PV04</t>
        </is>
      </c>
      <c r="B25" s="26" t="n">
        <v>3</v>
      </c>
      <c r="C25" s="26" t="n">
        <v>2.06</v>
      </c>
      <c r="D25" s="27">
        <f>IF(COUNT(B25,C25)&lt;2,"",B25*C25)</f>
        <v/>
      </c>
      <c r="E25" s="31" t="n"/>
      <c r="F25" s="29">
        <f>IF(OR(D25="",$E$21=""),"",D25/$E$21)</f>
        <v/>
      </c>
      <c r="G25" s="27">
        <f>Datos_higro!$B$4</f>
        <v/>
      </c>
      <c r="H25" s="25" t="inlineStr">
        <is>
          <t>DVH 6+9+3+3 (aluminio linea A30)</t>
        </is>
      </c>
      <c r="I25" s="25" t="inlineStr">
        <is>
          <t>Cortina de enrollar exterior</t>
        </is>
      </c>
      <c r="J25" s="26" t="n">
        <v>2.8</v>
      </c>
      <c r="K25" s="25" t="inlineStr">
        <is>
          <t>Sudeste</t>
        </is>
      </c>
      <c r="L25" s="26">
        <f>IF(I25="","",IFERROR(VLOOKUP(I25,Datos_higro!$A$21:$B$27,2,0),""))</f>
        <v/>
      </c>
      <c r="M25" s="30">
        <f>IF(OR(D25="",J25=""),"",IF(J25&lt;=G25,"CUMPLE","NO CUMPLE"))</f>
        <v/>
      </c>
    </row>
    <row r="26" ht="17" customHeight="1">
      <c r="A26" s="25" t="inlineStr">
        <is>
          <t>PV04 (2)</t>
        </is>
      </c>
      <c r="B26" s="26" t="n">
        <v>2.95</v>
      </c>
      <c r="C26" s="26" t="n">
        <v>1.5</v>
      </c>
      <c r="D26" s="27">
        <f>IF(COUNT(B26,C26)&lt;2,"",B26*C26)</f>
        <v/>
      </c>
      <c r="E26" s="31" t="n"/>
      <c r="F26" s="29">
        <f>IF(OR(D26="",$E$21=""),"",D26/$E$21)</f>
        <v/>
      </c>
      <c r="G26" s="27">
        <f>Datos_higro!$B$4</f>
        <v/>
      </c>
      <c r="H26" s="25" t="inlineStr">
        <is>
          <t>DVH 6+9+3+3 (aluminio linea A30)</t>
        </is>
      </c>
      <c r="I26" s="25" t="inlineStr">
        <is>
          <t>Cortina de enrollar exterior</t>
        </is>
      </c>
      <c r="J26" s="26" t="n">
        <v>2.8</v>
      </c>
      <c r="K26" s="25" t="inlineStr">
        <is>
          <t>Sudeste</t>
        </is>
      </c>
      <c r="L26" s="26">
        <f>IF(I26="","",IFERROR(VLOOKUP(I26,Datos_higro!$A$21:$B$27,2,0),""))</f>
        <v/>
      </c>
      <c r="M26" s="30">
        <f>IF(OR(D26="",J26=""),"",IF(J26&lt;=G26,"CUMPLE","NO CUMPLE"))</f>
        <v/>
      </c>
    </row>
    <row r="27" ht="17" customHeight="1">
      <c r="A27" s="25" t="inlineStr">
        <is>
          <t>PF02</t>
        </is>
      </c>
      <c r="B27" s="26" t="n">
        <v>3</v>
      </c>
      <c r="C27" s="26" t="n">
        <v>3.75</v>
      </c>
      <c r="D27" s="27">
        <f>IF(COUNT(B27,C27)&lt;2,"",B27*C27)</f>
        <v/>
      </c>
      <c r="E27" s="31" t="n"/>
      <c r="F27" s="29">
        <f>IF(OR(D27="",$E$21=""),"",D27/$E$21)</f>
        <v/>
      </c>
      <c r="G27" s="27">
        <f>Datos_higro!$B$4</f>
        <v/>
      </c>
      <c r="H27" s="25" t="inlineStr">
        <is>
          <t>DVH 6+9+3+3 (aluminio linea A30)</t>
        </is>
      </c>
      <c r="I27" s="25" t="inlineStr">
        <is>
          <t>Sin Proteccion</t>
        </is>
      </c>
      <c r="J27" s="26" t="n">
        <v>2.8</v>
      </c>
      <c r="K27" s="25" t="inlineStr">
        <is>
          <t>Sudeste</t>
        </is>
      </c>
      <c r="L27" s="26">
        <f>IF(I27="","",IFERROR(VLOOKUP(I27,Datos_higro!$A$21:$B$27,2,0),""))</f>
        <v/>
      </c>
      <c r="M27" s="30">
        <f>IF(OR(D27="",J27=""),"",IF(J27&lt;=G27,"CUMPLE","NO CUMPLE"))</f>
        <v/>
      </c>
    </row>
    <row r="28" ht="17" customHeight="1">
      <c r="A28" s="25" t="n"/>
      <c r="B28" s="26" t="n"/>
      <c r="C28" s="26" t="n"/>
      <c r="D28" s="27">
        <f>IF(COUNT(B28,C28)&lt;2,"",B28*C28)</f>
        <v/>
      </c>
      <c r="E28" s="31" t="n"/>
      <c r="F28" s="29">
        <f>IF(OR(D28="",$E$21=""),"",D28/$E$21)</f>
        <v/>
      </c>
      <c r="G28" s="27">
        <f>Datos_higro!$B$4</f>
        <v/>
      </c>
      <c r="H28" s="25" t="n"/>
      <c r="I28" s="25" t="n"/>
      <c r="J28" s="26" t="n"/>
      <c r="K28" s="25" t="n"/>
      <c r="L28" s="26">
        <f>IF(I28="","",IFERROR(VLOOKUP(I28,Datos_higro!$A$21:$B$27,2,0),""))</f>
        <v/>
      </c>
      <c r="M28" s="30">
        <f>IF(OR(D28="",J28=""),"",IF(J28&lt;=G28,"CUMPLE","NO CUMPLE"))</f>
        <v/>
      </c>
    </row>
    <row r="29" ht="17" customHeight="1">
      <c r="A29" s="32" t="n"/>
      <c r="B29" s="33" t="n"/>
      <c r="C29" s="33" t="n"/>
      <c r="D29" s="34">
        <f>IF(COUNT(B29,C29)&lt;2,"",B29*C29)</f>
        <v/>
      </c>
      <c r="E29" s="35" t="n"/>
      <c r="F29" s="36">
        <f>IF(OR(D29="",$E$21=""),"",D29/$E$21)</f>
        <v/>
      </c>
      <c r="G29" s="34">
        <f>Datos_higro!$B$4</f>
        <v/>
      </c>
      <c r="H29" s="32" t="n"/>
      <c r="I29" s="32" t="n"/>
      <c r="J29" s="33" t="n"/>
      <c r="K29" s="32" t="n"/>
      <c r="L29" s="33">
        <f>IF(I29="","",IFERROR(VLOOKUP(I29,Datos_higro!$A$21:$B$27,2,0),""))</f>
        <v/>
      </c>
      <c r="M29" s="37">
        <f>IF(OR(D29="",J29=""),"",IF(J29&lt;=G29,"CUMPLE","NO CUMPLE"))</f>
        <v/>
      </c>
    </row>
    <row r="30">
      <c r="A30" s="24" t="inlineStr">
        <is>
          <t>Plano: Fachada Noroeste (borde superior)</t>
        </is>
      </c>
      <c r="B30" s="4" t="n"/>
      <c r="C30" s="4" t="n"/>
      <c r="D30" s="4" t="n"/>
      <c r="E30" s="4" t="n"/>
      <c r="F30" s="4" t="n"/>
      <c r="G30" s="4" t="n"/>
      <c r="H30" s="4" t="n"/>
      <c r="I30" s="4" t="n"/>
      <c r="J30" s="4" t="n"/>
      <c r="K30" s="4" t="n"/>
      <c r="L30" s="4" t="n"/>
      <c r="M30" s="4" t="n"/>
    </row>
    <row r="31" ht="17" customHeight="1">
      <c r="A31" s="25" t="inlineStr">
        <is>
          <t>PV03</t>
        </is>
      </c>
      <c r="B31" s="26" t="n">
        <v>3</v>
      </c>
      <c r="C31" s="26" t="n">
        <v>1.76</v>
      </c>
      <c r="D31" s="27">
        <f>IF(COUNT(B31,C31)&lt;2,"",B31*C31)</f>
        <v/>
      </c>
      <c r="E31" s="28">
        <f>SUM(D31:D37)</f>
        <v/>
      </c>
      <c r="F31" s="29">
        <f>IF(OR(D31="",$E$31=""),"",D31/$E$31)</f>
        <v/>
      </c>
      <c r="G31" s="27">
        <f>Datos_higro!$B$4</f>
        <v/>
      </c>
      <c r="H31" s="25" t="inlineStr">
        <is>
          <t>DVH 6+9+3+3 (aluminio linea A30)</t>
        </is>
      </c>
      <c r="I31" s="25" t="inlineStr">
        <is>
          <t>Cortina de enrollar exterior</t>
        </is>
      </c>
      <c r="J31" s="26" t="n">
        <v>2.8</v>
      </c>
      <c r="K31" s="25" t="inlineStr">
        <is>
          <t>Noroeste</t>
        </is>
      </c>
      <c r="L31" s="26">
        <f>IF(I31="","",IFERROR(VLOOKUP(I31,Datos_higro!$A$21:$B$27,2,0),""))</f>
        <v/>
      </c>
      <c r="M31" s="30">
        <f>IF(OR(D31="",J31=""),"",IF(J31&lt;=G31,"CUMPLE","NO CUMPLE"))</f>
        <v/>
      </c>
    </row>
    <row r="32" ht="17" customHeight="1">
      <c r="A32" s="25" t="inlineStr">
        <is>
          <t>VA02</t>
        </is>
      </c>
      <c r="B32" s="26" t="n">
        <v>2.15</v>
      </c>
      <c r="C32" s="26" t="n">
        <v>0.75</v>
      </c>
      <c r="D32" s="27">
        <f>IF(COUNT(B32,C32)&lt;2,"",B32*C32)</f>
        <v/>
      </c>
      <c r="E32" s="31" t="n"/>
      <c r="F32" s="29">
        <f>IF(OR(D32="",$E$31=""),"",D32/$E$31)</f>
        <v/>
      </c>
      <c r="G32" s="27">
        <f>Datos_higro!$B$4</f>
        <v/>
      </c>
      <c r="H32" s="25" t="inlineStr">
        <is>
          <t>DVH 6+9+3+3 (aluminio linea A30)</t>
        </is>
      </c>
      <c r="I32" s="25" t="inlineStr">
        <is>
          <t>Cortina de enrollar exterior</t>
        </is>
      </c>
      <c r="J32" s="26" t="n">
        <v>2.8</v>
      </c>
      <c r="K32" s="25" t="inlineStr">
        <is>
          <t>Noroeste</t>
        </is>
      </c>
      <c r="L32" s="26">
        <f>IF(I32="","",IFERROR(VLOOKUP(I32,Datos_higro!$A$21:$B$27,2,0),""))</f>
        <v/>
      </c>
      <c r="M32" s="30">
        <f>IF(OR(D32="",J32=""),"",IF(J32&lt;=G32,"CUMPLE","NO CUMPLE"))</f>
        <v/>
      </c>
    </row>
    <row r="33" ht="17" customHeight="1">
      <c r="A33" s="25" t="inlineStr">
        <is>
          <t>PA02</t>
        </is>
      </c>
      <c r="B33" s="26" t="n">
        <v>3</v>
      </c>
      <c r="C33" s="26" t="n">
        <v>0.75</v>
      </c>
      <c r="D33" s="27">
        <f>IF(COUNT(B33,C33)&lt;2,"",B33*C33)</f>
        <v/>
      </c>
      <c r="E33" s="31" t="n"/>
      <c r="F33" s="29">
        <f>IF(OR(D33="",$E$31=""),"",D33/$E$31)</f>
        <v/>
      </c>
      <c r="G33" s="27">
        <f>Datos_higro!$B$4</f>
        <v/>
      </c>
      <c r="H33" s="25" t="inlineStr">
        <is>
          <t>DVH 6+9+3+3 (aluminio linea A30)</t>
        </is>
      </c>
      <c r="I33" s="25" t="inlineStr">
        <is>
          <t>Cortina de enrollar exterior</t>
        </is>
      </c>
      <c r="J33" s="26" t="n">
        <v>2.8</v>
      </c>
      <c r="K33" s="25" t="inlineStr">
        <is>
          <t>Noroeste</t>
        </is>
      </c>
      <c r="L33" s="26">
        <f>IF(I33="","",IFERROR(VLOOKUP(I33,Datos_higro!$A$21:$B$27,2,0),""))</f>
        <v/>
      </c>
      <c r="M33" s="30">
        <f>IF(OR(D33="",J33=""),"",IF(J33&lt;=G33,"CUMPLE","NO CUMPLE"))</f>
        <v/>
      </c>
    </row>
    <row r="34" ht="17" customHeight="1">
      <c r="A34" s="25" t="inlineStr">
        <is>
          <t>VA03</t>
        </is>
      </c>
      <c r="B34" s="26" t="n">
        <v>2.52</v>
      </c>
      <c r="C34" s="26" t="n">
        <v>0.75</v>
      </c>
      <c r="D34" s="27">
        <f>IF(COUNT(B34,C34)&lt;2,"",B34*C34)</f>
        <v/>
      </c>
      <c r="E34" s="31" t="n"/>
      <c r="F34" s="29">
        <f>IF(OR(D34="",$E$31=""),"",D34/$E$31)</f>
        <v/>
      </c>
      <c r="G34" s="27">
        <f>Datos_higro!$B$4</f>
        <v/>
      </c>
      <c r="H34" s="25" t="inlineStr">
        <is>
          <t>DVH 6+9+3+3 (aluminio linea A30)</t>
        </is>
      </c>
      <c r="I34" s="25" t="inlineStr">
        <is>
          <t>Cortina de enrollar exterior</t>
        </is>
      </c>
      <c r="J34" s="26" t="n">
        <v>2.8</v>
      </c>
      <c r="K34" s="25" t="inlineStr">
        <is>
          <t>Noroeste</t>
        </is>
      </c>
      <c r="L34" s="26">
        <f>IF(I34="","",IFERROR(VLOOKUP(I34,Datos_higro!$A$21:$B$27,2,0),""))</f>
        <v/>
      </c>
      <c r="M34" s="30">
        <f>IF(OR(D34="",J34=""),"",IF(J34&lt;=G34,"CUMPLE","NO CUMPLE"))</f>
        <v/>
      </c>
    </row>
    <row r="35" ht="17" customHeight="1">
      <c r="A35" s="25" t="inlineStr">
        <is>
          <t>PF05</t>
        </is>
      </c>
      <c r="B35" s="26" t="n">
        <v>2.52</v>
      </c>
      <c r="C35" s="26" t="n">
        <v>0.75</v>
      </c>
      <c r="D35" s="27">
        <f>IF(COUNT(B35,C35)&lt;2,"",B35*C35)</f>
        <v/>
      </c>
      <c r="E35" s="31" t="n"/>
      <c r="F35" s="29">
        <f>IF(OR(D35="",$E$31=""),"",D35/$E$31)</f>
        <v/>
      </c>
      <c r="G35" s="27">
        <f>Datos_higro!$B$4</f>
        <v/>
      </c>
      <c r="H35" s="25" t="inlineStr">
        <is>
          <t>DVH 6+9+3+3 (aluminio linea A30)</t>
        </is>
      </c>
      <c r="I35" s="25" t="inlineStr">
        <is>
          <t>Sin Proteccion</t>
        </is>
      </c>
      <c r="J35" s="26" t="n">
        <v>2.8</v>
      </c>
      <c r="K35" s="25" t="inlineStr">
        <is>
          <t>Noroeste</t>
        </is>
      </c>
      <c r="L35" s="26">
        <f>IF(I35="","",IFERROR(VLOOKUP(I35,Datos_higro!$A$21:$B$27,2,0),""))</f>
        <v/>
      </c>
      <c r="M35" s="30">
        <f>IF(OR(D35="",J35=""),"",IF(J35&lt;=G35,"CUMPLE","NO CUMPLE"))</f>
        <v/>
      </c>
    </row>
    <row r="36" ht="17" customHeight="1">
      <c r="A36" s="25" t="n"/>
      <c r="B36" s="26" t="n"/>
      <c r="C36" s="26" t="n"/>
      <c r="D36" s="27">
        <f>IF(COUNT(B36,C36)&lt;2,"",B36*C36)</f>
        <v/>
      </c>
      <c r="E36" s="31" t="n"/>
      <c r="F36" s="29">
        <f>IF(OR(D36="",$E$31=""),"",D36/$E$31)</f>
        <v/>
      </c>
      <c r="G36" s="27">
        <f>Datos_higro!$B$4</f>
        <v/>
      </c>
      <c r="H36" s="25" t="n"/>
      <c r="I36" s="25" t="n"/>
      <c r="J36" s="26" t="n"/>
      <c r="K36" s="25" t="n"/>
      <c r="L36" s="26">
        <f>IF(I36="","",IFERROR(VLOOKUP(I36,Datos_higro!$A$21:$B$27,2,0),""))</f>
        <v/>
      </c>
      <c r="M36" s="30">
        <f>IF(OR(D36="",J36=""),"",IF(J36&lt;=G36,"CUMPLE","NO CUMPLE"))</f>
        <v/>
      </c>
    </row>
    <row r="37" ht="17" customHeight="1">
      <c r="A37" s="32" t="n"/>
      <c r="B37" s="33" t="n"/>
      <c r="C37" s="33" t="n"/>
      <c r="D37" s="34">
        <f>IF(COUNT(B37,C37)&lt;2,"",B37*C37)</f>
        <v/>
      </c>
      <c r="E37" s="35" t="n"/>
      <c r="F37" s="36">
        <f>IF(OR(D37="",$E$31=""),"",D37/$E$31)</f>
        <v/>
      </c>
      <c r="G37" s="34">
        <f>Datos_higro!$B$4</f>
        <v/>
      </c>
      <c r="H37" s="32" t="n"/>
      <c r="I37" s="32" t="n"/>
      <c r="J37" s="33" t="n"/>
      <c r="K37" s="32" t="n"/>
      <c r="L37" s="33">
        <f>IF(I37="","",IFERROR(VLOOKUP(I37,Datos_higro!$A$21:$B$27,2,0),""))</f>
        <v/>
      </c>
      <c r="M37" s="37">
        <f>IF(OR(D37="",J37=""),"",IF(J37&lt;=G37,"CUMPLE","NO CUMPLE"))</f>
        <v/>
      </c>
    </row>
    <row r="38">
      <c r="A38" s="2" t="n"/>
      <c r="B38" s="2" t="n"/>
      <c r="C38" s="2" t="n"/>
      <c r="D38" s="2" t="n"/>
      <c r="E38" s="2" t="n"/>
      <c r="F38" s="2" t="n"/>
      <c r="G38" s="2" t="n"/>
      <c r="H38" s="2" t="n"/>
      <c r="I38" s="2" t="n"/>
      <c r="J38" s="2" t="n"/>
      <c r="K38" s="2" t="n"/>
      <c r="L38" s="2" t="n"/>
      <c r="M38" s="2" t="n"/>
    </row>
    <row r="39">
      <c r="A39" s="38" t="inlineStr">
        <is>
          <t>COMO SE COMPLETA</t>
        </is>
      </c>
      <c r="B39" s="2" t="n"/>
      <c r="C39" s="2" t="n"/>
      <c r="D39" s="2" t="n"/>
      <c r="E39" s="2" t="n"/>
      <c r="F39" s="2" t="n"/>
      <c r="G39" s="2" t="n"/>
      <c r="H39" s="2" t="n"/>
      <c r="I39" s="2" t="n"/>
      <c r="J39" s="2" t="n"/>
      <c r="K39" s="2" t="n"/>
      <c r="L39" s="2" t="n"/>
      <c r="M39" s="2" t="n"/>
    </row>
    <row r="40">
      <c r="A40" s="39" t="inlineStr">
        <is>
          <t>Descripcion, altura y ancho del vano: de la planilla de carpinterias.</t>
        </is>
      </c>
      <c r="B40" s="2" t="n"/>
      <c r="C40" s="2" t="n"/>
      <c r="D40" s="2" t="n"/>
      <c r="E40" s="2" t="n"/>
      <c r="F40" s="2" t="n"/>
      <c r="G40" s="2" t="n"/>
      <c r="H40" s="2" t="n"/>
      <c r="I40" s="2" t="n"/>
      <c r="J40" s="2" t="n"/>
      <c r="K40" s="2" t="n"/>
      <c r="L40" s="2" t="n"/>
      <c r="M40" s="2" t="n"/>
    </row>
    <row r="41">
      <c r="A41" s="39" t="inlineStr">
        <is>
          <t>Area del vano, area total por plano y porcentaje: se calculan solos.</t>
        </is>
      </c>
      <c r="B41" s="2" t="n"/>
      <c r="C41" s="2" t="n"/>
      <c r="D41" s="2" t="n"/>
      <c r="E41" s="2" t="n"/>
      <c r="F41" s="2" t="n"/>
      <c r="G41" s="2" t="n"/>
      <c r="H41" s="2" t="n"/>
      <c r="I41" s="2" t="n"/>
      <c r="J41" s="2" t="n"/>
      <c r="K41" s="2" t="n"/>
      <c r="L41" s="2" t="n"/>
      <c r="M41" s="2" t="n"/>
    </row>
    <row r="42">
      <c r="A42" s="39"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c r="A43" s="39" t="inlineStr">
        <is>
          <t>Transmitancia del cerramiento: cargarla segun el vidrio y el marco adoptados.</t>
        </is>
      </c>
      <c r="B43" s="2" t="n"/>
      <c r="C43" s="2" t="n"/>
      <c r="D43" s="2" t="n"/>
      <c r="E43" s="2" t="n"/>
      <c r="F43" s="2" t="n"/>
      <c r="G43" s="2" t="n"/>
      <c r="H43" s="2" t="n"/>
      <c r="I43" s="2" t="n"/>
      <c r="J43" s="2" t="n"/>
      <c r="K43" s="2" t="n"/>
      <c r="L43" s="2" t="n"/>
      <c r="M43" s="2" t="n"/>
    </row>
    <row r="44">
      <c r="A44" s="39" t="inlineStr">
        <is>
          <t>PROTECCION: ningun pano fijo PF tiene cortina: PF01, su gemelo, PF02, PF03, PF04 y PF05 van</t>
        </is>
      </c>
      <c r="B44" s="2" t="n"/>
      <c r="C44" s="2" t="n"/>
      <c r="D44" s="2" t="n"/>
      <c r="E44" s="2" t="n"/>
      <c r="F44" s="2" t="n"/>
      <c r="G44" s="2" t="n"/>
      <c r="H44" s="2" t="n"/>
      <c r="I44" s="2" t="n"/>
      <c r="J44" s="2" t="n"/>
      <c r="K44" s="2" t="n"/>
      <c r="L44" s="2" t="n"/>
      <c r="M44" s="2" t="n"/>
    </row>
    <row r="45">
      <c r="A45" s="39" t="inlineStr">
        <is>
          <t>Sin Proteccion (FES 0,88). Las otras doce llevan cortina de enrollar exterior (FES 0,25).</t>
        </is>
      </c>
      <c r="B45" s="2" t="n"/>
      <c r="C45" s="2" t="n"/>
      <c r="D45" s="2" t="n"/>
      <c r="E45" s="2" t="n"/>
      <c r="F45" s="2" t="n"/>
      <c r="G45" s="2" t="n"/>
      <c r="H45" s="2" t="n"/>
      <c r="I45" s="2" t="n"/>
      <c r="J45" s="2" t="n"/>
      <c r="K45" s="2" t="n"/>
      <c r="L45" s="2" t="n"/>
      <c r="M45" s="2" t="n"/>
    </row>
    <row r="46">
      <c r="A46" s="39" t="inlineStr"/>
      <c r="B46" s="2" t="n"/>
      <c r="C46" s="2" t="n"/>
      <c r="D46" s="2" t="n"/>
      <c r="E46" s="2" t="n"/>
      <c r="F46" s="2" t="n"/>
      <c r="G46" s="2" t="n"/>
      <c r="H46" s="2" t="n"/>
      <c r="I46" s="2" t="n"/>
      <c r="J46" s="2" t="n"/>
      <c r="K46" s="2" t="n"/>
      <c r="L46" s="2" t="n"/>
      <c r="M46" s="2" t="n"/>
    </row>
    <row r="47">
      <c r="A47" s="39" t="inlineStr">
        <is>
          <t>OJO con esas seis: 0,88 esta muy por encima del maximo de 0,30 que la ordenanza admite para</t>
        </is>
      </c>
      <c r="B47" s="2" t="n"/>
      <c r="C47" s="2" t="n"/>
      <c r="D47" s="2" t="n"/>
      <c r="E47" s="2" t="n"/>
      <c r="F47" s="2" t="n"/>
      <c r="G47" s="2" t="n"/>
      <c r="H47" s="2" t="n"/>
      <c r="I47" s="2" t="n"/>
      <c r="J47" s="2" t="n"/>
      <c r="K47" s="2" t="n"/>
      <c r="L47" s="2" t="n"/>
      <c r="M47" s="2" t="n"/>
    </row>
    <row r="48">
      <c r="A48" s="39" t="inlineStr">
        <is>
          <t>el cuadrante Este/Oeste, donde caen las cuatro fachadas de esta casa por estar girada 45</t>
        </is>
      </c>
      <c r="B48" s="2" t="n"/>
      <c r="C48" s="2" t="n"/>
      <c r="D48" s="2" t="n"/>
      <c r="E48" s="2" t="n"/>
      <c r="F48" s="2" t="n"/>
      <c r="G48" s="2" t="n"/>
      <c r="H48" s="2" t="n"/>
      <c r="I48" s="2" t="n"/>
      <c r="J48" s="2" t="n"/>
      <c r="K48" s="2" t="n"/>
      <c r="L48" s="2" t="n"/>
      <c r="M48" s="2" t="n"/>
    </row>
    <row r="49">
      <c r="A49" s="39" t="inlineStr">
        <is>
          <t>grados. La verificacion de la planilla no lo controla, igual que la de la catedra, pero si lo</t>
        </is>
      </c>
      <c r="B49" s="2" t="n"/>
      <c r="C49" s="2" t="n"/>
      <c r="D49" s="2" t="n"/>
      <c r="E49" s="2" t="n"/>
      <c r="F49" s="2" t="n"/>
      <c r="G49" s="2" t="n"/>
      <c r="H49" s="2" t="n"/>
      <c r="I49" s="2" t="n"/>
      <c r="J49" s="2" t="n"/>
      <c r="K49" s="2" t="n"/>
      <c r="L49" s="2" t="n"/>
      <c r="M49" s="2" t="n"/>
    </row>
    <row r="50">
      <c r="A50" s="39" t="inlineStr">
        <is>
          <t>presentas en el municipio esas cinco aberturas no pasarian el factor de exposicion solar.</t>
        </is>
      </c>
      <c r="B50" s="2" t="n"/>
      <c r="C50" s="2" t="n"/>
      <c r="D50" s="2" t="n"/>
      <c r="E50" s="2" t="n"/>
      <c r="F50" s="2" t="n"/>
      <c r="G50" s="2" t="n"/>
      <c r="H50" s="2" t="n"/>
      <c r="I50" s="2" t="n"/>
      <c r="J50" s="2" t="n"/>
      <c r="K50" s="2" t="n"/>
      <c r="L50" s="2" t="n"/>
      <c r="M50" s="2" t="n"/>
    </row>
    <row r="51">
      <c r="A51" s="39" t="inlineStr">
        <is>
          <t>Hay una salida: si la abertura ocupa menos del 20% del lado expuesto del local, no se verifica</t>
        </is>
      </c>
      <c r="B51" s="2" t="n"/>
      <c r="C51" s="2" t="n"/>
      <c r="D51" s="2" t="n"/>
      <c r="E51" s="2" t="n"/>
      <c r="F51" s="2" t="n"/>
      <c r="G51" s="2" t="n"/>
      <c r="H51" s="2" t="n"/>
      <c r="I51" s="2" t="n"/>
      <c r="J51" s="2" t="n"/>
      <c r="K51" s="2" t="n"/>
      <c r="L51" s="2" t="n"/>
      <c r="M51" s="2" t="n"/>
    </row>
    <row r="52">
      <c r="A52" s="39" t="inlineStr">
        <is>
          <t>el FES. Conviene chequearlo local por local.</t>
        </is>
      </c>
      <c r="B52" s="2" t="n"/>
      <c r="C52" s="2" t="n"/>
      <c r="D52" s="2" t="n"/>
      <c r="E52" s="2" t="n"/>
      <c r="F52" s="2" t="n"/>
      <c r="G52" s="2" t="n"/>
      <c r="H52" s="2" t="n"/>
      <c r="I52" s="2" t="n"/>
      <c r="J52" s="2" t="n"/>
      <c r="K52" s="2" t="n"/>
      <c r="L52" s="2" t="n"/>
      <c r="M52" s="2" t="n"/>
    </row>
    <row r="53">
      <c r="A53" s="39" t="inlineStr"/>
      <c r="B53" s="2" t="n"/>
      <c r="C53" s="2" t="n"/>
      <c r="D53" s="2" t="n"/>
      <c r="E53" s="2" t="n"/>
      <c r="F53" s="2" t="n"/>
      <c r="G53" s="2" t="n"/>
      <c r="H53" s="2" t="n"/>
      <c r="I53" s="2" t="n"/>
      <c r="J53" s="2" t="n"/>
      <c r="K53" s="2" t="n"/>
      <c r="L53" s="2" t="n"/>
      <c r="M53" s="2" t="n"/>
    </row>
    <row r="54">
      <c r="A54" s="39" t="inlineStr">
        <is>
          <t>Orientacion: ya cargada. Factor de exposicion solar: se completa SOLO al elegir el tipo de</t>
        </is>
      </c>
      <c r="B54" s="2" t="n"/>
      <c r="C54" s="2" t="n"/>
      <c r="D54" s="2" t="n"/>
      <c r="E54" s="2" t="n"/>
      <c r="F54" s="2" t="n"/>
      <c r="G54" s="2" t="n"/>
      <c r="H54" s="2" t="n"/>
      <c r="I54" s="2" t="n"/>
      <c r="J54" s="2" t="n"/>
      <c r="K54" s="2" t="n"/>
      <c r="L54" s="2" t="n"/>
      <c r="M54" s="2" t="n"/>
    </row>
    <row r="55">
      <c r="A55" s="39" t="inlineStr">
        <is>
          <t>proteccion, con los valores de la tabla de Datos_higro (Sin Proteccion 0,88; Parasol</t>
        </is>
      </c>
      <c r="B55" s="2" t="n"/>
      <c r="C55" s="2" t="n"/>
      <c r="D55" s="2" t="n"/>
      <c r="E55" s="2" t="n"/>
      <c r="F55" s="2" t="n"/>
      <c r="G55" s="2" t="n"/>
      <c r="H55" s="2" t="n"/>
      <c r="I55" s="2" t="n"/>
      <c r="J55" s="2" t="n"/>
      <c r="K55" s="2" t="n"/>
      <c r="L55" s="2" t="n"/>
      <c r="M55" s="2" t="n"/>
    </row>
    <row r="56">
      <c r="A56" s="39" t="inlineStr">
        <is>
          <t>horizontal fijo 1:2 0,35), que son los mismos de la planilla de la catedra.</t>
        </is>
      </c>
      <c r="B56" s="2" t="n"/>
      <c r="C56" s="2" t="n"/>
      <c r="D56" s="2" t="n"/>
      <c r="E56" s="2" t="n"/>
      <c r="F56" s="2" t="n"/>
      <c r="G56" s="2" t="n"/>
      <c r="H56" s="2" t="n"/>
      <c r="I56" s="2" t="n"/>
      <c r="J56" s="2" t="n"/>
      <c r="K56" s="2" t="n"/>
      <c r="L56" s="2" t="n"/>
      <c r="M56" s="2" t="n"/>
    </row>
    <row r="57">
      <c r="A57" s="39" t="inlineStr">
        <is>
          <t>En Datos_higro esta ademas el FES maximo admitido por cuadrante segun la ordenanza, como</t>
        </is>
      </c>
      <c r="B57" s="2" t="n"/>
      <c r="C57" s="2" t="n"/>
      <c r="D57" s="2" t="n"/>
      <c r="E57" s="2" t="n"/>
      <c r="F57" s="2" t="n"/>
      <c r="G57" s="2" t="n"/>
      <c r="H57" s="2" t="n"/>
      <c r="I57" s="2" t="n"/>
      <c r="J57" s="2" t="n"/>
      <c r="K57" s="2" t="n"/>
      <c r="L57" s="2" t="n"/>
      <c r="M57" s="2" t="n"/>
    </row>
    <row r="58">
      <c r="A58" s="39" t="inlineStr">
        <is>
          <t>referencia: la verificacion no lo controla, igual que en la planilla de la catedra.</t>
        </is>
      </c>
      <c r="B58" s="2" t="n"/>
      <c r="C58" s="2" t="n"/>
      <c r="D58" s="2" t="n"/>
      <c r="E58" s="2" t="n"/>
      <c r="F58" s="2" t="n"/>
      <c r="G58" s="2" t="n"/>
      <c r="H58" s="2" t="n"/>
      <c r="I58" s="2" t="n"/>
      <c r="J58" s="2" t="n"/>
      <c r="K58" s="2" t="n"/>
      <c r="L58" s="2" t="n"/>
      <c r="M58" s="2" t="n"/>
    </row>
    <row r="59">
      <c r="A59" s="39" t="inlineStr"/>
      <c r="B59" s="2" t="n"/>
      <c r="C59" s="2" t="n"/>
      <c r="D59" s="2" t="n"/>
      <c r="E59" s="2" t="n"/>
      <c r="F59" s="2" t="n"/>
      <c r="G59" s="2" t="n"/>
      <c r="H59" s="2" t="n"/>
      <c r="I59" s="2" t="n"/>
      <c r="J59" s="2" t="n"/>
      <c r="K59" s="2" t="n"/>
      <c r="L59" s="2" t="n"/>
      <c r="M59" s="2" t="n"/>
    </row>
    <row r="60">
      <c r="A60" s="39" t="inlineStr">
        <is>
          <t>CARGADO de la planilla de carpinterias: designacion, ubicacion, ancho y tipo de vidrio</t>
        </is>
      </c>
      <c r="B60" s="2" t="n"/>
      <c r="C60" s="2" t="n"/>
      <c r="D60" s="2" t="n"/>
      <c r="E60" s="2" t="n"/>
      <c r="F60" s="2" t="n"/>
      <c r="G60" s="2" t="n"/>
      <c r="H60" s="2" t="n"/>
      <c r="I60" s="2" t="n"/>
      <c r="J60" s="2" t="n"/>
      <c r="K60" s="2" t="n"/>
      <c r="L60" s="2" t="n"/>
      <c r="M60" s="2" t="n"/>
    </row>
    <row r="61">
      <c r="A61" s="39" t="inlineStr">
        <is>
          <t>(DVH 6+9+3+3, carpinteria de aluminio linea A30 pintado negro, igual en todas las aberturas).</t>
        </is>
      </c>
      <c r="B61" s="2" t="n"/>
      <c r="C61" s="2" t="n"/>
      <c r="D61" s="2" t="n"/>
      <c r="E61" s="2" t="n"/>
      <c r="F61" s="2" t="n"/>
      <c r="G61" s="2" t="n"/>
      <c r="H61" s="2" t="n"/>
      <c r="I61" s="2" t="n"/>
      <c r="J61" s="2" t="n"/>
      <c r="K61" s="2" t="n"/>
      <c r="L61" s="2" t="n"/>
      <c r="M61" s="2" t="n"/>
    </row>
    <row r="62">
      <c r="A62" s="39" t="inlineStr"/>
      <c r="B62" s="2" t="n"/>
      <c r="C62" s="2" t="n"/>
      <c r="D62" s="2" t="n"/>
      <c r="E62" s="2" t="n"/>
      <c r="F62" s="2" t="n"/>
      <c r="G62" s="2" t="n"/>
      <c r="H62" s="2" t="n"/>
      <c r="I62" s="2" t="n"/>
      <c r="J62" s="2" t="n"/>
      <c r="K62" s="2" t="n"/>
      <c r="L62" s="2" t="n"/>
      <c r="M62" s="2" t="n"/>
    </row>
    <row r="63">
      <c r="A63" s="39" t="inlineStr">
        <is>
          <t>ALTURAS: medidas sobre el dibujo de las vistas de la planilla de carpinterias, con la escala</t>
        </is>
      </c>
      <c r="B63" s="2" t="n"/>
      <c r="C63" s="2" t="n"/>
      <c r="D63" s="2" t="n"/>
      <c r="E63" s="2" t="n"/>
      <c r="F63" s="2" t="n"/>
      <c r="G63" s="2" t="n"/>
      <c r="H63" s="2" t="n"/>
      <c r="I63" s="2" t="n"/>
      <c r="J63" s="2" t="n"/>
      <c r="K63" s="2" t="n"/>
      <c r="L63" s="2" t="n"/>
      <c r="M63" s="2" t="n"/>
    </row>
    <row r="64">
      <c r="A64" s="39" t="inlineStr">
        <is>
          <t>verificada contra los anchos acotados (error menor a 2 cm). La mayoria de las aberturas son de</t>
        </is>
      </c>
      <c r="B64" s="2" t="n"/>
      <c r="C64" s="2" t="n"/>
      <c r="D64" s="2" t="n"/>
      <c r="E64" s="2" t="n"/>
      <c r="F64" s="2" t="n"/>
      <c r="G64" s="2" t="n"/>
      <c r="H64" s="2" t="n"/>
      <c r="I64" s="2" t="n"/>
      <c r="J64" s="2" t="n"/>
      <c r="K64" s="2" t="n"/>
      <c r="L64" s="2" t="n"/>
      <c r="M64" s="2" t="n"/>
    </row>
    <row r="65">
      <c r="A65" s="39" t="inlineStr">
        <is>
          <t>piso a cielorraso, 3,00 m. VERIFICARLAS contra el plano antes de presentar.</t>
        </is>
      </c>
      <c r="B65" s="2" t="n"/>
      <c r="C65" s="2" t="n"/>
      <c r="D65" s="2" t="n"/>
      <c r="E65" s="2" t="n"/>
      <c r="F65" s="2" t="n"/>
      <c r="G65" s="2" t="n"/>
      <c r="H65" s="2" t="n"/>
      <c r="I65" s="2" t="n"/>
      <c r="J65" s="2" t="n"/>
      <c r="K65" s="2" t="n"/>
      <c r="L65" s="2" t="n"/>
      <c r="M65" s="2" t="n"/>
    </row>
    <row r="66">
      <c r="A66" s="39" t="inlineStr">
        <is>
          <t>PF04 es la unica con antepecho: arranca a 1,09 y mide 0,60 de alto. El resto llega al piso.</t>
        </is>
      </c>
      <c r="B66" s="2" t="n"/>
      <c r="C66" s="2" t="n"/>
      <c r="D66" s="2" t="n"/>
      <c r="E66" s="2" t="n"/>
      <c r="F66" s="2" t="n"/>
      <c r="G66" s="2" t="n"/>
      <c r="H66" s="2" t="n"/>
      <c r="I66" s="2" t="n"/>
      <c r="J66" s="2" t="n"/>
      <c r="K66" s="2" t="n"/>
      <c r="L66" s="2" t="n"/>
      <c r="M66" s="2" t="n"/>
    </row>
    <row r="67">
      <c r="A67" s="39" t="inlineStr">
        <is>
          <t>Las alturas de PV01 (3,00), PF04 (0,60) y PV04 (2) (2,95) las aporto el autor del proyecto.</t>
        </is>
      </c>
      <c r="B67" s="2" t="n"/>
      <c r="C67" s="2" t="n"/>
      <c r="D67" s="2" t="n"/>
      <c r="E67" s="2" t="n"/>
      <c r="F67" s="2" t="n"/>
      <c r="G67" s="2" t="n"/>
      <c r="H67" s="2" t="n"/>
      <c r="I67" s="2" t="n"/>
      <c r="J67" s="2" t="n"/>
      <c r="K67" s="2" t="n"/>
      <c r="L67" s="2" t="n"/>
      <c r="M67" s="2" t="n"/>
    </row>
    <row r="68">
      <c r="A68" s="39" t="inlineStr"/>
      <c r="B68" s="2" t="n"/>
      <c r="C68" s="2" t="n"/>
      <c r="D68" s="2" t="n"/>
      <c r="E68" s="2" t="n"/>
      <c r="F68" s="2" t="n"/>
      <c r="G68" s="2" t="n"/>
      <c r="H68" s="2" t="n"/>
      <c r="I68" s="2" t="n"/>
      <c r="J68" s="2" t="n"/>
      <c r="K68" s="2" t="n"/>
      <c r="L68" s="2" t="n"/>
      <c r="M68" s="2" t="n"/>
    </row>
    <row r="69">
      <c r="A69" s="39" t="inlineStr">
        <is>
          <t>ORIENTACION: el simbolo de norte del plano (circulo con aguja, en el patio interno) apunta a</t>
        </is>
      </c>
      <c r="B69" s="2" t="n"/>
      <c r="C69" s="2" t="n"/>
      <c r="D69" s="2" t="n"/>
      <c r="E69" s="2" t="n"/>
      <c r="F69" s="2" t="n"/>
      <c r="G69" s="2" t="n"/>
      <c r="H69" s="2" t="n"/>
      <c r="I69" s="2" t="n"/>
      <c r="J69" s="2" t="n"/>
      <c r="K69" s="2" t="n"/>
      <c r="L69" s="2" t="n"/>
      <c r="M69" s="2" t="n"/>
    </row>
    <row r="70">
      <c r="A70" s="39" t="inlineStr">
        <is>
          <t>45 grados hacia arriba y a la derecha de la hoja. Entonces las cuatro fachadas NO son N-S-E-O</t>
        </is>
      </c>
      <c r="B70" s="2" t="n"/>
      <c r="C70" s="2" t="n"/>
      <c r="D70" s="2" t="n"/>
      <c r="E70" s="2" t="n"/>
      <c r="F70" s="2" t="n"/>
      <c r="G70" s="2" t="n"/>
      <c r="H70" s="2" t="n"/>
      <c r="I70" s="2" t="n"/>
      <c r="J70" s="2" t="n"/>
      <c r="K70" s="2" t="n"/>
      <c r="L70" s="2" t="n"/>
      <c r="M70" s="2" t="n"/>
    </row>
    <row r="71">
      <c r="A71" s="39" t="inlineStr">
        <is>
          <t>sino: arriba = Noroeste, derecha = Noreste, abajo = Sudeste, izquierda = Sudoeste.</t>
        </is>
      </c>
      <c r="B71" s="2" t="n"/>
      <c r="C71" s="2" t="n"/>
      <c r="D71" s="2" t="n"/>
      <c r="E71" s="2" t="n"/>
      <c r="F71" s="2" t="n"/>
      <c r="G71" s="2" t="n"/>
      <c r="H71" s="2" t="n"/>
      <c r="I71" s="2" t="n"/>
      <c r="J71" s="2" t="n"/>
      <c r="K71" s="2" t="n"/>
      <c r="L71" s="2" t="n"/>
      <c r="M71" s="2" t="n"/>
    </row>
    <row r="72">
      <c r="A72" s="39" t="inlineStr">
        <is>
          <t>Cada abertura se asigno a la fachada por su posicion en planta. Las del patio interno se</t>
        </is>
      </c>
      <c r="B72" s="2" t="n"/>
      <c r="C72" s="2" t="n"/>
      <c r="D72" s="2" t="n"/>
      <c r="E72" s="2" t="n"/>
      <c r="F72" s="2" t="n"/>
      <c r="G72" s="2" t="n"/>
      <c r="H72" s="2" t="n"/>
      <c r="I72" s="2" t="n"/>
      <c r="J72" s="2" t="n"/>
      <c r="K72" s="2" t="n"/>
      <c r="L72" s="2" t="n"/>
      <c r="M72" s="2" t="n"/>
    </row>
    <row r="73">
      <c r="A73" s="39" t="inlineStr">
        <is>
          <t>orientan por la pared en la que estan: miran hacia adentro del patio.</t>
        </is>
      </c>
      <c r="B73" s="2" t="n"/>
      <c r="C73" s="2" t="n"/>
      <c r="D73" s="2" t="n"/>
      <c r="E73" s="2" t="n"/>
      <c r="F73" s="2" t="n"/>
      <c r="G73" s="2" t="n"/>
      <c r="H73" s="2" t="n"/>
      <c r="I73" s="2" t="n"/>
      <c r="J73" s="2" t="n"/>
      <c r="K73" s="2" t="n"/>
      <c r="L73" s="2" t="n"/>
      <c r="M73" s="2" t="n"/>
    </row>
    <row r="74">
      <c r="A74" s="39" t="inlineStr">
        <is>
          <t>Los rotulos Dormitorio Norte y Dormitorio Sur del plano no coinciden con el norte real;</t>
        </is>
      </c>
      <c r="B74" s="2" t="n"/>
      <c r="C74" s="2" t="n"/>
      <c r="D74" s="2" t="n"/>
      <c r="E74" s="2" t="n"/>
      <c r="F74" s="2" t="n"/>
      <c r="G74" s="2" t="n"/>
      <c r="H74" s="2" t="n"/>
      <c r="I74" s="2" t="n"/>
      <c r="J74" s="2" t="n"/>
      <c r="K74" s="2" t="n"/>
      <c r="L74" s="2" t="n"/>
      <c r="M74" s="2" t="n"/>
    </row>
    <row r="75">
      <c r="A75" s="39" t="inlineStr">
        <is>
          <t>parecen ser nombres de uso, no orientaciones.</t>
        </is>
      </c>
      <c r="B75" s="2" t="n"/>
      <c r="C75" s="2" t="n"/>
      <c r="D75" s="2" t="n"/>
      <c r="E75" s="2" t="n"/>
      <c r="F75" s="2" t="n"/>
      <c r="G75" s="2" t="n"/>
      <c r="H75" s="2" t="n"/>
      <c r="I75" s="2" t="n"/>
      <c r="J75" s="2" t="n"/>
      <c r="K75" s="2" t="n"/>
      <c r="L75" s="2" t="n"/>
      <c r="M75" s="2" t="n"/>
    </row>
    <row r="76">
      <c r="A76" s="39" t="inlineStr"/>
      <c r="B76" s="2" t="n"/>
      <c r="C76" s="2" t="n"/>
      <c r="D76" s="2" t="n"/>
      <c r="E76" s="2" t="n"/>
      <c r="F76" s="2" t="n"/>
      <c r="G76" s="2" t="n"/>
      <c r="H76" s="2" t="n"/>
      <c r="I76" s="2" t="n"/>
      <c r="J76" s="2" t="n"/>
      <c r="K76" s="2" t="n"/>
      <c r="L76" s="2" t="n"/>
      <c r="M76" s="2" t="n"/>
    </row>
    <row r="77">
      <c r="A77" s="39" t="inlineStr">
        <is>
          <t>CANTIDADES: la planilla de carpinterias trae la cantidad de cada abertura. Tres van dos veces:</t>
        </is>
      </c>
      <c r="B77" s="2" t="n"/>
      <c r="C77" s="2" t="n"/>
      <c r="D77" s="2" t="n"/>
      <c r="E77" s="2" t="n"/>
      <c r="F77" s="2" t="n"/>
      <c r="G77" s="2" t="n"/>
      <c r="H77" s="2" t="n"/>
      <c r="I77" s="2" t="n"/>
      <c r="J77" s="2" t="n"/>
      <c r="K77" s="2" t="n"/>
      <c r="L77" s="2" t="n"/>
      <c r="M77" s="2" t="n"/>
    </row>
    <row r="78">
      <c r="A78" s="39" t="inlineStr">
        <is>
          <t>VA01 (01 Cocina y 09 Suite), VA04 (13 Dormitorio Norte y 14 Play Room) y PF01 (03 Lavadero y</t>
        </is>
      </c>
      <c r="B78" s="2" t="n"/>
      <c r="C78" s="2" t="n"/>
      <c r="D78" s="2" t="n"/>
      <c r="E78" s="2" t="n"/>
      <c r="F78" s="2" t="n"/>
      <c r="G78" s="2" t="n"/>
      <c r="H78" s="2" t="n"/>
      <c r="I78" s="2" t="n"/>
      <c r="J78" s="2" t="n"/>
      <c r="K78" s="2" t="n"/>
      <c r="L78" s="2" t="n"/>
      <c r="M78" s="2" t="n"/>
    </row>
    <row r="79">
      <c r="A79" s="39" t="inlineStr">
        <is>
          <t>07 Hall de ingreso, a los dos lados del patio interno). Por eso la planilla tiene 20 filas y</t>
        </is>
      </c>
      <c r="B79" s="2" t="n"/>
      <c r="C79" s="2" t="n"/>
      <c r="D79" s="2" t="n"/>
      <c r="E79" s="2" t="n"/>
      <c r="F79" s="2" t="n"/>
      <c r="G79" s="2" t="n"/>
      <c r="H79" s="2" t="n"/>
      <c r="I79" s="2" t="n"/>
      <c r="J79" s="2" t="n"/>
      <c r="K79" s="2" t="n"/>
      <c r="L79" s="2" t="n"/>
      <c r="M79" s="2" t="n"/>
    </row>
    <row r="80">
      <c r="A80" s="39" t="inlineStr">
        <is>
          <t>no 17. Las demas aberturas son de una sola unidad.</t>
        </is>
      </c>
      <c r="B80" s="2" t="n"/>
      <c r="C80" s="2" t="n"/>
      <c r="D80" s="2" t="n"/>
      <c r="E80" s="2" t="n"/>
      <c r="F80" s="2" t="n"/>
      <c r="G80" s="2" t="n"/>
      <c r="H80" s="2" t="n"/>
      <c r="I80" s="2" t="n"/>
      <c r="J80" s="2" t="n"/>
      <c r="K80" s="2" t="n"/>
      <c r="L80" s="2" t="n"/>
      <c r="M80" s="2" t="n"/>
    </row>
    <row r="81">
      <c r="A81" s="39" t="inlineStr"/>
      <c r="B81" s="2" t="n"/>
      <c r="C81" s="2" t="n"/>
      <c r="D81" s="2" t="n"/>
      <c r="E81" s="2" t="n"/>
      <c r="F81" s="2" t="n"/>
      <c r="G81" s="2" t="n"/>
      <c r="H81" s="2" t="n"/>
      <c r="I81" s="2" t="n"/>
      <c r="J81" s="2" t="n"/>
      <c r="K81" s="2" t="n"/>
      <c r="L81" s="2" t="n"/>
      <c r="M81" s="2" t="n"/>
    </row>
    <row r="82">
      <c r="A82" s="39" t="inlineStr">
        <is>
          <t>Las puertas interiores de madera PM01 a PM08 no se cargan: no son cerramientos exteriores.</t>
        </is>
      </c>
      <c r="B82" s="2" t="n"/>
      <c r="C82" s="2" t="n"/>
      <c r="D82" s="2" t="n"/>
      <c r="E82" s="2" t="n"/>
      <c r="F82" s="2" t="n"/>
      <c r="G82" s="2" t="n"/>
      <c r="H82" s="2" t="n"/>
      <c r="I82" s="2" t="n"/>
      <c r="J82" s="2" t="n"/>
      <c r="K82" s="2" t="n"/>
      <c r="L82" s="2" t="n"/>
      <c r="M82" s="2" t="n"/>
    </row>
    <row r="83">
      <c r="A83" s="39" t="inlineStr"/>
      <c r="B83" s="2" t="n"/>
      <c r="C83" s="2" t="n"/>
      <c r="D83" s="2" t="n"/>
      <c r="E83" s="2" t="n"/>
      <c r="F83" s="2" t="n"/>
      <c r="G83" s="2" t="n"/>
      <c r="H83" s="2" t="n"/>
      <c r="I83" s="2" t="n"/>
      <c r="J83" s="2" t="n"/>
      <c r="K83" s="2" t="n"/>
      <c r="L83" s="2" t="n"/>
      <c r="M83" s="2" t="n"/>
    </row>
    <row r="84">
      <c r="A84" s="39" t="inlineStr">
        <is>
          <t>DATO DE CONTRASTE: la planilla de iluminacion y ventilacion da la superficie vidriada</t>
        </is>
      </c>
      <c r="B84" s="2" t="n"/>
      <c r="C84" s="2" t="n"/>
      <c r="D84" s="2" t="n"/>
      <c r="E84" s="2" t="n"/>
      <c r="F84" s="2" t="n"/>
      <c r="G84" s="2" t="n"/>
      <c r="H84" s="2" t="n"/>
      <c r="I84" s="2" t="n"/>
      <c r="J84" s="2" t="n"/>
      <c r="K84" s="2" t="n"/>
      <c r="L84" s="2" t="n"/>
      <c r="M84" s="2" t="n"/>
    </row>
    <row r="85">
      <c r="A85" s="39" t="inlineStr">
        <is>
          <t>proyectada de cada local. La suma da 97,4 m2, que es el orden de magnitud que deberia</t>
        </is>
      </c>
      <c r="B85" s="2" t="n"/>
      <c r="C85" s="2" t="n"/>
      <c r="D85" s="2" t="n"/>
      <c r="E85" s="2" t="n"/>
      <c r="F85" s="2" t="n"/>
      <c r="G85" s="2" t="n"/>
      <c r="H85" s="2" t="n"/>
      <c r="I85" s="2" t="n"/>
      <c r="J85" s="2" t="n"/>
      <c r="K85" s="2" t="n"/>
      <c r="L85" s="2" t="n"/>
      <c r="M85" s="2" t="n"/>
    </row>
    <row r="86">
      <c r="A86" s="39" t="inlineStr">
        <is>
          <t>dar el total de vanos de los cuatro planos. Sirve para controlar que no falte ninguno.</t>
        </is>
      </c>
      <c r="B86" s="2" t="n"/>
      <c r="C86" s="2" t="n"/>
      <c r="D86" s="2" t="n"/>
      <c r="E86" s="2" t="n"/>
      <c r="F86" s="2" t="n"/>
      <c r="G86" s="2" t="n"/>
      <c r="H86" s="2" t="n"/>
      <c r="I86" s="2" t="n"/>
      <c r="J86" s="2" t="n"/>
      <c r="K86" s="2" t="n"/>
      <c r="L86" s="2" t="n"/>
      <c r="M86" s="2" t="n"/>
    </row>
  </sheetData>
  <mergeCells count="12">
    <mergeCell ref="A1:M1"/>
    <mergeCell ref="E7:E14"/>
    <mergeCell ref="A6:M6"/>
    <mergeCell ref="A4:M4"/>
    <mergeCell ref="A3:M3"/>
    <mergeCell ref="E21:E29"/>
    <mergeCell ref="A30:M30"/>
    <mergeCell ref="E16:E19"/>
    <mergeCell ref="A15:M15"/>
    <mergeCell ref="E31:E37"/>
    <mergeCell ref="A20:M20"/>
    <mergeCell ref="A2:M2"/>
  </mergeCells>
  <conditionalFormatting sqref="M6:M37">
    <cfRule type="cellIs" priority="1" operator="equal" dxfId="2">
      <formula>"CUMPLE"</formula>
    </cfRule>
    <cfRule type="cellIs" priority="2" operator="equal" dxfId="3">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=Datos_higro!$A$21:$A$27</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0"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1" t="inlineStr">
        <is>
          <t>PA</t>
        </is>
      </c>
      <c r="B4" s="42" t="inlineStr">
        <is>
          <t>VI 01a</t>
        </is>
      </c>
      <c r="C4" s="8" t="n">
        <v>9.9</v>
      </c>
      <c r="D4" s="43">
        <f>(Datos_vigas!$B$10*(VLOOKUP($A$4,Datos_vigas!$A$14:$E$15,2,0)*AF4+Datos_vigas!$B$7*J4*L4/10000+Datos_vigas!$B$16*AG4)+Datos_vigas!$B$11*VLOOKUP($A$4,Datos_vigas!$A$14:$E$15,3,0)*AF4)</f>
        <v/>
      </c>
      <c r="E4" s="11" t="n"/>
      <c r="F4" s="43">
        <f>VLOOKUP(Y4,Datos_vigas!$A$19:$E$23,4,0)*D4*C4+IF(OR(AD4="",AE4=""),0,AD4*MAX(AE4,C4-AE4)/C4)</f>
        <v/>
      </c>
      <c r="G4" s="43">
        <f>F4</f>
        <v/>
      </c>
      <c r="H4" s="43">
        <f>VLOOKUP(Y4,Datos_vigas!$A$19:$E$23,2,0)*D4*C4^2+0.75*1000*IF(OR(AD4="",AE4=""),0,AD4*AE4*(C4-AE4)/C4/1000)</f>
        <v/>
      </c>
      <c r="I4" s="43">
        <f>IF(VLOOKUP(Y4,Datos_vigas!$A$19:$E$23,3,0)=0,"---",VLOOKUP(Y4,Datos_vigas!$A$19:$E$23,3,0)*D4*C4^2+0.50*1000*IF(OR(AD4="",AE4=""),0,AD4*AE4*(C4-AE4)/C4/1000))</f>
        <v/>
      </c>
      <c r="J4" s="10" t="n">
        <v>15</v>
      </c>
      <c r="K4" s="11">
        <f>L4-AH4</f>
        <v/>
      </c>
      <c r="L4" s="10" t="n">
        <v>70</v>
      </c>
      <c r="M4" s="44">
        <f>IF(NOT(ISNUMBER(H4)),"---",IF(H4&lt;=0,"---",IF(H4*100/(Datos_vigas!$B$8*AB4*K4^2*Datos_vigas!$B$5)&gt;=0.5,"REVISAR",MAX((1-SQRT(1-2*H4*100/(Datos_vigas!$B$8*AB4*K4^2*Datos_vigas!$B$5)))*AB4*K4*Datos_vigas!$B$5/Datos_vigas!$B$6,0.0033*J4*K4))))</f>
        <v/>
      </c>
      <c r="N4" s="10" t="n">
        <v>3</v>
      </c>
      <c r="O4" s="10" t="n">
        <v>12</v>
      </c>
      <c r="P4" s="44">
        <f>IF(NOT(ISNUMBER(I4)),"---",IF(I4&lt;=0,"---",IF(I4*100/(Datos_vigas!$B$8*AC4*K4^2*Datos_vigas!$B$5)&gt;=0.5,"REVISAR",MAX((1-SQRT(1-2*I4*100/(Datos_vigas!$B$8*AC4*K4^2*Datos_vigas!$B$5)))*AC4*K4*Datos_vigas!$B$5/Datos_vigas!$B$6,0.0033*J4*K4))))</f>
        <v/>
      </c>
      <c r="Q4" s="10" t="n">
        <v>2</v>
      </c>
      <c r="R4" s="10" t="n">
        <v>20</v>
      </c>
      <c r="S4" s="44">
        <f>F4/(J4*0.85*K4)</f>
        <v/>
      </c>
      <c r="T4" s="44">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1" t="n"/>
      <c r="B5" s="42" t="inlineStr">
        <is>
          <t>VI 01b</t>
        </is>
      </c>
      <c r="C5" s="8" t="n">
        <v>3.95</v>
      </c>
      <c r="D5" s="43">
        <f>(Datos_vigas!$B$10*(VLOOKUP($A$4,Datos_vigas!$A$14:$E$15,2,0)*AF5+Datos_vigas!$B$7*J5*L5/10000+Datos_vigas!$B$16*AG5)+Datos_vigas!$B$11*VLOOKUP($A$4,Datos_vigas!$A$14:$E$15,3,0)*AF5)</f>
        <v/>
      </c>
      <c r="E5" s="11" t="n"/>
      <c r="F5" s="43">
        <f>VLOOKUP(Y5,Datos_vigas!$A$19:$E$23,4,0)*D5*C5+IF(OR(AD5="",AE5=""),0,AD5*MAX(AE5,C5-AE5)/C5)</f>
        <v/>
      </c>
      <c r="G5" s="43">
        <f>F5</f>
        <v/>
      </c>
      <c r="H5" s="43">
        <f>VLOOKUP(Y5,Datos_vigas!$A$19:$E$23,2,0)*D5*C5^2+0.75*1000*IF(OR(AD5="",AE5=""),0,AD5*AE5*(C5-AE5)/C5/1000)</f>
        <v/>
      </c>
      <c r="I5" s="43">
        <f>IF(VLOOKUP(Y5,Datos_vigas!$A$19:$E$23,3,0)=0,"---",VLOOKUP(Y5,Datos_vigas!$A$19:$E$23,3,0)*D5*C5^2+0.50*1000*IF(OR(AD5="",AE5=""),0,AD5*AE5*(C5-AE5)/C5/1000))</f>
        <v/>
      </c>
      <c r="J5" s="10" t="n">
        <v>15</v>
      </c>
      <c r="K5" s="11">
        <f>L5-AH5</f>
        <v/>
      </c>
      <c r="L5" s="10" t="n">
        <v>70</v>
      </c>
      <c r="M5" s="44">
        <f>IF(NOT(ISNUMBER(H5)),"---",IF(H5&lt;=0,"---",IF(H5*100/(Datos_vigas!$B$8*AB5*K5^2*Datos_vigas!$B$5)&gt;=0.5,"REVISAR",MAX((1-SQRT(1-2*H5*100/(Datos_vigas!$B$8*AB5*K5^2*Datos_vigas!$B$5)))*AB5*K5*Datos_vigas!$B$5/Datos_vigas!$B$6,0.0033*J5*K5))))</f>
        <v/>
      </c>
      <c r="N5" s="10" t="n">
        <v>3</v>
      </c>
      <c r="O5" s="10" t="n">
        <v>12</v>
      </c>
      <c r="P5" s="44">
        <f>IF(NOT(ISNUMBER(I5)),"---",IF(I5&lt;=0,"---",IF(I5*100/(Datos_vigas!$B$8*AC5*K5^2*Datos_vigas!$B$5)&gt;=0.5,"REVISAR",MAX((1-SQRT(1-2*I5*100/(Datos_vigas!$B$8*AC5*K5^2*Datos_vigas!$B$5)))*AC5*K5*Datos_vigas!$B$5/Datos_vigas!$B$6,0.0033*J5*K5))))</f>
        <v/>
      </c>
      <c r="Q5" s="10" t="n">
        <v>3</v>
      </c>
      <c r="R5" s="10" t="n">
        <v>12</v>
      </c>
      <c r="S5" s="44">
        <f>F5/(J5*0.85*K5)</f>
        <v/>
      </c>
      <c r="T5" s="44">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1" t="n"/>
      <c r="B6" s="42" t="inlineStr">
        <is>
          <t>VI 02</t>
        </is>
      </c>
      <c r="C6" s="8" t="n">
        <v>9.880000000000001</v>
      </c>
      <c r="D6" s="43">
        <f>(Datos_vigas!$B$10*(VLOOKUP($A$4,Datos_vigas!$A$14:$E$15,2,0)*AF6+Datos_vigas!$B$7*J6*L6/10000+Datos_vigas!$B$16*AG6)+Datos_vigas!$B$11*VLOOKUP($A$4,Datos_vigas!$A$14:$E$15,3,0)*AF6)</f>
        <v/>
      </c>
      <c r="E6" s="11" t="n"/>
      <c r="F6" s="43">
        <f>VLOOKUP(Y6,Datos_vigas!$A$19:$E$23,4,0)*D6*C6+IF(OR(AD6="",AE6=""),0,AD6*MAX(AE6,C6-AE6)/C6)</f>
        <v/>
      </c>
      <c r="G6" s="43">
        <f>F6</f>
        <v/>
      </c>
      <c r="H6" s="43">
        <f>VLOOKUP(Y6,Datos_vigas!$A$19:$E$23,2,0)*D6*C6^2+0.75*1000*IF(OR(AD6="",AE6=""),0,AD6*AE6*(C6-AE6)/C6/1000)</f>
        <v/>
      </c>
      <c r="I6" s="43">
        <f>IF(VLOOKUP(Y6,Datos_vigas!$A$19:$E$23,3,0)=0,"---",VLOOKUP(Y6,Datos_vigas!$A$19:$E$23,3,0)*D6*C6^2+0.50*1000*IF(OR(AD6="",AE6=""),0,AD6*AE6*(C6-AE6)/C6/1000))</f>
        <v/>
      </c>
      <c r="J6" s="10" t="n">
        <v>15</v>
      </c>
      <c r="K6" s="11">
        <f>L6-AH6</f>
        <v/>
      </c>
      <c r="L6" s="10" t="n">
        <v>70</v>
      </c>
      <c r="M6" s="44">
        <f>IF(NOT(ISNUMBER(H6)),"---",IF(H6&lt;=0,"---",IF(H6*100/(Datos_vigas!$B$8*AB6*K6^2*Datos_vigas!$B$5)&gt;=0.5,"REVISAR",MAX((1-SQRT(1-2*H6*100/(Datos_vigas!$B$8*AB6*K6^2*Datos_vigas!$B$5)))*AB6*K6*Datos_vigas!$B$5/Datos_vigas!$B$6,0.0033*J6*K6))))</f>
        <v/>
      </c>
      <c r="N6" s="10" t="n">
        <v>4</v>
      </c>
      <c r="O6" s="10" t="n">
        <v>20</v>
      </c>
      <c r="P6" s="44">
        <f>IF(NOT(ISNUMBER(I6)),"---",IF(I6&lt;=0,"---",IF(I6*100/(Datos_vigas!$B$8*AC6*K6^2*Datos_vigas!$B$5)&gt;=0.5,"REVISAR",MAX((1-SQRT(1-2*I6*100/(Datos_vigas!$B$8*AC6*K6^2*Datos_vigas!$B$5)))*AC6*K6*Datos_vigas!$B$5/Datos_vigas!$B$6,0.0033*J6*K6))))</f>
        <v/>
      </c>
      <c r="Q6" s="10" t="n">
        <v>4</v>
      </c>
      <c r="R6" s="10" t="n">
        <v>25</v>
      </c>
      <c r="S6" s="44">
        <f>F6/(J6*0.85*K6)</f>
        <v/>
      </c>
      <c r="T6" s="44">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1" t="n"/>
      <c r="B7" s="42" t="inlineStr">
        <is>
          <t>VI 03c</t>
        </is>
      </c>
      <c r="C7" s="8" t="n">
        <v>3.75</v>
      </c>
      <c r="D7" s="43">
        <f>(Datos_vigas!$B$10*(VLOOKUP($A$4,Datos_vigas!$A$14:$E$15,2,0)*AF7+Datos_vigas!$B$7*J7*L7/10000+Datos_vigas!$B$16*AG7)+Datos_vigas!$B$11*VLOOKUP($A$4,Datos_vigas!$A$14:$E$15,3,0)*AF7)</f>
        <v/>
      </c>
      <c r="E7" s="11" t="n"/>
      <c r="F7" s="43">
        <f>VLOOKUP(Y7,Datos_vigas!$A$19:$E$23,4,0)*D7*C7+IF(OR(AD7="",AE7=""),0,AD7*MAX(AE7,C7-AE7)/C7)</f>
        <v/>
      </c>
      <c r="G7" s="43">
        <f>F7</f>
        <v/>
      </c>
      <c r="H7" s="43">
        <f>VLOOKUP(Y7,Datos_vigas!$A$19:$E$23,2,0)*D7*C7^2+0.75*1000*IF(OR(AD7="",AE7=""),0,AD7*AE7*(C7-AE7)/C7/1000)</f>
        <v/>
      </c>
      <c r="I7" s="43">
        <f>IF(VLOOKUP(Y7,Datos_vigas!$A$19:$E$23,3,0)=0,"---",VLOOKUP(Y7,Datos_vigas!$A$19:$E$23,3,0)*D7*C7^2+0.50*1000*IF(OR(AD7="",AE7=""),0,AD7*AE7*(C7-AE7)/C7/1000))</f>
        <v/>
      </c>
      <c r="J7" s="10" t="n">
        <v>15</v>
      </c>
      <c r="K7" s="11">
        <f>L7-AH7</f>
        <v/>
      </c>
      <c r="L7" s="10" t="n">
        <v>70</v>
      </c>
      <c r="M7" s="44">
        <f>IF(NOT(ISNUMBER(H7)),"---",IF(H7&lt;=0,"---",IF(H7*100/(Datos_vigas!$B$8*AB7*K7^2*Datos_vigas!$B$5)&gt;=0.5,"REVISAR",MAX((1-SQRT(1-2*H7*100/(Datos_vigas!$B$8*AB7*K7^2*Datos_vigas!$B$5)))*AB7*K7*Datos_vigas!$B$5/Datos_vigas!$B$6,0.0033*J7*K7))))</f>
        <v/>
      </c>
      <c r="N7" s="10" t="n">
        <v>3</v>
      </c>
      <c r="O7" s="10" t="n">
        <v>12</v>
      </c>
      <c r="P7" s="44">
        <f>IF(NOT(ISNUMBER(I7)),"---",IF(I7&lt;=0,"---",IF(I7*100/(Datos_vigas!$B$8*AC7*K7^2*Datos_vigas!$B$5)&gt;=0.5,"REVISAR",MAX((1-SQRT(1-2*I7*100/(Datos_vigas!$B$8*AC7*K7^2*Datos_vigas!$B$5)))*AC7*K7*Datos_vigas!$B$5/Datos_vigas!$B$6,0.0033*J7*K7))))</f>
        <v/>
      </c>
      <c r="Q7" s="10" t="n">
        <v>3</v>
      </c>
      <c r="R7" s="10" t="n">
        <v>12</v>
      </c>
      <c r="S7" s="44">
        <f>F7/(J7*0.85*K7)</f>
        <v/>
      </c>
      <c r="T7" s="44">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1" t="n"/>
      <c r="B8" s="42" t="inlineStr">
        <is>
          <t>VI 04a</t>
        </is>
      </c>
      <c r="C8" s="8" t="n">
        <v>3.75</v>
      </c>
      <c r="D8" s="43">
        <f>(Datos_vigas!$B$10*(VLOOKUP($A$4,Datos_vigas!$A$14:$E$15,2,0)*AF8+Datos_vigas!$B$7*J8*L8/10000+Datos_vigas!$B$16*AG8)+Datos_vigas!$B$11*VLOOKUP($A$4,Datos_vigas!$A$14:$E$15,3,0)*AF8)</f>
        <v/>
      </c>
      <c r="E8" s="11" t="n"/>
      <c r="F8" s="43">
        <f>VLOOKUP(Y8,Datos_vigas!$A$19:$E$23,4,0)*D8*C8+IF(OR(AD8="",AE8=""),0,AD8*MAX(AE8,C8-AE8)/C8)</f>
        <v/>
      </c>
      <c r="G8" s="43">
        <f>F8</f>
        <v/>
      </c>
      <c r="H8" s="43">
        <f>VLOOKUP(Y8,Datos_vigas!$A$19:$E$23,2,0)*D8*C8^2+0.75*1000*IF(OR(AD8="",AE8=""),0,AD8*AE8*(C8-AE8)/C8/1000)</f>
        <v/>
      </c>
      <c r="I8" s="43">
        <f>IF(VLOOKUP(Y8,Datos_vigas!$A$19:$E$23,3,0)=0,"---",VLOOKUP(Y8,Datos_vigas!$A$19:$E$23,3,0)*D8*C8^2+0.50*1000*IF(OR(AD8="",AE8=""),0,AD8*AE8*(C8-AE8)/C8/1000))</f>
        <v/>
      </c>
      <c r="J8" s="10" t="n">
        <v>15</v>
      </c>
      <c r="K8" s="11">
        <f>L8-AH8</f>
        <v/>
      </c>
      <c r="L8" s="10" t="n">
        <v>70</v>
      </c>
      <c r="M8" s="44">
        <f>IF(NOT(ISNUMBER(H8)),"---",IF(H8&lt;=0,"---",IF(H8*100/(Datos_vigas!$B$8*AB8*K8^2*Datos_vigas!$B$5)&gt;=0.5,"REVISAR",MAX((1-SQRT(1-2*H8*100/(Datos_vigas!$B$8*AB8*K8^2*Datos_vigas!$B$5)))*AB8*K8*Datos_vigas!$B$5/Datos_vigas!$B$6,0.0033*J8*K8))))</f>
        <v/>
      </c>
      <c r="N8" s="10" t="n">
        <v>3</v>
      </c>
      <c r="O8" s="10" t="n">
        <v>12</v>
      </c>
      <c r="P8" s="44">
        <f>IF(NOT(ISNUMBER(I8)),"---",IF(I8&lt;=0,"---",IF(I8*100/(Datos_vigas!$B$8*AC8*K8^2*Datos_vigas!$B$5)&gt;=0.5,"REVISAR",MAX((1-SQRT(1-2*I8*100/(Datos_vigas!$B$8*AC8*K8^2*Datos_vigas!$B$5)))*AC8*K8*Datos_vigas!$B$5/Datos_vigas!$B$6,0.0033*J8*K8))))</f>
        <v/>
      </c>
      <c r="Q8" s="10" t="n">
        <v>3</v>
      </c>
      <c r="R8" s="10" t="n">
        <v>12</v>
      </c>
      <c r="S8" s="44">
        <f>F8/(J8*0.85*K8)</f>
        <v/>
      </c>
      <c r="T8" s="44">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1" t="n"/>
      <c r="B9" s="42" t="inlineStr">
        <is>
          <t>VI 04b</t>
        </is>
      </c>
      <c r="C9" s="8" t="n">
        <v>3.8</v>
      </c>
      <c r="D9" s="43">
        <f>(Datos_vigas!$B$10*(VLOOKUP($A$4,Datos_vigas!$A$14:$E$15,2,0)*AF9+Datos_vigas!$B$7*J9*L9/10000+Datos_vigas!$B$16*AG9)+Datos_vigas!$B$11*VLOOKUP($A$4,Datos_vigas!$A$14:$E$15,3,0)*AF9)</f>
        <v/>
      </c>
      <c r="E9" s="11" t="n"/>
      <c r="F9" s="43">
        <f>VLOOKUP(Y9,Datos_vigas!$A$19:$E$23,4,0)*D9*C9+IF(OR(AD9="",AE9=""),0,AD9*MAX(AE9,C9-AE9)/C9)</f>
        <v/>
      </c>
      <c r="G9" s="43">
        <f>F9</f>
        <v/>
      </c>
      <c r="H9" s="43">
        <f>VLOOKUP(Y9,Datos_vigas!$A$19:$E$23,2,0)*D9*C9^2+0.75*1000*IF(OR(AD9="",AE9=""),0,AD9*AE9*(C9-AE9)/C9/1000)</f>
        <v/>
      </c>
      <c r="I9" s="43">
        <f>IF(VLOOKUP(Y9,Datos_vigas!$A$19:$E$23,3,0)=0,"---",VLOOKUP(Y9,Datos_vigas!$A$19:$E$23,3,0)*D9*C9^2+0.50*1000*IF(OR(AD9="",AE9=""),0,AD9*AE9*(C9-AE9)/C9/1000))</f>
        <v/>
      </c>
      <c r="J9" s="10" t="n">
        <v>15</v>
      </c>
      <c r="K9" s="11">
        <f>L9-AH9</f>
        <v/>
      </c>
      <c r="L9" s="10" t="n">
        <v>70</v>
      </c>
      <c r="M9" s="44">
        <f>IF(NOT(ISNUMBER(H9)),"---",IF(H9&lt;=0,"---",IF(H9*100/(Datos_vigas!$B$8*AB9*K9^2*Datos_vigas!$B$5)&gt;=0.5,"REVISAR",MAX((1-SQRT(1-2*H9*100/(Datos_vigas!$B$8*AB9*K9^2*Datos_vigas!$B$5)))*AB9*K9*Datos_vigas!$B$5/Datos_vigas!$B$6,0.0033*J9*K9))))</f>
        <v/>
      </c>
      <c r="N9" s="10" t="n">
        <v>3</v>
      </c>
      <c r="O9" s="10" t="n">
        <v>12</v>
      </c>
      <c r="P9" s="44">
        <f>IF(NOT(ISNUMBER(I9)),"---",IF(I9&lt;=0,"---",IF(I9*100/(Datos_vigas!$B$8*AC9*K9^2*Datos_vigas!$B$5)&gt;=0.5,"REVISAR",MAX((1-SQRT(1-2*I9*100/(Datos_vigas!$B$8*AC9*K9^2*Datos_vigas!$B$5)))*AC9*K9*Datos_vigas!$B$5/Datos_vigas!$B$6,0.0033*J9*K9))))</f>
        <v/>
      </c>
      <c r="Q9" s="10" t="n">
        <v>3</v>
      </c>
      <c r="R9" s="10" t="n">
        <v>12</v>
      </c>
      <c r="S9" s="44">
        <f>F9/(J9*0.85*K9)</f>
        <v/>
      </c>
      <c r="T9" s="44">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1" t="n"/>
      <c r="B10" s="42" t="inlineStr">
        <is>
          <t>VI 06</t>
        </is>
      </c>
      <c r="C10" s="8" t="n">
        <v>6.53</v>
      </c>
      <c r="D10" s="43">
        <f>(Datos_vigas!$B$10*(VLOOKUP($A$4,Datos_vigas!$A$14:$E$15,2,0)*AF10+Datos_vigas!$B$7*J10*L10/10000+Datos_vigas!$B$16*AG10)+Datos_vigas!$B$11*VLOOKUP($A$4,Datos_vigas!$A$14:$E$15,3,0)*AF10)</f>
        <v/>
      </c>
      <c r="E10" s="11" t="n"/>
      <c r="F10" s="43">
        <f>VLOOKUP(Y10,Datos_vigas!$A$19:$E$23,4,0)*D10*C10+IF(OR(AD10="",AE10=""),0,AD10*MAX(AE10,C10-AE10)/C10)</f>
        <v/>
      </c>
      <c r="G10" s="43">
        <f>F10</f>
        <v/>
      </c>
      <c r="H10" s="43">
        <f>VLOOKUP(Y10,Datos_vigas!$A$19:$E$23,2,0)*D10*C10^2+0.75*1000*IF(OR(AD10="",AE10=""),0,AD10*AE10*(C10-AE10)/C10/1000)</f>
        <v/>
      </c>
      <c r="I10" s="43">
        <f>IF(VLOOKUP(Y10,Datos_vigas!$A$19:$E$23,3,0)=0,"---",VLOOKUP(Y10,Datos_vigas!$A$19:$E$23,3,0)*D10*C10^2+0.50*1000*IF(OR(AD10="",AE10=""),0,AD10*AE10*(C10-AE10)/C10/1000))</f>
        <v/>
      </c>
      <c r="J10" s="10" t="n">
        <v>15</v>
      </c>
      <c r="K10" s="11">
        <f>L10-AH10</f>
        <v/>
      </c>
      <c r="L10" s="10" t="n">
        <v>70</v>
      </c>
      <c r="M10" s="44">
        <f>IF(NOT(ISNUMBER(H10)),"---",IF(H10&lt;=0,"---",IF(H10*100/(Datos_vigas!$B$8*AB10*K10^2*Datos_vigas!$B$5)&gt;=0.5,"REVISAR",MAX((1-SQRT(1-2*H10*100/(Datos_vigas!$B$8*AB10*K10^2*Datos_vigas!$B$5)))*AB10*K10*Datos_vigas!$B$5/Datos_vigas!$B$6,0.0033*J10*K10))))</f>
        <v/>
      </c>
      <c r="N10" s="10" t="n">
        <v>2</v>
      </c>
      <c r="O10" s="10" t="n">
        <v>20</v>
      </c>
      <c r="P10" s="44">
        <f>IF(NOT(ISNUMBER(I10)),"---",IF(I10&lt;=0,"---",IF(I10*100/(Datos_vigas!$B$8*AC10*K10^2*Datos_vigas!$B$5)&gt;=0.5,"REVISAR",MAX((1-SQRT(1-2*I10*100/(Datos_vigas!$B$8*AC10*K10^2*Datos_vigas!$B$5)))*AC10*K10*Datos_vigas!$B$5/Datos_vigas!$B$6,0.0033*J10*K10))))</f>
        <v/>
      </c>
      <c r="Q10" s="10" t="n">
        <v>2</v>
      </c>
      <c r="R10" s="10" t="n">
        <v>20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1" t="n"/>
      <c r="B11" s="42" t="inlineStr">
        <is>
          <t>VI 07a</t>
        </is>
      </c>
      <c r="C11" s="8" t="n">
        <v>3.37</v>
      </c>
      <c r="D11" s="43">
        <f>(Datos_vigas!$B$10*(VLOOKUP($A$4,Datos_vigas!$A$14:$E$15,2,0)*AF11+Datos_vigas!$B$7*J11*L11/10000+Datos_vigas!$B$16*AG11)+Datos_vigas!$B$11*VLOOKUP($A$4,Datos_vigas!$A$14:$E$15,3,0)*AF11)</f>
        <v/>
      </c>
      <c r="E11" s="11" t="n"/>
      <c r="F11" s="43">
        <f>VLOOKUP(Y11,Datos_vigas!$A$19:$E$23,4,0)*D11*C11+IF(OR(AD11="",AE11=""),0,AD11*MAX(AE11,C11-AE11)/C11)</f>
        <v/>
      </c>
      <c r="G11" s="43">
        <f>F11</f>
        <v/>
      </c>
      <c r="H11" s="43">
        <f>VLOOKUP(Y11,Datos_vigas!$A$19:$E$23,2,0)*D11*C11^2+0.75*1000*IF(OR(AD11="",AE11=""),0,AD11*AE11*(C11-AE11)/C11/1000)</f>
        <v/>
      </c>
      <c r="I11" s="43">
        <f>IF(VLOOKUP(Y11,Datos_vigas!$A$19:$E$23,3,0)=0,"---",VLOOKUP(Y11,Datos_vigas!$A$19:$E$23,3,0)*D11*C11^2+0.50*1000*IF(OR(AD11="",AE11=""),0,AD11*AE11*(C11-AE11)/C11/1000))</f>
        <v/>
      </c>
      <c r="J11" s="10" t="n">
        <v>15</v>
      </c>
      <c r="K11" s="11">
        <f>L11-AH11</f>
        <v/>
      </c>
      <c r="L11" s="10" t="n">
        <v>70</v>
      </c>
      <c r="M11" s="44">
        <f>IF(NOT(ISNUMBER(H11)),"---",IF(H11&lt;=0,"---",IF(H11*100/(Datos_vigas!$B$8*AB11*K11^2*Datos_vigas!$B$5)&gt;=0.5,"REVISAR",MAX((1-SQRT(1-2*H11*100/(Datos_vigas!$B$8*AB11*K11^2*Datos_vigas!$B$5)))*AB11*K11*Datos_vigas!$B$5/Datos_vigas!$B$6,0.0033*J11*K11))))</f>
        <v/>
      </c>
      <c r="N11" s="10" t="n">
        <v>3</v>
      </c>
      <c r="O11" s="10" t="n">
        <v>12</v>
      </c>
      <c r="P11" s="44">
        <f>IF(NOT(ISNUMBER(I11)),"---",IF(I11&lt;=0,"---",IF(I11*100/(Datos_vigas!$B$8*AC11*K11^2*Datos_vigas!$B$5)&gt;=0.5,"REVISAR",MAX((1-SQRT(1-2*I11*100/(Datos_vigas!$B$8*AC11*K11^2*Datos_vigas!$B$5)))*AC11*K11*Datos_vigas!$B$5/Datos_vigas!$B$6,0.0033*J11*K11))))</f>
        <v/>
      </c>
      <c r="Q11" s="10" t="n">
        <v>3</v>
      </c>
      <c r="R11" s="10" t="n">
        <v>12</v>
      </c>
      <c r="S11" s="44">
        <f>F11/(J11*0.85*K11)</f>
        <v/>
      </c>
      <c r="T11" s="44">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1" t="n"/>
      <c r="B12" s="42" t="inlineStr">
        <is>
          <t>VI 07b</t>
        </is>
      </c>
      <c r="C12" s="8" t="n">
        <v>4.03</v>
      </c>
      <c r="D12" s="43">
        <f>(Datos_vigas!$B$10*(VLOOKUP($A$4,Datos_vigas!$A$14:$E$15,2,0)*AF12+Datos_vigas!$B$7*J12*L12/10000+Datos_vigas!$B$16*AG12)+Datos_vigas!$B$11*VLOOKUP($A$4,Datos_vigas!$A$14:$E$15,3,0)*AF12)</f>
        <v/>
      </c>
      <c r="E12" s="11" t="n"/>
      <c r="F12" s="43">
        <f>VLOOKUP(Y12,Datos_vigas!$A$19:$E$23,4,0)*D12*C12+IF(OR(AD12="",AE12=""),0,AD12*MAX(AE12,C12-AE12)/C12)</f>
        <v/>
      </c>
      <c r="G12" s="43">
        <f>F12</f>
        <v/>
      </c>
      <c r="H12" s="43">
        <f>VLOOKUP(Y12,Datos_vigas!$A$19:$E$23,2,0)*D12*C12^2+0.75*1000*IF(OR(AD12="",AE12=""),0,AD12*AE12*(C12-AE12)/C12/1000)</f>
        <v/>
      </c>
      <c r="I12" s="43">
        <f>IF(VLOOKUP(Y12,Datos_vigas!$A$19:$E$23,3,0)=0,"---",VLOOKUP(Y12,Datos_vigas!$A$19:$E$23,3,0)*D12*C12^2+0.50*1000*IF(OR(AD12="",AE12=""),0,AD12*AE12*(C12-AE12)/C12/1000))</f>
        <v/>
      </c>
      <c r="J12" s="10" t="n">
        <v>15</v>
      </c>
      <c r="K12" s="11">
        <f>L12-AH12</f>
        <v/>
      </c>
      <c r="L12" s="10" t="n">
        <v>70</v>
      </c>
      <c r="M12" s="44">
        <f>IF(NOT(ISNUMBER(H12)),"---",IF(H12&lt;=0,"---",IF(H12*100/(Datos_vigas!$B$8*AB12*K12^2*Datos_vigas!$B$5)&gt;=0.5,"REVISAR",MAX((1-SQRT(1-2*H12*100/(Datos_vigas!$B$8*AB12*K12^2*Datos_vigas!$B$5)))*AB12*K12*Datos_vigas!$B$5/Datos_vigas!$B$6,0.0033*J12*K12))))</f>
        <v/>
      </c>
      <c r="N12" s="10" t="n">
        <v>3</v>
      </c>
      <c r="O12" s="10" t="n">
        <v>12</v>
      </c>
      <c r="P12" s="44">
        <f>IF(NOT(ISNUMBER(I12)),"---",IF(I12&lt;=0,"---",IF(I12*100/(Datos_vigas!$B$8*AC12*K12^2*Datos_vigas!$B$5)&gt;=0.5,"REVISAR",MAX((1-SQRT(1-2*I12*100/(Datos_vigas!$B$8*AC12*K12^2*Datos_vigas!$B$5)))*AC12*K12*Datos_vigas!$B$5/Datos_vigas!$B$6,0.0033*J12*K12))))</f>
        <v/>
      </c>
      <c r="Q12" s="10" t="n">
        <v>3</v>
      </c>
      <c r="R12" s="10" t="n">
        <v>12</v>
      </c>
      <c r="S12" s="44">
        <f>F12/(J12*0.85*K12)</f>
        <v/>
      </c>
      <c r="T12" s="44">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1" t="n"/>
      <c r="B13" s="42" t="inlineStr">
        <is>
          <t>VI 07c</t>
        </is>
      </c>
      <c r="C13" s="8" t="n">
        <v>8.6</v>
      </c>
      <c r="D13" s="43">
        <f>(Datos_vigas!$B$10*(VLOOKUP($A$4,Datos_vigas!$A$14:$E$15,2,0)*AF13+Datos_vigas!$B$7*J13*L13/10000+Datos_vigas!$B$16*AG13)+Datos_vigas!$B$11*VLOOKUP($A$4,Datos_vigas!$A$14:$E$15,3,0)*AF13)</f>
        <v/>
      </c>
      <c r="E13" s="11" t="n"/>
      <c r="F13" s="43">
        <f>VLOOKUP(Y13,Datos_vigas!$A$19:$E$23,4,0)*D13*C13+IF(OR(AD13="",AE13=""),0,AD13*MAX(AE13,C13-AE13)/C13)</f>
        <v/>
      </c>
      <c r="G13" s="43">
        <f>F13</f>
        <v/>
      </c>
      <c r="H13" s="43">
        <f>VLOOKUP(Y13,Datos_vigas!$A$19:$E$23,2,0)*D13*C13^2+0.75*1000*IF(OR(AD13="",AE13=""),0,AD13*AE13*(C13-AE13)/C13/1000)</f>
        <v/>
      </c>
      <c r="I13" s="43">
        <f>IF(VLOOKUP(Y13,Datos_vigas!$A$19:$E$23,3,0)=0,"---",VLOOKUP(Y13,Datos_vigas!$A$19:$E$23,3,0)*D13*C13^2+0.50*1000*IF(OR(AD13="",AE13=""),0,AD13*AE13*(C13-AE13)/C13/1000))</f>
        <v/>
      </c>
      <c r="J13" s="10" t="n">
        <v>15</v>
      </c>
      <c r="K13" s="11">
        <f>L13-AH13</f>
        <v/>
      </c>
      <c r="L13" s="10" t="n">
        <v>70</v>
      </c>
      <c r="M13" s="44">
        <f>IF(NOT(ISNUMBER(H13)),"---",IF(H13&lt;=0,"---",IF(H13*100/(Datos_vigas!$B$8*AB13*K13^2*Datos_vigas!$B$5)&gt;=0.5,"REVISAR",MAX((1-SQRT(1-2*H13*100/(Datos_vigas!$B$8*AB13*K13^2*Datos_vigas!$B$5)))*AB13*K13*Datos_vigas!$B$5/Datos_vigas!$B$6,0.0033*J13*K13))))</f>
        <v/>
      </c>
      <c r="N13" s="10" t="n">
        <v>3</v>
      </c>
      <c r="O13" s="10" t="n">
        <v>25</v>
      </c>
      <c r="P13" s="44">
        <f>IF(NOT(ISNUMBER(I13)),"---",IF(I13&lt;=0,"---",IF(I13*100/(Datos_vigas!$B$8*AC13*K13^2*Datos_vigas!$B$5)&gt;=0.5,"REVISAR",MAX((1-SQRT(1-2*I13*100/(Datos_vigas!$B$8*AC13*K13^2*Datos_vigas!$B$5)))*AC13*K13*Datos_vigas!$B$5/Datos_vigas!$B$6,0.0033*J13*K13))))</f>
        <v/>
      </c>
      <c r="Q13" s="10" t="n">
        <v>4</v>
      </c>
      <c r="R13" s="10" t="n">
        <v>25</v>
      </c>
      <c r="S13" s="44">
        <f>F13/(J13*0.85*K13)</f>
        <v/>
      </c>
      <c r="T13" s="44">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1" t="n"/>
      <c r="B14" s="42" t="inlineStr">
        <is>
          <t>VI 08a</t>
        </is>
      </c>
      <c r="C14" s="8" t="n">
        <v>3.65</v>
      </c>
      <c r="D14" s="43">
        <f>(Datos_vigas!$B$10*(VLOOKUP($A$4,Datos_vigas!$A$14:$E$15,2,0)*AF14+Datos_vigas!$B$7*J14*L14/10000+Datos_vigas!$B$16*AG14)+Datos_vigas!$B$11*VLOOKUP($A$4,Datos_vigas!$A$14:$E$15,3,0)*AF14)</f>
        <v/>
      </c>
      <c r="E14" s="11" t="n"/>
      <c r="F14" s="43">
        <f>VLOOKUP(Y14,Datos_vigas!$A$19:$E$23,4,0)*D14*C14+IF(OR(AD14="",AE14=""),0,AD14*MAX(AE14,C14-AE14)/C14)</f>
        <v/>
      </c>
      <c r="G14" s="43">
        <f>F14</f>
        <v/>
      </c>
      <c r="H14" s="43">
        <f>VLOOKUP(Y14,Datos_vigas!$A$19:$E$23,2,0)*D14*C14^2+0.75*1000*IF(OR(AD14="",AE14=""),0,AD14*AE14*(C14-AE14)/C14/1000)</f>
        <v/>
      </c>
      <c r="I14" s="43">
        <f>IF(VLOOKUP(Y14,Datos_vigas!$A$19:$E$23,3,0)=0,"---",VLOOKUP(Y14,Datos_vigas!$A$19:$E$23,3,0)*D14*C14^2+0.50*1000*IF(OR(AD14="",AE14=""),0,AD14*AE14*(C14-AE14)/C14/1000))</f>
        <v/>
      </c>
      <c r="J14" s="10" t="n">
        <v>15</v>
      </c>
      <c r="K14" s="11">
        <f>L14-AH14</f>
        <v/>
      </c>
      <c r="L14" s="10" t="n">
        <v>70</v>
      </c>
      <c r="M14" s="44">
        <f>IF(NOT(ISNUMBER(H14)),"---",IF(H14&lt;=0,"---",IF(H14*100/(Datos_vigas!$B$8*AB14*K14^2*Datos_vigas!$B$5)&gt;=0.5,"REVISAR",MAX((1-SQRT(1-2*H14*100/(Datos_vigas!$B$8*AB14*K14^2*Datos_vigas!$B$5)))*AB14*K14*Datos_vigas!$B$5/Datos_vigas!$B$6,0.0033*J14*K14))))</f>
        <v/>
      </c>
      <c r="N14" s="10" t="n">
        <v>3</v>
      </c>
      <c r="O14" s="10" t="n">
        <v>12</v>
      </c>
      <c r="P14" s="44">
        <f>IF(NOT(ISNUMBER(I14)),"---",IF(I14&lt;=0,"---",IF(I14*100/(Datos_vigas!$B$8*AC14*K14^2*Datos_vigas!$B$5)&gt;=0.5,"REVISAR",MAX((1-SQRT(1-2*I14*100/(Datos_vigas!$B$8*AC14*K14^2*Datos_vigas!$B$5)))*AC14*K14*Datos_vigas!$B$5/Datos_vigas!$B$6,0.0033*J14*K14))))</f>
        <v/>
      </c>
      <c r="Q14" s="10" t="n">
        <v>3</v>
      </c>
      <c r="R14" s="10" t="n">
        <v>12</v>
      </c>
      <c r="S14" s="44">
        <f>F14/(J14*0.85*K14)</f>
        <v/>
      </c>
      <c r="T14" s="44">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1" t="n"/>
      <c r="B15" s="42" t="inlineStr">
        <is>
          <t>VI 08b</t>
        </is>
      </c>
      <c r="C15" s="8" t="n">
        <v>4.87</v>
      </c>
      <c r="D15" s="43">
        <f>(Datos_vigas!$B$10*(VLOOKUP($A$4,Datos_vigas!$A$14:$E$15,2,0)*AF15+Datos_vigas!$B$7*J15*L15/10000+Datos_vigas!$B$16*AG15)+Datos_vigas!$B$11*VLOOKUP($A$4,Datos_vigas!$A$14:$E$15,3,0)*AF15)</f>
        <v/>
      </c>
      <c r="E15" s="11" t="n"/>
      <c r="F15" s="43">
        <f>VLOOKUP(Y15,Datos_vigas!$A$19:$E$23,4,0)*D15*C15+IF(OR(AD15="",AE15=""),0,AD15*MAX(AE15,C15-AE15)/C15)</f>
        <v/>
      </c>
      <c r="G15" s="43">
        <f>F15</f>
        <v/>
      </c>
      <c r="H15" s="43">
        <f>VLOOKUP(Y15,Datos_vigas!$A$19:$E$23,2,0)*D15*C15^2+0.75*1000*IF(OR(AD15="",AE15=""),0,AD15*AE15*(C15-AE15)/C15/1000)</f>
        <v/>
      </c>
      <c r="I15" s="43">
        <f>IF(VLOOKUP(Y15,Datos_vigas!$A$19:$E$23,3,0)=0,"---",VLOOKUP(Y15,Datos_vigas!$A$19:$E$23,3,0)*D15*C15^2+0.50*1000*IF(OR(AD15="",AE15=""),0,AD15*AE15*(C15-AE15)/C15/1000))</f>
        <v/>
      </c>
      <c r="J15" s="10" t="n">
        <v>15</v>
      </c>
      <c r="K15" s="11">
        <f>L15-AH15</f>
        <v/>
      </c>
      <c r="L15" s="10" t="n">
        <v>70</v>
      </c>
      <c r="M15" s="44">
        <f>IF(NOT(ISNUMBER(H15)),"---",IF(H15&lt;=0,"---",IF(H15*100/(Datos_vigas!$B$8*AB15*K15^2*Datos_vigas!$B$5)&gt;=0.5,"REVISAR",MAX((1-SQRT(1-2*H15*100/(Datos_vigas!$B$8*AB15*K15^2*Datos_vigas!$B$5)))*AB15*K15*Datos_vigas!$B$5/Datos_vigas!$B$6,0.0033*J15*K15))))</f>
        <v/>
      </c>
      <c r="N15" s="10" t="n">
        <v>3</v>
      </c>
      <c r="O15" s="10" t="n">
        <v>12</v>
      </c>
      <c r="P15" s="44">
        <f>IF(NOT(ISNUMBER(I15)),"---",IF(I15&lt;=0,"---",IF(I15*100/(Datos_vigas!$B$8*AC15*K15^2*Datos_vigas!$B$5)&gt;=0.5,"REVISAR",MAX((1-SQRT(1-2*I15*100/(Datos_vigas!$B$8*AC15*K15^2*Datos_vigas!$B$5)))*AC15*K15*Datos_vigas!$B$5/Datos_vigas!$B$6,0.0033*J15*K15))))</f>
        <v/>
      </c>
      <c r="Q15" s="10" t="n">
        <v>3</v>
      </c>
      <c r="R15" s="10" t="n">
        <v>12</v>
      </c>
      <c r="S15" s="44">
        <f>F15/(J15*0.85*K15)</f>
        <v/>
      </c>
      <c r="T15" s="44">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1" t="n"/>
      <c r="B16" s="42" t="inlineStr">
        <is>
          <t>VI 09</t>
        </is>
      </c>
      <c r="C16" s="8" t="n">
        <v>4.87</v>
      </c>
      <c r="D16" s="43">
        <f>(Datos_vigas!$B$10*(VLOOKUP($A$4,Datos_vigas!$A$14:$E$15,2,0)*AF16+Datos_vigas!$B$7*J16*L16/10000+Datos_vigas!$B$16*AG16)+Datos_vigas!$B$11*VLOOKUP($A$4,Datos_vigas!$A$14:$E$15,3,0)*AF16)</f>
        <v/>
      </c>
      <c r="E16" s="11" t="n"/>
      <c r="F16" s="43">
        <f>VLOOKUP(Y16,Datos_vigas!$A$19:$E$23,4,0)*D16*C16+IF(OR(AD16="",AE16=""),0,AD16*MAX(AE16,C16-AE16)/C16)</f>
        <v/>
      </c>
      <c r="G16" s="43">
        <f>F16</f>
        <v/>
      </c>
      <c r="H16" s="43">
        <f>VLOOKUP(Y16,Datos_vigas!$A$19:$E$23,2,0)*D16*C16^2+0.75*1000*IF(OR(AD16="",AE16=""),0,AD16*AE16*(C16-AE16)/C16/1000)</f>
        <v/>
      </c>
      <c r="I16" s="43">
        <f>IF(VLOOKUP(Y16,Datos_vigas!$A$19:$E$23,3,0)=0,"---",VLOOKUP(Y16,Datos_vigas!$A$19:$E$23,3,0)*D16*C16^2+0.50*1000*IF(OR(AD16="",AE16=""),0,AD16*AE16*(C16-AE16)/C16/1000))</f>
        <v/>
      </c>
      <c r="J16" s="10" t="n">
        <v>15</v>
      </c>
      <c r="K16" s="11">
        <f>L16-AH16</f>
        <v/>
      </c>
      <c r="L16" s="10" t="n">
        <v>70</v>
      </c>
      <c r="M16" s="44">
        <f>IF(NOT(ISNUMBER(H16)),"---",IF(H16&lt;=0,"---",IF(H16*100/(Datos_vigas!$B$8*AB16*K16^2*Datos_vigas!$B$5)&gt;=0.5,"REVISAR",MAX((1-SQRT(1-2*H16*100/(Datos_vigas!$B$8*AB16*K16^2*Datos_vigas!$B$5)))*AB16*K16*Datos_vigas!$B$5/Datos_vigas!$B$6,0.0033*J16*K16))))</f>
        <v/>
      </c>
      <c r="N16" s="10" t="n">
        <v>3</v>
      </c>
      <c r="O16" s="10" t="n">
        <v>12</v>
      </c>
      <c r="P16" s="44">
        <f>IF(NOT(ISNUMBER(I16)),"---",IF(I16&lt;=0,"---",IF(I16*100/(Datos_vigas!$B$8*AC16*K16^2*Datos_vigas!$B$5)&gt;=0.5,"REVISAR",MAX((1-SQRT(1-2*I16*100/(Datos_vigas!$B$8*AC16*K16^2*Datos_vigas!$B$5)))*AC16*K16*Datos_vigas!$B$5/Datos_vigas!$B$6,0.0033*J16*K16))))</f>
        <v/>
      </c>
      <c r="Q16" s="10" t="inlineStr">
        <is>
          <t>---</t>
        </is>
      </c>
      <c r="R16" s="10" t="inlineStr">
        <is>
          <t>---</t>
        </is>
      </c>
      <c r="S16" s="44">
        <f>F16/(J16*0.85*K16)</f>
        <v/>
      </c>
      <c r="T16" s="44">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1" t="n"/>
      <c r="B17" s="42" t="inlineStr">
        <is>
          <t>VI 10a</t>
        </is>
      </c>
      <c r="C17" s="8" t="n">
        <v>2.55</v>
      </c>
      <c r="D17" s="43">
        <f>(Datos_vigas!$B$10*(VLOOKUP($A$4,Datos_vigas!$A$14:$E$15,2,0)*AF17+Datos_vigas!$B$7*J17*L17/10000+Datos_vigas!$B$16*AG17)+Datos_vigas!$B$11*VLOOKUP($A$4,Datos_vigas!$A$14:$E$15,3,0)*AF17)</f>
        <v/>
      </c>
      <c r="E17" s="11" t="n"/>
      <c r="F17" s="43">
        <f>VLOOKUP(Y17,Datos_vigas!$A$19:$E$23,4,0)*D17*C17+IF(OR(AD17="",AE17=""),0,AD17*MAX(AE17,C17-AE17)/C17)</f>
        <v/>
      </c>
      <c r="G17" s="43">
        <f>F17</f>
        <v/>
      </c>
      <c r="H17" s="43">
        <f>VLOOKUP(Y17,Datos_vigas!$A$19:$E$23,2,0)*D17*C17^2+0.75*1000*IF(OR(AD17="",AE17=""),0,AD17*AE17*(C17-AE17)/C17/1000)</f>
        <v/>
      </c>
      <c r="I17" s="43">
        <f>IF(VLOOKUP(Y17,Datos_vigas!$A$19:$E$23,3,0)=0,"---",VLOOKUP(Y17,Datos_vigas!$A$19:$E$23,3,0)*D17*C17^2+0.50*1000*IF(OR(AD17="",AE17=""),0,AD17*AE17*(C17-AE17)/C17/1000))</f>
        <v/>
      </c>
      <c r="J17" s="10" t="n">
        <v>15</v>
      </c>
      <c r="K17" s="11">
        <f>L17-AH17</f>
        <v/>
      </c>
      <c r="L17" s="10" t="n">
        <v>70</v>
      </c>
      <c r="M17" s="44">
        <f>IF(NOT(ISNUMBER(H17)),"---",IF(H17&lt;=0,"---",IF(H17*100/(Datos_vigas!$B$8*AB17*K17^2*Datos_vigas!$B$5)&gt;=0.5,"REVISAR",MAX((1-SQRT(1-2*H17*100/(Datos_vigas!$B$8*AB17*K17^2*Datos_vigas!$B$5)))*AB17*K17*Datos_vigas!$B$5/Datos_vigas!$B$6,0.0033*J17*K17))))</f>
        <v/>
      </c>
      <c r="N17" s="10" t="n">
        <v>3</v>
      </c>
      <c r="O17" s="10" t="n">
        <v>12</v>
      </c>
      <c r="P17" s="44">
        <f>IF(NOT(ISNUMBER(I17)),"---",IF(I17&lt;=0,"---",IF(I17*100/(Datos_vigas!$B$8*AC17*K17^2*Datos_vigas!$B$5)&gt;=0.5,"REVISAR",MAX((1-SQRT(1-2*I17*100/(Datos_vigas!$B$8*AC17*K17^2*Datos_vigas!$B$5)))*AC17*K17*Datos_vigas!$B$5/Datos_vigas!$B$6,0.0033*J17*K17))))</f>
        <v/>
      </c>
      <c r="Q17" s="10" t="n">
        <v>3</v>
      </c>
      <c r="R17" s="10" t="n">
        <v>12</v>
      </c>
      <c r="S17" s="44">
        <f>F17/(J17*0.85*K17)</f>
        <v/>
      </c>
      <c r="T17" s="44">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1" t="n"/>
      <c r="B18" s="42" t="inlineStr">
        <is>
          <t>VI 10b</t>
        </is>
      </c>
      <c r="C18" s="8" t="n">
        <v>4</v>
      </c>
      <c r="D18" s="43">
        <f>(Datos_vigas!$B$10*(VLOOKUP($A$4,Datos_vigas!$A$14:$E$15,2,0)*AF18+Datos_vigas!$B$7*J18*L18/10000+Datos_vigas!$B$16*AG18)+Datos_vigas!$B$11*VLOOKUP($A$4,Datos_vigas!$A$14:$E$15,3,0)*AF18)</f>
        <v/>
      </c>
      <c r="E18" s="11" t="n"/>
      <c r="F18" s="43">
        <f>VLOOKUP(Y18,Datos_vigas!$A$19:$E$23,4,0)*D18*C18+IF(OR(AD18="",AE18=""),0,AD18*MAX(AE18,C18-AE18)/C18)</f>
        <v/>
      </c>
      <c r="G18" s="43">
        <f>F18</f>
        <v/>
      </c>
      <c r="H18" s="43">
        <f>VLOOKUP(Y18,Datos_vigas!$A$19:$E$23,2,0)*D18*C18^2+0.75*1000*IF(OR(AD18="",AE18=""),0,AD18*AE18*(C18-AE18)/C18/1000)</f>
        <v/>
      </c>
      <c r="I18" s="43">
        <f>IF(VLOOKUP(Y18,Datos_vigas!$A$19:$E$23,3,0)=0,"---",VLOOKUP(Y18,Datos_vigas!$A$19:$E$23,3,0)*D18*C18^2+0.50*1000*IF(OR(AD18="",AE18=""),0,AD18*AE18*(C18-AE18)/C18/1000))</f>
        <v/>
      </c>
      <c r="J18" s="10" t="n">
        <v>15</v>
      </c>
      <c r="K18" s="11">
        <f>L18-AH18</f>
        <v/>
      </c>
      <c r="L18" s="10" t="n">
        <v>70</v>
      </c>
      <c r="M18" s="44">
        <f>IF(NOT(ISNUMBER(H18)),"---",IF(H18&lt;=0,"---",IF(H18*100/(Datos_vigas!$B$8*AB18*K18^2*Datos_vigas!$B$5)&gt;=0.5,"REVISAR",MAX((1-SQRT(1-2*H18*100/(Datos_vigas!$B$8*AB18*K18^2*Datos_vigas!$B$5)))*AB18*K18*Datos_vigas!$B$5/Datos_vigas!$B$6,0.0033*J18*K18))))</f>
        <v/>
      </c>
      <c r="N18" s="10" t="n">
        <v>3</v>
      </c>
      <c r="O18" s="10" t="n">
        <v>12</v>
      </c>
      <c r="P18" s="44">
        <f>IF(NOT(ISNUMBER(I18)),"---",IF(I18&lt;=0,"---",IF(I18*100/(Datos_vigas!$B$8*AC18*K18^2*Datos_vigas!$B$5)&gt;=0.5,"REVISAR",MAX((1-SQRT(1-2*I18*100/(Datos_vigas!$B$8*AC18*K18^2*Datos_vigas!$B$5)))*AC18*K18*Datos_vigas!$B$5/Datos_vigas!$B$6,0.0033*J18*K18))))</f>
        <v/>
      </c>
      <c r="Q18" s="10" t="n">
        <v>3</v>
      </c>
      <c r="R18" s="10" t="n">
        <v>12</v>
      </c>
      <c r="S18" s="44">
        <f>F18/(J18*0.85*K18)</f>
        <v/>
      </c>
      <c r="T18" s="44">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1" t="n"/>
      <c r="B19" s="42" t="inlineStr">
        <is>
          <t>VI 10c</t>
        </is>
      </c>
      <c r="C19" s="8" t="n">
        <v>3.6</v>
      </c>
      <c r="D19" s="43">
        <f>(Datos_vigas!$B$10*(VLOOKUP($A$4,Datos_vigas!$A$14:$E$15,2,0)*AF19+Datos_vigas!$B$7*J19*L19/10000+Datos_vigas!$B$16*AG19)+Datos_vigas!$B$11*VLOOKUP($A$4,Datos_vigas!$A$14:$E$15,3,0)*AF19)</f>
        <v/>
      </c>
      <c r="E19" s="11" t="n"/>
      <c r="F19" s="43">
        <f>VLOOKUP(Y19,Datos_vigas!$A$19:$E$23,4,0)*D19*C19+IF(OR(AD19="",AE19=""),0,AD19*MAX(AE19,C19-AE19)/C19)</f>
        <v/>
      </c>
      <c r="G19" s="43">
        <f>F19</f>
        <v/>
      </c>
      <c r="H19" s="43">
        <f>VLOOKUP(Y19,Datos_vigas!$A$19:$E$23,2,0)*D19*C19^2+0.75*1000*IF(OR(AD19="",AE19=""),0,AD19*AE19*(C19-AE19)/C19/1000)</f>
        <v/>
      </c>
      <c r="I19" s="43">
        <f>IF(VLOOKUP(Y19,Datos_vigas!$A$19:$E$23,3,0)=0,"---",VLOOKUP(Y19,Datos_vigas!$A$19:$E$23,3,0)*D19*C19^2+0.50*1000*IF(OR(AD19="",AE19=""),0,AD19*AE19*(C19-AE19)/C19/1000))</f>
        <v/>
      </c>
      <c r="J19" s="10" t="n">
        <v>15</v>
      </c>
      <c r="K19" s="11">
        <f>L19-AH19</f>
        <v/>
      </c>
      <c r="L19" s="10" t="n">
        <v>70</v>
      </c>
      <c r="M19" s="44">
        <f>IF(NOT(ISNUMBER(H19)),"---",IF(H19&lt;=0,"---",IF(H19*100/(Datos_vigas!$B$8*AB19*K19^2*Datos_vigas!$B$5)&gt;=0.5,"REVISAR",MAX((1-SQRT(1-2*H19*100/(Datos_vigas!$B$8*AB19*K19^2*Datos_vigas!$B$5)))*AB19*K19*Datos_vigas!$B$5/Datos_vigas!$B$6,0.0033*J19*K19))))</f>
        <v/>
      </c>
      <c r="N19" s="10" t="n">
        <v>3</v>
      </c>
      <c r="O19" s="10" t="n">
        <v>12</v>
      </c>
      <c r="P19" s="44">
        <f>IF(NOT(ISNUMBER(I19)),"---",IF(I19&lt;=0,"---",IF(I19*100/(Datos_vigas!$B$8*AC19*K19^2*Datos_vigas!$B$5)&gt;=0.5,"REVISAR",MAX((1-SQRT(1-2*I19*100/(Datos_vigas!$B$8*AC19*K19^2*Datos_vigas!$B$5)))*AC19*K19*Datos_vigas!$B$5/Datos_vigas!$B$6,0.0033*J19*K19))))</f>
        <v/>
      </c>
      <c r="Q19" s="10" t="n">
        <v>3</v>
      </c>
      <c r="R19" s="10" t="n">
        <v>12</v>
      </c>
      <c r="S19" s="44">
        <f>F19/(J19*0.85*K19)</f>
        <v/>
      </c>
      <c r="T19" s="44">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1" t="n"/>
      <c r="B20" s="42" t="inlineStr">
        <is>
          <t>VI 11a</t>
        </is>
      </c>
      <c r="C20" s="8" t="n">
        <v>7.68</v>
      </c>
      <c r="D20" s="43">
        <f>(Datos_vigas!$B$10*(VLOOKUP($A$4,Datos_vigas!$A$14:$E$15,2,0)*AF20+Datos_vigas!$B$7*J20*L20/10000+Datos_vigas!$B$16*AG20)+Datos_vigas!$B$11*VLOOKUP($A$4,Datos_vigas!$A$14:$E$15,3,0)*AF20)</f>
        <v/>
      </c>
      <c r="E20" s="11" t="n"/>
      <c r="F20" s="43">
        <f>VLOOKUP(Y20,Datos_vigas!$A$19:$E$23,4,0)*D20*C20+IF(OR(AD20="",AE20=""),0,AD20*MAX(AE20,C20-AE20)/C20)</f>
        <v/>
      </c>
      <c r="G20" s="43">
        <f>F20</f>
        <v/>
      </c>
      <c r="H20" s="43">
        <f>VLOOKUP(Y20,Datos_vigas!$A$19:$E$23,2,0)*D20*C20^2+0.75*1000*IF(OR(AD20="",AE20=""),0,AD20*AE20*(C20-AE20)/C20/1000)</f>
        <v/>
      </c>
      <c r="I20" s="43">
        <f>IF(VLOOKUP(Y20,Datos_vigas!$A$19:$E$23,3,0)=0,"---",VLOOKUP(Y20,Datos_vigas!$A$19:$E$23,3,0)*D20*C20^2+0.50*1000*IF(OR(AD20="",AE20=""),0,AD20*AE20*(C20-AE20)/C20/1000))</f>
        <v/>
      </c>
      <c r="J20" s="10" t="n">
        <v>15</v>
      </c>
      <c r="K20" s="11">
        <f>L20-AH20</f>
        <v/>
      </c>
      <c r="L20" s="10" t="n">
        <v>70</v>
      </c>
      <c r="M20" s="44">
        <f>IF(NOT(ISNUMBER(H20)),"---",IF(H20&lt;=0,"---",IF(H20*100/(Datos_vigas!$B$8*AB20*K20^2*Datos_vigas!$B$5)&gt;=0.5,"REVISAR",MAX((1-SQRT(1-2*H20*100/(Datos_vigas!$B$8*AB20*K20^2*Datos_vigas!$B$5)))*AB20*K20*Datos_vigas!$B$5/Datos_vigas!$B$6,0.0033*J20*K20))))</f>
        <v/>
      </c>
      <c r="N20" s="10" t="n">
        <v>2</v>
      </c>
      <c r="O20" s="10" t="n">
        <v>20</v>
      </c>
      <c r="P20" s="44">
        <f>IF(NOT(ISNUMBER(I20)),"---",IF(I20&lt;=0,"---",IF(I20*100/(Datos_vigas!$B$8*AC20*K20^2*Datos_vigas!$B$5)&gt;=0.5,"REVISAR",MAX((1-SQRT(1-2*I20*100/(Datos_vigas!$B$8*AC20*K20^2*Datos_vigas!$B$5)))*AC20*K20*Datos_vigas!$B$5/Datos_vigas!$B$6,0.0033*J20*K20))))</f>
        <v/>
      </c>
      <c r="Q20" s="10" t="n">
        <v>2</v>
      </c>
      <c r="R20" s="10" t="n">
        <v>25</v>
      </c>
      <c r="S20" s="44">
        <f>F20/(J20*0.85*K20)</f>
        <v/>
      </c>
      <c r="T20" s="44">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1" t="n"/>
      <c r="B21" s="42" t="inlineStr">
        <is>
          <t>VI 11b</t>
        </is>
      </c>
      <c r="C21" s="8" t="n">
        <v>3.45</v>
      </c>
      <c r="D21" s="43">
        <f>(Datos_vigas!$B$10*(VLOOKUP($A$4,Datos_vigas!$A$14:$E$15,2,0)*AF21+Datos_vigas!$B$7*J21*L21/10000+Datos_vigas!$B$16*AG21)+Datos_vigas!$B$11*VLOOKUP($A$4,Datos_vigas!$A$14:$E$15,3,0)*AF21)</f>
        <v/>
      </c>
      <c r="E21" s="11" t="n"/>
      <c r="F21" s="43">
        <f>VLOOKUP(Y21,Datos_vigas!$A$19:$E$23,4,0)*D21*C21+IF(OR(AD21="",AE21=""),0,AD21*MAX(AE21,C21-AE21)/C21)</f>
        <v/>
      </c>
      <c r="G21" s="43">
        <f>F21</f>
        <v/>
      </c>
      <c r="H21" s="43">
        <f>VLOOKUP(Y21,Datos_vigas!$A$19:$E$23,2,0)*D21*C21^2+0.75*1000*IF(OR(AD21="",AE21=""),0,AD21*AE21*(C21-AE21)/C21/1000)</f>
        <v/>
      </c>
      <c r="I21" s="43">
        <f>IF(VLOOKUP(Y21,Datos_vigas!$A$19:$E$23,3,0)=0,"---",VLOOKUP(Y21,Datos_vigas!$A$19:$E$23,3,0)*D21*C21^2+0.50*1000*IF(OR(AD21="",AE21=""),0,AD21*AE21*(C21-AE21)/C21/1000))</f>
        <v/>
      </c>
      <c r="J21" s="10" t="n">
        <v>15</v>
      </c>
      <c r="K21" s="11">
        <f>L21-AH21</f>
        <v/>
      </c>
      <c r="L21" s="10" t="n">
        <v>70</v>
      </c>
      <c r="M21" s="44">
        <f>IF(NOT(ISNUMBER(H21)),"---",IF(H21&lt;=0,"---",IF(H21*100/(Datos_vigas!$B$8*AB21*K21^2*Datos_vigas!$B$5)&gt;=0.5,"REVISAR",MAX((1-SQRT(1-2*H21*100/(Datos_vigas!$B$8*AB21*K21^2*Datos_vigas!$B$5)))*AB21*K21*Datos_vigas!$B$5/Datos_vigas!$B$6,0.0033*J21*K21))))</f>
        <v/>
      </c>
      <c r="N21" s="10" t="n">
        <v>3</v>
      </c>
      <c r="O21" s="10" t="n">
        <v>12</v>
      </c>
      <c r="P21" s="44">
        <f>IF(NOT(ISNUMBER(I21)),"---",IF(I21&lt;=0,"---",IF(I21*100/(Datos_vigas!$B$8*AC21*K21^2*Datos_vigas!$B$5)&gt;=0.5,"REVISAR",MAX((1-SQRT(1-2*I21*100/(Datos_vigas!$B$8*AC21*K21^2*Datos_vigas!$B$5)))*AC21*K21*Datos_vigas!$B$5/Datos_vigas!$B$6,0.0033*J21*K21))))</f>
        <v/>
      </c>
      <c r="Q21" s="10" t="n">
        <v>3</v>
      </c>
      <c r="R21" s="10" t="n">
        <v>12</v>
      </c>
      <c r="S21" s="44">
        <f>F21/(J21*0.85*K21)</f>
        <v/>
      </c>
      <c r="T21" s="44">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1" t="n"/>
      <c r="B22" s="42" t="inlineStr">
        <is>
          <t>VI 11c</t>
        </is>
      </c>
      <c r="C22" s="8" t="n">
        <v>5.02</v>
      </c>
      <c r="D22" s="43">
        <f>(Datos_vigas!$B$10*(VLOOKUP($A$4,Datos_vigas!$A$14:$E$15,2,0)*AF22+Datos_vigas!$B$7*J22*L22/10000+Datos_vigas!$B$16*AG22)+Datos_vigas!$B$11*VLOOKUP($A$4,Datos_vigas!$A$14:$E$15,3,0)*AF22)</f>
        <v/>
      </c>
      <c r="E22" s="11" t="n"/>
      <c r="F22" s="43">
        <f>VLOOKUP(Y22,Datos_vigas!$A$19:$E$23,4,0)*D22*C22+IF(OR(AD22="",AE22=""),0,AD22*MAX(AE22,C22-AE22)/C22)</f>
        <v/>
      </c>
      <c r="G22" s="43">
        <f>F22</f>
        <v/>
      </c>
      <c r="H22" s="43">
        <f>VLOOKUP(Y22,Datos_vigas!$A$19:$E$23,2,0)*D22*C22^2+0.75*1000*IF(OR(AD22="",AE22=""),0,AD22*AE22*(C22-AE22)/C22/1000)</f>
        <v/>
      </c>
      <c r="I22" s="43">
        <f>IF(VLOOKUP(Y22,Datos_vigas!$A$19:$E$23,3,0)=0,"---",VLOOKUP(Y22,Datos_vigas!$A$19:$E$23,3,0)*D22*C22^2+0.50*1000*IF(OR(AD22="",AE22=""),0,AD22*AE22*(C22-AE22)/C22/1000))</f>
        <v/>
      </c>
      <c r="J22" s="10" t="n">
        <v>15</v>
      </c>
      <c r="K22" s="11">
        <f>L22-AH22</f>
        <v/>
      </c>
      <c r="L22" s="10" t="n">
        <v>70</v>
      </c>
      <c r="M22" s="44">
        <f>IF(NOT(ISNUMBER(H22)),"---",IF(H22&lt;=0,"---",IF(H22*100/(Datos_vigas!$B$8*AB22*K22^2*Datos_vigas!$B$5)&gt;=0.5,"REVISAR",MAX((1-SQRT(1-2*H22*100/(Datos_vigas!$B$8*AB22*K22^2*Datos_vigas!$B$5)))*AB22*K22*Datos_vigas!$B$5/Datos_vigas!$B$6,0.0033*J22*K22))))</f>
        <v/>
      </c>
      <c r="N22" s="10" t="n">
        <v>3</v>
      </c>
      <c r="O22" s="10" t="n">
        <v>12</v>
      </c>
      <c r="P22" s="44">
        <f>IF(NOT(ISNUMBER(I22)),"---",IF(I22&lt;=0,"---",IF(I22*100/(Datos_vigas!$B$8*AC22*K22^2*Datos_vigas!$B$5)&gt;=0.5,"REVISAR",MAX((1-SQRT(1-2*I22*100/(Datos_vigas!$B$8*AC22*K22^2*Datos_vigas!$B$5)))*AC22*K22*Datos_vigas!$B$5/Datos_vigas!$B$6,0.0033*J22*K22))))</f>
        <v/>
      </c>
      <c r="Q22" s="10" t="n">
        <v>3</v>
      </c>
      <c r="R22" s="10" t="n">
        <v>12</v>
      </c>
      <c r="S22" s="44">
        <f>F22/(J22*0.85*K22)</f>
        <v/>
      </c>
      <c r="T22" s="44">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1" t="n"/>
      <c r="B23" s="42" t="inlineStr">
        <is>
          <t>VCH 03a</t>
        </is>
      </c>
      <c r="C23" s="8" t="n">
        <v>3.71</v>
      </c>
      <c r="D23" s="43">
        <f>(Datos_vigas!$B$10*(VLOOKUP($A$4,Datos_vigas!$A$14:$E$15,2,0)*AF23+Datos_vigas!$B$7*J23*L23/10000+Datos_vigas!$B$16*AG23)+Datos_vigas!$B$11*VLOOKUP($A$4,Datos_vigas!$A$14:$E$15,3,0)*AF23)</f>
        <v/>
      </c>
      <c r="E23" s="11" t="n"/>
      <c r="F23" s="43">
        <f>VLOOKUP(Y23,Datos_vigas!$A$19:$E$23,4,0)*D23*C23+IF(OR(AD23="",AE23=""),0,AD23*MAX(AE23,C23-AE23)/C23)</f>
        <v/>
      </c>
      <c r="G23" s="43">
        <f>F23</f>
        <v/>
      </c>
      <c r="H23" s="43">
        <f>VLOOKUP(Y23,Datos_vigas!$A$19:$E$23,2,0)*D23*C23^2+0.75*1000*IF(OR(AD23="",AE23=""),0,AD23*AE23*(C23-AE23)/C23/1000)</f>
        <v/>
      </c>
      <c r="I23" s="43">
        <f>IF(VLOOKUP(Y23,Datos_vigas!$A$19:$E$23,3,0)=0,"---",VLOOKUP(Y23,Datos_vigas!$A$19:$E$23,3,0)*D23*C23^2+0.50*1000*IF(OR(AD23="",AE23=""),0,AD23*AE23*(C23-AE23)/C23/1000))</f>
        <v/>
      </c>
      <c r="J23" s="10" t="n">
        <v>40</v>
      </c>
      <c r="K23" s="11">
        <f>L23-AH23</f>
        <v/>
      </c>
      <c r="L23" s="10" t="n">
        <v>13</v>
      </c>
      <c r="M23" s="44">
        <f>IF(NOT(ISNUMBER(H23)),"---",IF(H23&lt;=0,"---",IF(H23*100/(Datos_vigas!$B$8*AB23*K23^2*Datos_vigas!$B$5)&gt;=0.5,"REVISAR",MAX((1-SQRT(1-2*H23*100/(Datos_vigas!$B$8*AB23*K23^2*Datos_vigas!$B$5)))*AB23*K23*Datos_vigas!$B$5/Datos_vigas!$B$6,0.0033*J23*K23))))</f>
        <v/>
      </c>
      <c r="N23" s="10" t="n">
        <v>8</v>
      </c>
      <c r="O23" s="10" t="n">
        <v>12</v>
      </c>
      <c r="P23" s="44">
        <f>IF(NOT(ISNUMBER(I23)),"---",IF(I23&lt;=0,"---",IF(I23*100/(Datos_vigas!$B$8*AC23*K23^2*Datos_vigas!$B$5)&gt;=0.5,"REVISAR",MAX((1-SQRT(1-2*I23*100/(Datos_vigas!$B$8*AC23*K23^2*Datos_vigas!$B$5)))*AC23*K23*Datos_vigas!$B$5/Datos_vigas!$B$6,0.0033*J23*K23))))</f>
        <v/>
      </c>
      <c r="Q23" s="10" t="n">
        <v>5</v>
      </c>
      <c r="R23" s="10" t="n">
        <v>6</v>
      </c>
      <c r="S23" s="44">
        <f>F23/(J23*0.85*K23)</f>
        <v/>
      </c>
      <c r="T23" s="44">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1" t="n"/>
      <c r="B24" s="42" t="inlineStr">
        <is>
          <t>VCH 03b</t>
        </is>
      </c>
      <c r="C24" s="8" t="n">
        <v>2.13</v>
      </c>
      <c r="D24" s="43">
        <f>(Datos_vigas!$B$10*(VLOOKUP($A$4,Datos_vigas!$A$14:$E$15,2,0)*AF24+Datos_vigas!$B$7*J24*L24/10000+Datos_vigas!$B$16*AG24)+Datos_vigas!$B$11*VLOOKUP($A$4,Datos_vigas!$A$14:$E$15,3,0)*AF24)</f>
        <v/>
      </c>
      <c r="E24" s="11" t="n"/>
      <c r="F24" s="43">
        <f>VLOOKUP(Y24,Datos_vigas!$A$19:$E$23,4,0)*D24*C24+IF(OR(AD24="",AE24=""),0,AD24*MAX(AE24,C24-AE24)/C24)</f>
        <v/>
      </c>
      <c r="G24" s="43">
        <f>F24</f>
        <v/>
      </c>
      <c r="H24" s="43">
        <f>VLOOKUP(Y24,Datos_vigas!$A$19:$E$23,2,0)*D24*C24^2+0.75*1000*IF(OR(AD24="",AE24=""),0,AD24*AE24*(C24-AE24)/C24/1000)</f>
        <v/>
      </c>
      <c r="I24" s="43">
        <f>IF(VLOOKUP(Y24,Datos_vigas!$A$19:$E$23,3,0)=0,"---",VLOOKUP(Y24,Datos_vigas!$A$19:$E$23,3,0)*D24*C24^2+0.50*1000*IF(OR(AD24="",AE24=""),0,AD24*AE24*(C24-AE24)/C24/1000))</f>
        <v/>
      </c>
      <c r="J24" s="10" t="n">
        <v>40</v>
      </c>
      <c r="K24" s="11">
        <f>L24-AH24</f>
        <v/>
      </c>
      <c r="L24" s="10" t="n">
        <v>13</v>
      </c>
      <c r="M24" s="44">
        <f>IF(NOT(ISNUMBER(H24)),"---",IF(H24&lt;=0,"---",IF(H24*100/(Datos_vigas!$B$8*AB24*K24^2*Datos_vigas!$B$5)&gt;=0.5,"REVISAR",MAX((1-SQRT(1-2*H24*100/(Datos_vigas!$B$8*AB24*K24^2*Datos_vigas!$B$5)))*AB24*K24*Datos_vigas!$B$5/Datos_vigas!$B$6,0.0033*J24*K24))))</f>
        <v/>
      </c>
      <c r="N24" s="10" t="n">
        <v>10</v>
      </c>
      <c r="O24" s="10" t="n">
        <v>6</v>
      </c>
      <c r="P24" s="44">
        <f>IF(NOT(ISNUMBER(I24)),"---",IF(I24&lt;=0,"---",IF(I24*100/(Datos_vigas!$B$8*AC24*K24^2*Datos_vigas!$B$5)&gt;=0.5,"REVISAR",MAX((1-SQRT(1-2*I24*100/(Datos_vigas!$B$8*AC24*K24^2*Datos_vigas!$B$5)))*AC24*K24*Datos_vigas!$B$5/Datos_vigas!$B$6,0.0033*J24*K24))))</f>
        <v/>
      </c>
      <c r="Q24" s="10" t="n">
        <v>8</v>
      </c>
      <c r="R24" s="10" t="n">
        <v>8</v>
      </c>
      <c r="S24" s="44">
        <f>F24/(J24*0.85*K24)</f>
        <v/>
      </c>
      <c r="T24" s="44">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5" t="n"/>
      <c r="B25" s="45" t="inlineStr">
        <is>
          <t>VCH 05</t>
        </is>
      </c>
      <c r="C25" s="15" t="n">
        <v>3.71</v>
      </c>
      <c r="D25" s="46">
        <f>(Datos_vigas!$B$10*(VLOOKUP($A$4,Datos_vigas!$A$14:$E$15,2,0)*AF25+Datos_vigas!$B$7*J25*L25/10000+Datos_vigas!$B$16*AG25)+Datos_vigas!$B$11*VLOOKUP($A$4,Datos_vigas!$A$14:$E$15,3,0)*AF25)</f>
        <v/>
      </c>
      <c r="E25" s="18" t="n"/>
      <c r="F25" s="46">
        <f>VLOOKUP(Y25,Datos_vigas!$A$19:$E$23,4,0)*D25*C25+IF(OR(AD25="",AE25=""),0,AD25*MAX(AE25,C25-AE25)/C25)</f>
        <v/>
      </c>
      <c r="G25" s="46">
        <f>F25</f>
        <v/>
      </c>
      <c r="H25" s="46">
        <f>VLOOKUP(Y25,Datos_vigas!$A$19:$E$23,2,0)*D25*C25^2+0.75*1000*IF(OR(AD25="",AE25=""),0,AD25*AE25*(C25-AE25)/C25/1000)</f>
        <v/>
      </c>
      <c r="I25" s="46">
        <f>IF(VLOOKUP(Y25,Datos_vigas!$A$19:$E$23,3,0)=0,"---",VLOOKUP(Y25,Datos_vigas!$A$19:$E$23,3,0)*D25*C25^2+0.50*1000*IF(OR(AD25="",AE25=""),0,AD25*AE25*(C25-AE25)/C25/1000))</f>
        <v/>
      </c>
      <c r="J25" s="17" t="n">
        <v>12</v>
      </c>
      <c r="K25" s="18">
        <f>L25-AH25</f>
        <v/>
      </c>
      <c r="L25" s="17" t="n">
        <v>45</v>
      </c>
      <c r="M25" s="47">
        <f>IF(NOT(ISNUMBER(H25)),"---",IF(H25&lt;=0,"---",IF(H25*100/(Datos_vigas!$B$8*AB25*K25^2*Datos_vigas!$B$5)&gt;=0.5,"REVISAR",MAX((1-SQRT(1-2*H25*100/(Datos_vigas!$B$8*AB25*K25^2*Datos_vigas!$B$5)))*AB25*K25*Datos_vigas!$B$5/Datos_vigas!$B$6,0.0033*J25*K25))))</f>
        <v/>
      </c>
      <c r="N25" s="17" t="n">
        <v>2</v>
      </c>
      <c r="O25" s="17" t="n">
        <v>12</v>
      </c>
      <c r="P25" s="47">
        <f>IF(NOT(ISNUMBER(I25)),"---",IF(I25&lt;=0,"---",IF(I25*100/(Datos_vigas!$B$8*AC25*K25^2*Datos_vigas!$B$5)&gt;=0.5,"REVISAR",MAX((1-SQRT(1-2*I25*100/(Datos_vigas!$B$8*AC25*K25^2*Datos_vigas!$B$5)))*AC25*K25*Datos_vigas!$B$5/Datos_vigas!$B$6,0.0033*J25*K25))))</f>
        <v/>
      </c>
      <c r="Q25" s="17" t="inlineStr">
        <is>
          <t>---</t>
        </is>
      </c>
      <c r="R25" s="17" t="inlineStr">
        <is>
          <t>---</t>
        </is>
      </c>
      <c r="S25" s="47">
        <f>F25/(J25*0.85*K25)</f>
        <v/>
      </c>
      <c r="T25" s="47">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1" t="inlineStr">
        <is>
          <t>TECHO</t>
        </is>
      </c>
      <c r="B26" s="42" t="inlineStr">
        <is>
          <t>VI 12</t>
        </is>
      </c>
      <c r="C26" s="8" t="n">
        <v>9.9</v>
      </c>
      <c r="D26" s="43">
        <f>(Datos_vigas!$B$10*(VLOOKUP($A$26,Datos_vigas!$A$14:$E$15,2,0)*AF26+Datos_vigas!$B$7*J26*L26/10000+Datos_vigas!$B$16*AG26)+Datos_vigas!$B$11*VLOOKUP($A$26,Datos_vigas!$A$14:$E$15,3,0)*AF26)</f>
        <v/>
      </c>
      <c r="E26" s="11" t="n"/>
      <c r="F26" s="43">
        <f>VLOOKUP(Y26,Datos_vigas!$A$19:$E$23,4,0)*D26*C26+IF(OR(AD26="",AE26=""),0,AD26*MAX(AE26,C26-AE26)/C26)</f>
        <v/>
      </c>
      <c r="G26" s="43">
        <f>F26</f>
        <v/>
      </c>
      <c r="H26" s="43">
        <f>VLOOKUP(Y26,Datos_vigas!$A$19:$E$23,2,0)*D26*C26^2+0.75*1000*IF(OR(AD26="",AE26=""),0,AD26*AE26*(C26-AE26)/C26/1000)</f>
        <v/>
      </c>
      <c r="I26" s="43">
        <f>IF(VLOOKUP(Y26,Datos_vigas!$A$19:$E$23,3,0)=0,"---",VLOOKUP(Y26,Datos_vigas!$A$19:$E$23,3,0)*D26*C26^2+0.50*1000*IF(OR(AD26="",AE26=""),0,AD26*AE26*(C26-AE26)/C26/1000))</f>
        <v/>
      </c>
      <c r="J26" s="10" t="n">
        <v>15</v>
      </c>
      <c r="K26" s="11">
        <f>L26-AH26</f>
        <v/>
      </c>
      <c r="L26" s="10" t="n">
        <v>70</v>
      </c>
      <c r="M26" s="44">
        <f>IF(NOT(ISNUMBER(H26)),"---",IF(H26&lt;=0,"---",IF(H26*100/(Datos_vigas!$B$8*AB26*K26^2*Datos_vigas!$B$5)&gt;=0.5,"REVISAR",MAX((1-SQRT(1-2*H26*100/(Datos_vigas!$B$8*AB26*K26^2*Datos_vigas!$B$5)))*AB26*K26*Datos_vigas!$B$5/Datos_vigas!$B$6,0.0033*J26*K26))))</f>
        <v/>
      </c>
      <c r="N26" s="10" t="n">
        <v>2</v>
      </c>
      <c r="O26" s="10" t="n">
        <v>25</v>
      </c>
      <c r="P26" s="44">
        <f>IF(NOT(ISNUMBER(I26)),"---",IF(I26&lt;=0,"---",IF(I26*100/(Datos_vigas!$B$8*AC26*K26^2*Datos_vigas!$B$5)&gt;=0.5,"REVISAR",MAX((1-SQRT(1-2*I26*100/(Datos_vigas!$B$8*AC26*K26^2*Datos_vigas!$B$5)))*AC26*K26*Datos_vigas!$B$5/Datos_vigas!$B$6,0.0033*J26*K26))))</f>
        <v/>
      </c>
      <c r="Q26" s="10" t="n">
        <v>2</v>
      </c>
      <c r="R26" s="10" t="n">
        <v>25</v>
      </c>
      <c r="S26" s="44">
        <f>F26/(J26*0.85*K26)</f>
        <v/>
      </c>
      <c r="T26" s="44">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1" t="n"/>
      <c r="B27" s="42" t="inlineStr">
        <is>
          <t>VI 13a</t>
        </is>
      </c>
      <c r="C27" s="8" t="n">
        <v>6</v>
      </c>
      <c r="D27" s="43">
        <f>(Datos_vigas!$B$10*(VLOOKUP($A$26,Datos_vigas!$A$14:$E$15,2,0)*AF27+Datos_vigas!$B$7*J27*L27/10000+Datos_vigas!$B$16*AG27)+Datos_vigas!$B$11*VLOOKUP($A$26,Datos_vigas!$A$14:$E$15,3,0)*AF27)</f>
        <v/>
      </c>
      <c r="E27" s="11" t="n"/>
      <c r="F27" s="43">
        <f>VLOOKUP(Y27,Datos_vigas!$A$19:$E$23,4,0)*D27*C27+IF(OR(AD27="",AE27=""),0,AD27*MAX(AE27,C27-AE27)/C27)</f>
        <v/>
      </c>
      <c r="G27" s="43">
        <f>F27</f>
        <v/>
      </c>
      <c r="H27" s="43">
        <f>VLOOKUP(Y27,Datos_vigas!$A$19:$E$23,2,0)*D27*C27^2+0.75*1000*IF(OR(AD27="",AE27=""),0,AD27*AE27*(C27-AE27)/C27/1000)</f>
        <v/>
      </c>
      <c r="I27" s="43">
        <f>IF(VLOOKUP(Y27,Datos_vigas!$A$19:$E$23,3,0)=0,"---",VLOOKUP(Y27,Datos_vigas!$A$19:$E$23,3,0)*D27*C27^2+0.50*1000*IF(OR(AD27="",AE27=""),0,AD27*AE27*(C27-AE27)/C27/1000))</f>
        <v/>
      </c>
      <c r="J27" s="10" t="n">
        <v>15</v>
      </c>
      <c r="K27" s="11">
        <f>L27-AH27</f>
        <v/>
      </c>
      <c r="L27" s="10" t="n">
        <v>70</v>
      </c>
      <c r="M27" s="44">
        <f>IF(NOT(ISNUMBER(H27)),"---",IF(H27&lt;=0,"---",IF(H27*100/(Datos_vigas!$B$8*AB27*K27^2*Datos_vigas!$B$5)&gt;=0.5,"REVISAR",MAX((1-SQRT(1-2*H27*100/(Datos_vigas!$B$8*AB27*K27^2*Datos_vigas!$B$5)))*AB27*K27*Datos_vigas!$B$5/Datos_vigas!$B$6,0.0033*J27*K27))))</f>
        <v/>
      </c>
      <c r="N27" s="10" t="n">
        <v>2</v>
      </c>
      <c r="O27" s="10" t="n">
        <v>16</v>
      </c>
      <c r="P27" s="44">
        <f>IF(NOT(ISNUMBER(I27)),"---",IF(I27&lt;=0,"---",IF(I27*100/(Datos_vigas!$B$8*AC27*K27^2*Datos_vigas!$B$5)&gt;=0.5,"REVISAR",MAX((1-SQRT(1-2*I27*100/(Datos_vigas!$B$8*AC27*K27^2*Datos_vigas!$B$5)))*AC27*K27*Datos_vigas!$B$5/Datos_vigas!$B$6,0.0033*J27*K27))))</f>
        <v/>
      </c>
      <c r="Q27" s="10" t="n">
        <v>2</v>
      </c>
      <c r="R27" s="10" t="n">
        <v>20</v>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1" t="n"/>
      <c r="B28" s="42" t="inlineStr">
        <is>
          <t>VI 13b</t>
        </is>
      </c>
      <c r="C28" s="8" t="n">
        <v>3.75</v>
      </c>
      <c r="D28" s="43">
        <f>(Datos_vigas!$B$10*(VLOOKUP($A$26,Datos_vigas!$A$14:$E$15,2,0)*AF28+Datos_vigas!$B$7*J28*L28/10000+Datos_vigas!$B$16*AG28)+Datos_vigas!$B$11*VLOOKUP($A$26,Datos_vigas!$A$14:$E$15,3,0)*AF28)</f>
        <v/>
      </c>
      <c r="E28" s="11" t="n"/>
      <c r="F28" s="43">
        <f>VLOOKUP(Y28,Datos_vigas!$A$19:$E$23,4,0)*D28*C28+IF(OR(AD28="",AE28=""),0,AD28*MAX(AE28,C28-AE28)/C28)</f>
        <v/>
      </c>
      <c r="G28" s="43">
        <f>F28</f>
        <v/>
      </c>
      <c r="H28" s="43">
        <f>VLOOKUP(Y28,Datos_vigas!$A$19:$E$23,2,0)*D28*C28^2+0.75*1000*IF(OR(AD28="",AE28=""),0,AD28*AE28*(C28-AE28)/C28/1000)</f>
        <v/>
      </c>
      <c r="I28" s="43">
        <f>IF(VLOOKUP(Y28,Datos_vigas!$A$19:$E$23,3,0)=0,"---",VLOOKUP(Y28,Datos_vigas!$A$19:$E$23,3,0)*D28*C28^2+0.50*1000*IF(OR(AD28="",AE28=""),0,AD28*AE28*(C28-AE28)/C28/1000))</f>
        <v/>
      </c>
      <c r="J28" s="10" t="n">
        <v>15</v>
      </c>
      <c r="K28" s="11">
        <f>L28-AH28</f>
        <v/>
      </c>
      <c r="L28" s="10" t="n">
        <v>70</v>
      </c>
      <c r="M28" s="44">
        <f>IF(NOT(ISNUMBER(H28)),"---",IF(H28&lt;=0,"---",IF(H28*100/(Datos_vigas!$B$8*AB28*K28^2*Datos_vigas!$B$5)&gt;=0.5,"REVISAR",MAX((1-SQRT(1-2*H28*100/(Datos_vigas!$B$8*AB28*K28^2*Datos_vigas!$B$5)))*AB28*K28*Datos_vigas!$B$5/Datos_vigas!$B$6,0.0033*J28*K28))))</f>
        <v/>
      </c>
      <c r="N28" s="10" t="n">
        <v>3</v>
      </c>
      <c r="O28" s="10" t="n">
        <v>12</v>
      </c>
      <c r="P28" s="44">
        <f>IF(NOT(ISNUMBER(I28)),"---",IF(I28&lt;=0,"---",IF(I28*100/(Datos_vigas!$B$8*AC28*K28^2*Datos_vigas!$B$5)&gt;=0.5,"REVISAR",MAX((1-SQRT(1-2*I28*100/(Datos_vigas!$B$8*AC28*K28^2*Datos_vigas!$B$5)))*AC28*K28*Datos_vigas!$B$5/Datos_vigas!$B$6,0.0033*J28*K28))))</f>
        <v/>
      </c>
      <c r="Q28" s="10" t="n">
        <v>3</v>
      </c>
      <c r="R28" s="10" t="n">
        <v>12</v>
      </c>
      <c r="S28" s="44">
        <f>F28/(J28*0.85*K28)</f>
        <v/>
      </c>
      <c r="T28" s="44">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1" t="n"/>
      <c r="B29" s="42" t="inlineStr">
        <is>
          <t>VI 14</t>
        </is>
      </c>
      <c r="C29" s="8" t="n">
        <v>6</v>
      </c>
      <c r="D29" s="43">
        <f>(Datos_vigas!$B$10*(VLOOKUP($A$26,Datos_vigas!$A$14:$E$15,2,0)*AF29+Datos_vigas!$B$7*J29*L29/10000+Datos_vigas!$B$16*AG29)+Datos_vigas!$B$11*VLOOKUP($A$26,Datos_vigas!$A$14:$E$15,3,0)*AF29)</f>
        <v/>
      </c>
      <c r="E29" s="11" t="n"/>
      <c r="F29" s="43">
        <f>VLOOKUP(Y29,Datos_vigas!$A$19:$E$23,4,0)*D29*C29+IF(OR(AD29="",AE29=""),0,AD29*MAX(AE29,C29-AE29)/C29)</f>
        <v/>
      </c>
      <c r="G29" s="43">
        <f>F29</f>
        <v/>
      </c>
      <c r="H29" s="43">
        <f>VLOOKUP(Y29,Datos_vigas!$A$19:$E$23,2,0)*D29*C29^2+0.75*1000*IF(OR(AD29="",AE29=""),0,AD29*AE29*(C29-AE29)/C29/1000)</f>
        <v/>
      </c>
      <c r="I29" s="43">
        <f>IF(VLOOKUP(Y29,Datos_vigas!$A$19:$E$23,3,0)=0,"---",VLOOKUP(Y29,Datos_vigas!$A$19:$E$23,3,0)*D29*C29^2+0.50*1000*IF(OR(AD29="",AE29=""),0,AD29*AE29*(C29-AE29)/C29/1000))</f>
        <v/>
      </c>
      <c r="J29" s="10" t="n">
        <v>15</v>
      </c>
      <c r="K29" s="11">
        <f>L29-AH29</f>
        <v/>
      </c>
      <c r="L29" s="10" t="n">
        <v>70</v>
      </c>
      <c r="M29" s="44">
        <f>IF(NOT(ISNUMBER(H29)),"---",IF(H29&lt;=0,"---",IF(H29*100/(Datos_vigas!$B$8*AB29*K29^2*Datos_vigas!$B$5)&gt;=0.5,"REVISAR",MAX((1-SQRT(1-2*H29*100/(Datos_vigas!$B$8*AB29*K29^2*Datos_vigas!$B$5)))*AB29*K29*Datos_vigas!$B$5/Datos_vigas!$B$6,0.0033*J29*K29))))</f>
        <v/>
      </c>
      <c r="N29" s="10" t="n">
        <v>3</v>
      </c>
      <c r="O29" s="10" t="n">
        <v>12</v>
      </c>
      <c r="P29" s="44">
        <f>IF(NOT(ISNUMBER(I29)),"---",IF(I29&lt;=0,"---",IF(I29*100/(Datos_vigas!$B$8*AC29*K29^2*Datos_vigas!$B$5)&gt;=0.5,"REVISAR",MAX((1-SQRT(1-2*I29*100/(Datos_vigas!$B$8*AC29*K29^2*Datos_vigas!$B$5)))*AC29*K29*Datos_vigas!$B$5/Datos_vigas!$B$6,0.0033*J29*K29))))</f>
        <v/>
      </c>
      <c r="Q29" s="10" t="n">
        <v>3</v>
      </c>
      <c r="R29" s="10" t="n">
        <v>12</v>
      </c>
      <c r="S29" s="44">
        <f>F29/(J29*0.85*K29)</f>
        <v/>
      </c>
      <c r="T29" s="44">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1" t="n"/>
      <c r="B30" s="42" t="inlineStr">
        <is>
          <t>VI 15a</t>
        </is>
      </c>
      <c r="C30" s="8" t="n">
        <v>4.03</v>
      </c>
      <c r="D30" s="43">
        <f>(Datos_vigas!$B$10*(VLOOKUP($A$26,Datos_vigas!$A$14:$E$15,2,0)*AF30+Datos_vigas!$B$7*J30*L30/10000+Datos_vigas!$B$16*AG30)+Datos_vigas!$B$11*VLOOKUP($A$26,Datos_vigas!$A$14:$E$15,3,0)*AF30)</f>
        <v/>
      </c>
      <c r="E30" s="11" t="n"/>
      <c r="F30" s="43">
        <f>VLOOKUP(Y30,Datos_vigas!$A$19:$E$23,4,0)*D30*C30+IF(OR(AD30="",AE30=""),0,AD30*MAX(AE30,C30-AE30)/C30)</f>
        <v/>
      </c>
      <c r="G30" s="43">
        <f>F30</f>
        <v/>
      </c>
      <c r="H30" s="43">
        <f>VLOOKUP(Y30,Datos_vigas!$A$19:$E$23,2,0)*D30*C30^2+0.75*1000*IF(OR(AD30="",AE30=""),0,AD30*AE30*(C30-AE30)/C30/1000)</f>
        <v/>
      </c>
      <c r="I30" s="43">
        <f>IF(VLOOKUP(Y30,Datos_vigas!$A$19:$E$23,3,0)=0,"---",VLOOKUP(Y30,Datos_vigas!$A$19:$E$23,3,0)*D30*C30^2+0.50*1000*IF(OR(AD30="",AE30=""),0,AD30*AE30*(C30-AE30)/C30/1000))</f>
        <v/>
      </c>
      <c r="J30" s="10" t="n">
        <v>15</v>
      </c>
      <c r="K30" s="11">
        <f>L30-AH30</f>
        <v/>
      </c>
      <c r="L30" s="10" t="n">
        <v>70</v>
      </c>
      <c r="M30" s="44">
        <f>IF(NOT(ISNUMBER(H30)),"---",IF(H30&lt;=0,"---",IF(H30*100/(Datos_vigas!$B$8*AB30*K30^2*Datos_vigas!$B$5)&gt;=0.5,"REVISAR",MAX((1-SQRT(1-2*H30*100/(Datos_vigas!$B$8*AB30*K30^2*Datos_vigas!$B$5)))*AB30*K30*Datos_vigas!$B$5/Datos_vigas!$B$6,0.0033*J30*K30))))</f>
        <v/>
      </c>
      <c r="N30" s="10" t="n">
        <v>3</v>
      </c>
      <c r="O30" s="10" t="n">
        <v>12</v>
      </c>
      <c r="P30" s="44">
        <f>IF(NOT(ISNUMBER(I30)),"---",IF(I30&lt;=0,"---",IF(I30*100/(Datos_vigas!$B$8*AC30*K30^2*Datos_vigas!$B$5)&gt;=0.5,"REVISAR",MAX((1-SQRT(1-2*I30*100/(Datos_vigas!$B$8*AC30*K30^2*Datos_vigas!$B$5)))*AC30*K30*Datos_vigas!$B$5/Datos_vigas!$B$6,0.0033*J30*K30))))</f>
        <v/>
      </c>
      <c r="Q30" s="10" t="n">
        <v>3</v>
      </c>
      <c r="R30" s="10" t="n">
        <v>12</v>
      </c>
      <c r="S30" s="44">
        <f>F30/(J30*0.85*K30)</f>
        <v/>
      </c>
      <c r="T30" s="44">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1" t="n"/>
      <c r="B31" s="42" t="inlineStr">
        <is>
          <t>VI 15b</t>
        </is>
      </c>
      <c r="C31" s="8" t="n">
        <v>4.85</v>
      </c>
      <c r="D31" s="43">
        <f>(Datos_vigas!$B$10*(VLOOKUP($A$26,Datos_vigas!$A$14:$E$15,2,0)*AF31+Datos_vigas!$B$7*J31*L31/10000+Datos_vigas!$B$16*AG31)+Datos_vigas!$B$11*VLOOKUP($A$26,Datos_vigas!$A$14:$E$15,3,0)*AF31)</f>
        <v/>
      </c>
      <c r="E31" s="11" t="n"/>
      <c r="F31" s="43">
        <f>VLOOKUP(Y31,Datos_vigas!$A$19:$E$23,4,0)*D31*C31+IF(OR(AD31="",AE31=""),0,AD31*MAX(AE31,C31-AE31)/C31)</f>
        <v/>
      </c>
      <c r="G31" s="43">
        <f>F31</f>
        <v/>
      </c>
      <c r="H31" s="43">
        <f>VLOOKUP(Y31,Datos_vigas!$A$19:$E$23,2,0)*D31*C31^2+0.75*1000*IF(OR(AD31="",AE31=""),0,AD31*AE31*(C31-AE31)/C31/1000)</f>
        <v/>
      </c>
      <c r="I31" s="43">
        <f>IF(VLOOKUP(Y31,Datos_vigas!$A$19:$E$23,3,0)=0,"---",VLOOKUP(Y31,Datos_vigas!$A$19:$E$23,3,0)*D31*C31^2+0.50*1000*IF(OR(AD31="",AE31=""),0,AD31*AE31*(C31-AE31)/C31/1000))</f>
        <v/>
      </c>
      <c r="J31" s="10" t="n">
        <v>15</v>
      </c>
      <c r="K31" s="11">
        <f>L31-AH31</f>
        <v/>
      </c>
      <c r="L31" s="10" t="n">
        <v>70</v>
      </c>
      <c r="M31" s="44">
        <f>IF(NOT(ISNUMBER(H31)),"---",IF(H31&lt;=0,"---",IF(H31*100/(Datos_vigas!$B$8*AB31*K31^2*Datos_vigas!$B$5)&gt;=0.5,"REVISAR",MAX((1-SQRT(1-2*H31*100/(Datos_vigas!$B$8*AB31*K31^2*Datos_vigas!$B$5)))*AB31*K31*Datos_vigas!$B$5/Datos_vigas!$B$6,0.0033*J31*K31))))</f>
        <v/>
      </c>
      <c r="N31" s="10" t="n">
        <v>3</v>
      </c>
      <c r="O31" s="10" t="n">
        <v>12</v>
      </c>
      <c r="P31" s="44">
        <f>IF(NOT(ISNUMBER(I31)),"---",IF(I31&lt;=0,"---",IF(I31*100/(Datos_vigas!$B$8*AC31*K31^2*Datos_vigas!$B$5)&gt;=0.5,"REVISAR",MAX((1-SQRT(1-2*I31*100/(Datos_vigas!$B$8*AC31*K31^2*Datos_vigas!$B$5)))*AC31*K31*Datos_vigas!$B$5/Datos_vigas!$B$6,0.0033*J31*K31))))</f>
        <v/>
      </c>
      <c r="Q31" s="10" t="n">
        <v>3</v>
      </c>
      <c r="R31" s="10" t="n">
        <v>12</v>
      </c>
      <c r="S31" s="44">
        <f>F31/(J31*0.85*K31)</f>
        <v/>
      </c>
      <c r="T31" s="44">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1" t="n"/>
      <c r="B32" s="42" t="inlineStr">
        <is>
          <t>VI 16a</t>
        </is>
      </c>
      <c r="C32" s="8" t="n">
        <v>3.58</v>
      </c>
      <c r="D32" s="43">
        <f>(Datos_vigas!$B$10*(VLOOKUP($A$26,Datos_vigas!$A$14:$E$15,2,0)*AF32+Datos_vigas!$B$7*J32*L32/10000+Datos_vigas!$B$16*AG32)+Datos_vigas!$B$11*VLOOKUP($A$26,Datos_vigas!$A$14:$E$15,3,0)*AF32)</f>
        <v/>
      </c>
      <c r="E32" s="11" t="n"/>
      <c r="F32" s="43">
        <f>VLOOKUP(Y32,Datos_vigas!$A$19:$E$23,4,0)*D32*C32+IF(OR(AD32="",AE32=""),0,AD32*MAX(AE32,C32-AE32)/C32)</f>
        <v/>
      </c>
      <c r="G32" s="43">
        <f>F32</f>
        <v/>
      </c>
      <c r="H32" s="43">
        <f>VLOOKUP(Y32,Datos_vigas!$A$19:$E$23,2,0)*D32*C32^2+0.75*1000*IF(OR(AD32="",AE32=""),0,AD32*AE32*(C32-AE32)/C32/1000)</f>
        <v/>
      </c>
      <c r="I32" s="43">
        <f>IF(VLOOKUP(Y32,Datos_vigas!$A$19:$E$23,3,0)=0,"---",VLOOKUP(Y32,Datos_vigas!$A$19:$E$23,3,0)*D32*C32^2+0.50*1000*IF(OR(AD32="",AE32=""),0,AD32*AE32*(C32-AE32)/C32/1000))</f>
        <v/>
      </c>
      <c r="J32" s="10" t="n">
        <v>15</v>
      </c>
      <c r="K32" s="11">
        <f>L32-AH32</f>
        <v/>
      </c>
      <c r="L32" s="10" t="n">
        <v>70</v>
      </c>
      <c r="M32" s="44">
        <f>IF(NOT(ISNUMBER(H32)),"---",IF(H32&lt;=0,"---",IF(H32*100/(Datos_vigas!$B$8*AB32*K32^2*Datos_vigas!$B$5)&gt;=0.5,"REVISAR",MAX((1-SQRT(1-2*H32*100/(Datos_vigas!$B$8*AB32*K32^2*Datos_vigas!$B$5)))*AB32*K32*Datos_vigas!$B$5/Datos_vigas!$B$6,0.0033*J32*K32))))</f>
        <v/>
      </c>
      <c r="N32" s="10" t="n">
        <v>3</v>
      </c>
      <c r="O32" s="10" t="n">
        <v>12</v>
      </c>
      <c r="P32" s="44">
        <f>IF(NOT(ISNUMBER(I32)),"---",IF(I32&lt;=0,"---",IF(I32*100/(Datos_vigas!$B$8*AC32*K32^2*Datos_vigas!$B$5)&gt;=0.5,"REVISAR",MAX((1-SQRT(1-2*I32*100/(Datos_vigas!$B$8*AC32*K32^2*Datos_vigas!$B$5)))*AC32*K32*Datos_vigas!$B$5/Datos_vigas!$B$6,0.0033*J32*K32))))</f>
        <v/>
      </c>
      <c r="Q32" s="10" t="n">
        <v>3</v>
      </c>
      <c r="R32" s="10" t="n">
        <v>12</v>
      </c>
      <c r="S32" s="44">
        <f>F32/(J32*0.85*K32)</f>
        <v/>
      </c>
      <c r="T32" s="44">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1" t="n"/>
      <c r="B33" s="42" t="inlineStr">
        <is>
          <t>VI 16b</t>
        </is>
      </c>
      <c r="C33" s="8" t="n">
        <v>1.12</v>
      </c>
      <c r="D33" s="43">
        <f>(Datos_vigas!$B$10*(VLOOKUP($A$26,Datos_vigas!$A$14:$E$15,2,0)*AF33+Datos_vigas!$B$7*J33*L33/10000+Datos_vigas!$B$16*AG33)+Datos_vigas!$B$11*VLOOKUP($A$26,Datos_vigas!$A$14:$E$15,3,0)*AF33)</f>
        <v/>
      </c>
      <c r="E33" s="11" t="n"/>
      <c r="F33" s="43">
        <f>VLOOKUP(Y33,Datos_vigas!$A$19:$E$23,4,0)*D33*C33+IF(OR(AD33="",AE33=""),0,AD33*MAX(AE33,C33-AE33)/C33)</f>
        <v/>
      </c>
      <c r="G33" s="43">
        <f>F33</f>
        <v/>
      </c>
      <c r="H33" s="43">
        <f>VLOOKUP(Y33,Datos_vigas!$A$19:$E$23,2,0)*D33*C33^2+0.75*1000*IF(OR(AD33="",AE33=""),0,AD33*AE33*(C33-AE33)/C33/1000)</f>
        <v/>
      </c>
      <c r="I33" s="43">
        <f>IF(VLOOKUP(Y33,Datos_vigas!$A$19:$E$23,3,0)=0,"---",VLOOKUP(Y33,Datos_vigas!$A$19:$E$23,3,0)*D33*C33^2+0.50*1000*IF(OR(AD33="",AE33=""),0,AD33*AE33*(C33-AE33)/C33/1000))</f>
        <v/>
      </c>
      <c r="J33" s="10" t="n">
        <v>15</v>
      </c>
      <c r="K33" s="11">
        <f>L33-AH33</f>
        <v/>
      </c>
      <c r="L33" s="10" t="n">
        <v>70</v>
      </c>
      <c r="M33" s="44">
        <f>IF(NOT(ISNUMBER(H33)),"---",IF(H33&lt;=0,"---",IF(H33*100/(Datos_vigas!$B$8*AB33*K33^2*Datos_vigas!$B$5)&gt;=0.5,"REVISAR",MAX((1-SQRT(1-2*H33*100/(Datos_vigas!$B$8*AB33*K33^2*Datos_vigas!$B$5)))*AB33*K33*Datos_vigas!$B$5/Datos_vigas!$B$6,0.0033*J33*K33))))</f>
        <v/>
      </c>
      <c r="N33" s="10" t="n">
        <v>3</v>
      </c>
      <c r="O33" s="10" t="n">
        <v>12</v>
      </c>
      <c r="P33" s="44">
        <f>IF(NOT(ISNUMBER(I33)),"---",IF(I33&lt;=0,"---",IF(I33*100/(Datos_vigas!$B$8*AC33*K33^2*Datos_vigas!$B$5)&gt;=0.5,"REVISAR",MAX((1-SQRT(1-2*I33*100/(Datos_vigas!$B$8*AC33*K33^2*Datos_vigas!$B$5)))*AC33*K33*Datos_vigas!$B$5/Datos_vigas!$B$6,0.0033*J33*K33))))</f>
        <v/>
      </c>
      <c r="Q33" s="10" t="n">
        <v>3</v>
      </c>
      <c r="R33" s="10" t="n">
        <v>12</v>
      </c>
      <c r="S33" s="44">
        <f>F33/(J33*0.85*K33)</f>
        <v/>
      </c>
      <c r="T33" s="44">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5" t="n"/>
      <c r="B34" s="45" t="inlineStr">
        <is>
          <t>VI 17</t>
        </is>
      </c>
      <c r="C34" s="15" t="n">
        <v>4.35</v>
      </c>
      <c r="D34" s="46">
        <f>(Datos_vigas!$B$10*(VLOOKUP($A$26,Datos_vigas!$A$14:$E$15,2,0)*AF34+Datos_vigas!$B$7*J34*L34/10000+Datos_vigas!$B$16*AG34)+Datos_vigas!$B$11*VLOOKUP($A$26,Datos_vigas!$A$14:$E$15,3,0)*AF34)</f>
        <v/>
      </c>
      <c r="E34" s="18" t="n"/>
      <c r="F34" s="46">
        <f>VLOOKUP(Y34,Datos_vigas!$A$19:$E$23,4,0)*D34*C34+IF(OR(AD34="",AE34=""),0,AD34*MAX(AE34,C34-AE34)/C34)</f>
        <v/>
      </c>
      <c r="G34" s="46">
        <f>F34</f>
        <v/>
      </c>
      <c r="H34" s="46">
        <f>VLOOKUP(Y34,Datos_vigas!$A$19:$E$23,2,0)*D34*C34^2+0.75*1000*IF(OR(AD34="",AE34=""),0,AD34*AE34*(C34-AE34)/C34/1000)</f>
        <v/>
      </c>
      <c r="I34" s="46">
        <f>IF(VLOOKUP(Y34,Datos_vigas!$A$19:$E$23,3,0)=0,"---",VLOOKUP(Y34,Datos_vigas!$A$19:$E$23,3,0)*D34*C34^2+0.50*1000*IF(OR(AD34="",AE34=""),0,AD34*AE34*(C34-AE34)/C34/1000))</f>
        <v/>
      </c>
      <c r="J34" s="17" t="n">
        <v>15</v>
      </c>
      <c r="K34" s="18">
        <f>L34-AH34</f>
        <v/>
      </c>
      <c r="L34" s="17" t="n">
        <v>70</v>
      </c>
      <c r="M34" s="47">
        <f>IF(NOT(ISNUMBER(H34)),"---",IF(H34&lt;=0,"---",IF(H34*100/(Datos_vigas!$B$8*AB34*K34^2*Datos_vigas!$B$5)&gt;=0.5,"REVISAR",MAX((1-SQRT(1-2*H34*100/(Datos_vigas!$B$8*AB34*K34^2*Datos_vigas!$B$5)))*AB34*K34*Datos_vigas!$B$5/Datos_vigas!$B$6,0.0033*J34*K34))))</f>
        <v/>
      </c>
      <c r="N34" s="17" t="n">
        <v>3</v>
      </c>
      <c r="O34" s="17" t="n">
        <v>12</v>
      </c>
      <c r="P34" s="47">
        <f>IF(NOT(ISNUMBER(I34)),"---",IF(I34&lt;=0,"---",IF(I34*100/(Datos_vigas!$B$8*AC34*K34^2*Datos_vigas!$B$5)&gt;=0.5,"REVISAR",MAX((1-SQRT(1-2*I34*100/(Datos_vigas!$B$8*AC34*K34^2*Datos_vigas!$B$5)))*AC34*K34*Datos_vigas!$B$5/Datos_vigas!$B$6,0.0033*J34*K34))))</f>
        <v/>
      </c>
      <c r="Q34" s="17" t="inlineStr">
        <is>
          <t>---</t>
        </is>
      </c>
      <c r="R34" s="17" t="inlineStr">
        <is>
          <t>---</t>
        </is>
      </c>
      <c r="S34" s="47">
        <f>F34/(J34*0.85*K34)</f>
        <v/>
      </c>
      <c r="T34" s="47">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0"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1" t="inlineStr">
        <is>
          <t>S/PB</t>
        </is>
      </c>
      <c r="B4" s="42" t="inlineStr">
        <is>
          <t>L01</t>
        </is>
      </c>
      <c r="C4" s="8" t="n">
        <v>3.65</v>
      </c>
      <c r="D4" s="10" t="inlineStr">
        <is>
          <t>1/8</t>
        </is>
      </c>
      <c r="E4" s="43">
        <f>(Datos_losas!$B$9*H4/100+VLOOKUP($A$4,Datos_losas!$A$16:$C$17,2,0)+VLOOKUP($A$4,Datos_losas!$A$16:$C$17,3,0))*T4</f>
        <v/>
      </c>
      <c r="F4" s="11" t="n"/>
      <c r="G4" s="48">
        <f>H4-Datos_losas!$B$10</f>
        <v/>
      </c>
      <c r="H4" s="10" t="n">
        <v>11</v>
      </c>
      <c r="I4" s="43">
        <f>IF(C4="","",VLOOKUP(D4,Datos_losas!$A$21:$D$25,2,0)*E4*C4^2)</f>
        <v/>
      </c>
      <c r="J4" s="44">
        <f>IF(I4="","",MAX(I4*100/(Datos_losas!$B$7*Datos_losas!$B$8*G4),Datos_losas!$B$13))</f>
        <v/>
      </c>
      <c r="K4" s="10" t="n">
        <v>12</v>
      </c>
      <c r="L4" s="11">
        <f>IF(J4="","",MIN(Datos_losas!$B$11,ROUND(100*PI()*(K4/10)^2/4/J4,0)))</f>
        <v/>
      </c>
      <c r="M4" s="44">
        <f>IF(J4="","",MAX(Datos_losas!$B$12*J4,Datos_losas!$B$13))</f>
        <v/>
      </c>
      <c r="N4" s="10" t="n">
        <v>6</v>
      </c>
      <c r="O4" s="11">
        <f>IF(M4="","",MIN(Datos_losas!$B$11,ROUND(100*PI()*(N4/10)^2/4/M4,0)))</f>
        <v/>
      </c>
      <c r="P4" s="43">
        <f>IF(C4="","",VLOOKUP(D4,Datos_losas!$A$21:$D$25,3,0)*E4*C4)</f>
        <v/>
      </c>
      <c r="Q4" s="43">
        <f>IF(C4="","",IF(VLOOKUP(D4,Datos_losas!$A$21:$D$25,4,0)="Voladizo","---",P4))</f>
        <v/>
      </c>
      <c r="R4" s="49" t="n"/>
      <c r="S4" s="12" t="n"/>
      <c r="T4" s="50">
        <f>IF(S4="",1,S4^4/(C4^4+S4^4))</f>
        <v/>
      </c>
    </row>
    <row r="5" ht="46" customHeight="1">
      <c r="A5" s="31" t="n"/>
      <c r="B5" s="42" t="inlineStr">
        <is>
          <t>L02</t>
        </is>
      </c>
      <c r="C5" s="8" t="n">
        <v>0.8</v>
      </c>
      <c r="D5" s="10" t="inlineStr">
        <is>
          <t>1/2</t>
        </is>
      </c>
      <c r="E5" s="43">
        <f>(Datos_losas!$B$9*H5/100+VLOOKUP($A$4,Datos_losas!$A$16:$C$17,2,0)+VLOOKUP($A$4,Datos_losas!$A$16:$C$17,3,0))*T5</f>
        <v/>
      </c>
      <c r="F5" s="11" t="n"/>
      <c r="G5" s="48">
        <f>H5-Datos_losas!$B$10</f>
        <v/>
      </c>
      <c r="H5" s="10" t="n">
        <v>9</v>
      </c>
      <c r="I5" s="43">
        <f>IF(C5="","",VLOOKUP(D5,Datos_losas!$A$21:$D$25,2,0)*E5*C5^2)</f>
        <v/>
      </c>
      <c r="J5" s="44">
        <f>IF(I5="","",MAX(I5*100/(Datos_losas!$B$7*Datos_losas!$B$8*G5),Datos_losas!$B$13))</f>
        <v/>
      </c>
      <c r="K5" s="10" t="n">
        <v>12</v>
      </c>
      <c r="L5" s="11">
        <f>IF(J5="","",MIN(Datos_losas!$B$11,ROUND(100*PI()*(K5/10)^2/4/J5,0)))</f>
        <v/>
      </c>
      <c r="M5" s="44">
        <f>IF(J5="","",MAX(Datos_losas!$B$12*J5,Datos_losas!$B$13))</f>
        <v/>
      </c>
      <c r="N5" s="10" t="n">
        <v>6</v>
      </c>
      <c r="O5" s="11">
        <f>IF(M5="","",MIN(Datos_losas!$B$11,ROUND(100*PI()*(N5/10)^2/4/M5,0)))</f>
        <v/>
      </c>
      <c r="P5" s="43">
        <f>IF(C5="","",VLOOKUP(D5,Datos_losas!$A$21:$D$25,3,0)*E5*C5)</f>
        <v/>
      </c>
      <c r="Q5" s="43">
        <f>IF(C5="","",IF(VLOOKUP(D5,Datos_losas!$A$21:$D$25,4,0)="Voladizo","---",P5))</f>
        <v/>
      </c>
      <c r="R5" s="13" t="inlineStr">
        <is>
          <t>Voladizo: un solo apoyo.</t>
        </is>
      </c>
      <c r="S5" s="12" t="n"/>
      <c r="T5" s="50">
        <f>IF(S5="",1,S5^4/(C5^4+S5^4))</f>
        <v/>
      </c>
    </row>
    <row r="6" ht="46" customHeight="1">
      <c r="A6" s="31" t="n"/>
      <c r="B6" s="42" t="inlineStr">
        <is>
          <t>L03</t>
        </is>
      </c>
      <c r="C6" s="8" t="n">
        <v>4.15</v>
      </c>
      <c r="D6" s="10" t="inlineStr">
        <is>
          <t>1/8</t>
        </is>
      </c>
      <c r="E6" s="43">
        <f>(Datos_losas!$B$9*H6/100+VLOOKUP($A$4,Datos_losas!$A$16:$C$17,2,0)+VLOOKUP($A$4,Datos_losas!$A$16:$C$17,3,0))*T6</f>
        <v/>
      </c>
      <c r="F6" s="11" t="n"/>
      <c r="G6" s="48">
        <f>H6-Datos_losas!$B$10</f>
        <v/>
      </c>
      <c r="H6" s="10" t="n">
        <v>13</v>
      </c>
      <c r="I6" s="43">
        <f>IF(C6="","",VLOOKUP(D6,Datos_losas!$A$21:$D$25,2,0)*E6*C6^2)</f>
        <v/>
      </c>
      <c r="J6" s="44">
        <f>IF(I6="","",MAX(I6*100/(Datos_losas!$B$7*Datos_losas!$B$8*G6),Datos_losas!$B$13))</f>
        <v/>
      </c>
      <c r="K6" s="10" t="n">
        <v>12</v>
      </c>
      <c r="L6" s="11">
        <f>IF(J6="","",MIN(Datos_losas!$B$11,ROUND(100*PI()*(K6/10)^2/4/J6,0)))</f>
        <v/>
      </c>
      <c r="M6" s="44">
        <f>IF(J6="","",MAX(Datos_losas!$B$12*J6,Datos_losas!$B$13))</f>
        <v/>
      </c>
      <c r="N6" s="10" t="n">
        <v>6</v>
      </c>
      <c r="O6" s="11">
        <f>IF(M6="","",MIN(Datos_losas!$B$11,ROUND(100*PI()*(N6/10)^2/4/M6,0)))</f>
        <v/>
      </c>
      <c r="P6" s="43">
        <f>IF(C6="","",VLOOKUP(D6,Datos_losas!$A$21:$D$25,3,0)*E6*C6)</f>
        <v/>
      </c>
      <c r="Q6" s="43">
        <f>IF(C6="","",IF(VLOOKUP(D6,Datos_losas!$A$21:$D$25,4,0)="Voladizo","---",P6))</f>
        <v/>
      </c>
      <c r="R6" s="49" t="n"/>
      <c r="S6" s="12" t="n"/>
      <c r="T6" s="50">
        <f>IF(S6="",1,S6^4/(C6^4+S6^4))</f>
        <v/>
      </c>
    </row>
    <row r="7" ht="46" customHeight="1">
      <c r="A7" s="31" t="n"/>
      <c r="B7" s="42" t="inlineStr">
        <is>
          <t>L04</t>
        </is>
      </c>
      <c r="C7" s="8" t="n">
        <v>3.73</v>
      </c>
      <c r="D7" s="10" t="inlineStr">
        <is>
          <t>1/8</t>
        </is>
      </c>
      <c r="E7" s="43">
        <f>(Datos_losas!$B$9*H7/100+VLOOKUP($A$4,Datos_losas!$A$16:$C$17,2,0)+VLOOKUP($A$4,Datos_losas!$A$16:$C$17,3,0))*T7</f>
        <v/>
      </c>
      <c r="F7" s="11" t="n"/>
      <c r="G7" s="48">
        <f>H7-Datos_losas!$B$10</f>
        <v/>
      </c>
      <c r="H7" s="10" t="n">
        <v>11</v>
      </c>
      <c r="I7" s="43">
        <f>IF(C7="","",VLOOKUP(D7,Datos_losas!$A$21:$D$25,2,0)*E7*C7^2)</f>
        <v/>
      </c>
      <c r="J7" s="44">
        <f>IF(I7="","",MAX(I7*100/(Datos_losas!$B$7*Datos_losas!$B$8*G7),Datos_losas!$B$13))</f>
        <v/>
      </c>
      <c r="K7" s="10" t="n">
        <v>12</v>
      </c>
      <c r="L7" s="11">
        <f>IF(J7="","",MIN(Datos_losas!$B$11,ROUND(100*PI()*(K7/10)^2/4/J7,0)))</f>
        <v/>
      </c>
      <c r="M7" s="44">
        <f>IF(J7="","",MAX(Datos_losas!$B$12*J7,Datos_losas!$B$13))</f>
        <v/>
      </c>
      <c r="N7" s="10" t="n">
        <v>6</v>
      </c>
      <c r="O7" s="11">
        <f>IF(M7="","",MIN(Datos_losas!$B$11,ROUND(100*PI()*(N7/10)^2/4/M7,0)))</f>
        <v/>
      </c>
      <c r="P7" s="43">
        <f>IF(C7="","",VLOOKUP(D7,Datos_losas!$A$21:$D$25,3,0)*E7*C7)</f>
        <v/>
      </c>
      <c r="Q7" s="43">
        <f>IF(C7="","",IF(VLOOKUP(D7,Datos_losas!$A$21:$D$25,4,0)="Voladizo","---",P7))</f>
        <v/>
      </c>
      <c r="R7" s="49" t="n"/>
      <c r="S7" s="12" t="n"/>
      <c r="T7" s="50">
        <f>IF(S7="",1,S7^4/(C7^4+S7^4))</f>
        <v/>
      </c>
    </row>
    <row r="8" ht="46" customHeight="1">
      <c r="A8" s="31" t="n"/>
      <c r="B8" s="42" t="inlineStr">
        <is>
          <t>L05</t>
        </is>
      </c>
      <c r="C8" s="8" t="n">
        <v>3.73</v>
      </c>
      <c r="D8" s="10" t="inlineStr">
        <is>
          <t>1/8</t>
        </is>
      </c>
      <c r="E8" s="43">
        <f>(Datos_losas!$B$9*H8/100+VLOOKUP($A$4,Datos_losas!$A$16:$C$17,2,0)+VLOOKUP($A$4,Datos_losas!$A$16:$C$17,3,0))*T8</f>
        <v/>
      </c>
      <c r="F8" s="11" t="n"/>
      <c r="G8" s="48">
        <f>H8-Datos_losas!$B$10</f>
        <v/>
      </c>
      <c r="H8" s="10" t="n">
        <v>11</v>
      </c>
      <c r="I8" s="43">
        <f>IF(C8="","",VLOOKUP(D8,Datos_losas!$A$21:$D$25,2,0)*E8*C8^2)</f>
        <v/>
      </c>
      <c r="J8" s="44">
        <f>IF(I8="","",MAX(I8*100/(Datos_losas!$B$7*Datos_losas!$B$8*G8),Datos_losas!$B$13))</f>
        <v/>
      </c>
      <c r="K8" s="10" t="n">
        <v>12</v>
      </c>
      <c r="L8" s="11">
        <f>IF(J8="","",MIN(Datos_losas!$B$11,ROUND(100*PI()*(K8/10)^2/4/J8,0)))</f>
        <v/>
      </c>
      <c r="M8" s="44">
        <f>IF(J8="","",MAX(Datos_losas!$B$12*J8,Datos_losas!$B$13))</f>
        <v/>
      </c>
      <c r="N8" s="10" t="n">
        <v>6</v>
      </c>
      <c r="O8" s="11">
        <f>IF(M8="","",MIN(Datos_losas!$B$11,ROUND(100*PI()*(N8/10)^2/4/M8,0)))</f>
        <v/>
      </c>
      <c r="P8" s="43">
        <f>IF(C8="","",VLOOKUP(D8,Datos_losas!$A$21:$D$25,3,0)*E8*C8)</f>
        <v/>
      </c>
      <c r="Q8" s="43">
        <f>IF(C8="","",IF(VLOOKUP(D8,Datos_losas!$A$21:$D$25,4,0)="Voladizo","---",P8))</f>
        <v/>
      </c>
      <c r="R8" s="49" t="n"/>
      <c r="S8" s="12" t="n"/>
      <c r="T8" s="50">
        <f>IF(S8="",1,S8^4/(C8^4+S8^4))</f>
        <v/>
      </c>
    </row>
    <row r="9" ht="46" customHeight="1">
      <c r="A9" s="31" t="n"/>
      <c r="B9" s="42" t="inlineStr">
        <is>
          <t>L06</t>
        </is>
      </c>
      <c r="C9" s="8" t="n">
        <v>2.15</v>
      </c>
      <c r="D9" s="10" t="inlineStr">
        <is>
          <t>1/8</t>
        </is>
      </c>
      <c r="E9" s="43">
        <f>(Datos_losas!$B$9*H9/100+VLOOKUP($A$4,Datos_losas!$A$16:$C$17,2,0)+VLOOKUP($A$4,Datos_losas!$A$16:$C$17,3,0))*T9</f>
        <v/>
      </c>
      <c r="F9" s="11" t="n"/>
      <c r="G9" s="48">
        <f>H9-Datos_losas!$B$10</f>
        <v/>
      </c>
      <c r="H9" s="10" t="n">
        <v>8</v>
      </c>
      <c r="I9" s="43">
        <f>IF(C9="","",VLOOKUP(D9,Datos_losas!$A$21:$D$25,2,0)*E9*C9^2)</f>
        <v/>
      </c>
      <c r="J9" s="44">
        <f>IF(I9="","",MAX(I9*100/(Datos_losas!$B$7*Datos_losas!$B$8*G9),Datos_losas!$B$13))</f>
        <v/>
      </c>
      <c r="K9" s="10" t="n">
        <v>12</v>
      </c>
      <c r="L9" s="11">
        <f>IF(J9="","",MIN(Datos_losas!$B$11,ROUND(100*PI()*(K9/10)^2/4/J9,0)))</f>
        <v/>
      </c>
      <c r="M9" s="44">
        <f>IF(J9="","",MAX(Datos_losas!$B$12*J9,Datos_losas!$B$13))</f>
        <v/>
      </c>
      <c r="N9" s="10" t="n">
        <v>6</v>
      </c>
      <c r="O9" s="11">
        <f>IF(M9="","",MIN(Datos_losas!$B$11,ROUND(100*PI()*(N9/10)^2/4/M9,0)))</f>
        <v/>
      </c>
      <c r="P9" s="43">
        <f>IF(C9="","",VLOOKUP(D9,Datos_losas!$A$21:$D$25,3,0)*E9*C9)</f>
        <v/>
      </c>
      <c r="Q9" s="43">
        <f>IF(C9="","",IF(VLOOKUP(D9,Datos_losas!$A$21:$D$25,4,0)="Voladizo","---",P9))</f>
        <v/>
      </c>
      <c r="R9" s="49" t="n"/>
      <c r="S9" s="12" t="n"/>
      <c r="T9" s="50">
        <f>IF(S9="",1,S9^4/(C9^4+S9^4))</f>
        <v/>
      </c>
    </row>
    <row r="10" ht="46" customHeight="1">
      <c r="A10" s="31" t="n"/>
      <c r="B10" s="42" t="inlineStr">
        <is>
          <t>L07 (x)</t>
        </is>
      </c>
      <c r="C10" s="8" t="n">
        <v>4.85</v>
      </c>
      <c r="D10" s="10" t="inlineStr">
        <is>
          <t>1/8</t>
        </is>
      </c>
      <c r="E10" s="43">
        <f>(Datos_losas!$B$9*H10/100+VLOOKUP($A$4,Datos_losas!$A$16:$C$17,2,0)+VLOOKUP($A$4,Datos_losas!$A$16:$C$17,3,0))*T10</f>
        <v/>
      </c>
      <c r="F10" s="11" t="n"/>
      <c r="G10" s="48">
        <f>H10-Datos_losas!$B$10</f>
        <v/>
      </c>
      <c r="H10" s="10" t="n">
        <v>12</v>
      </c>
      <c r="I10" s="43">
        <f>IF(C10="","",VLOOKUP(D10,Datos_losas!$A$21:$D$25,2,0)*E10*C10^2)</f>
        <v/>
      </c>
      <c r="J10" s="44">
        <f>IF(I10="","",MAX(I10*100/(Datos_losas!$B$7*Datos_losas!$B$8*G10),Datos_losas!$B$13))</f>
        <v/>
      </c>
      <c r="K10" s="10" t="n">
        <v>12</v>
      </c>
      <c r="L10" s="11">
        <f>IF(J10="","",MIN(Datos_losas!$B$11,ROUND(100*PI()*(K10/10)^2/4/J10,0)))</f>
        <v/>
      </c>
      <c r="M10" s="44">
        <f>IF(J10="","",MAX(Datos_losas!$B$12*J10,Datos_losas!$B$13))</f>
        <v/>
      </c>
      <c r="N10" s="10" t="n">
        <v>6</v>
      </c>
      <c r="O10" s="11">
        <f>IF(M10="","",MIN(Datos_losas!$B$11,ROUND(100*PI()*(N10/10)^2/4/M10,0)))</f>
        <v/>
      </c>
      <c r="P10" s="43">
        <f>IF(C10="","",VLOOKUP(D10,Datos_losas!$A$21:$D$25,3,0)*E10*C10)</f>
        <v/>
      </c>
      <c r="Q10" s="43">
        <f>IF(C10="","",IF(VLOOKUP(D10,Datos_losas!$A$21:$D$25,4,0)="Voladizo","---",P10))</f>
        <v/>
      </c>
      <c r="R10" s="13" t="inlineStr">
        <is>
          <t>Losa cruzada 4,85 x 5,60 (ly/lx = 1,15). Direccion corta: toma el 64% de la carga por reparto de Marcus.</t>
        </is>
      </c>
      <c r="S10" s="12" t="n">
        <v>5.6</v>
      </c>
      <c r="T10" s="50">
        <f>IF(S10="",1,S10^4/(C10^4+S10^4))</f>
        <v/>
      </c>
    </row>
    <row r="11" ht="46" customHeight="1">
      <c r="A11" s="31" t="n"/>
      <c r="B11" s="42" t="inlineStr">
        <is>
          <t>L07 (y)</t>
        </is>
      </c>
      <c r="C11" s="8" t="n">
        <v>5.6</v>
      </c>
      <c r="D11" s="10" t="inlineStr">
        <is>
          <t>1/8</t>
        </is>
      </c>
      <c r="E11" s="43">
        <f>(Datos_losas!$B$9*H11/100+VLOOKUP($A$4,Datos_losas!$A$16:$C$17,2,0)+VLOOKUP($A$4,Datos_losas!$A$16:$C$17,3,0))*T11</f>
        <v/>
      </c>
      <c r="F11" s="11" t="n"/>
      <c r="G11" s="48">
        <f>H11-Datos_losas!$B$10</f>
        <v/>
      </c>
      <c r="H11" s="10" t="n">
        <v>12</v>
      </c>
      <c r="I11" s="43">
        <f>IF(C11="","",VLOOKUP(D11,Datos_losas!$A$21:$D$25,2,0)*E11*C11^2)</f>
        <v/>
      </c>
      <c r="J11" s="44">
        <f>IF(I11="","",MAX(I11*100/(Datos_losas!$B$7*Datos_losas!$B$8*G11),Datos_losas!$B$13))</f>
        <v/>
      </c>
      <c r="K11" s="10" t="n">
        <v>12</v>
      </c>
      <c r="L11" s="11">
        <f>IF(J11="","",MIN(Datos_losas!$B$11,ROUND(100*PI()*(K11/10)^2/4/J11,0)))</f>
        <v/>
      </c>
      <c r="M11" s="44">
        <f>IF(J11="","",MAX(Datos_losas!$B$12*J11,Datos_losas!$B$13))</f>
        <v/>
      </c>
      <c r="N11" s="10" t="n">
        <v>6</v>
      </c>
      <c r="O11" s="11">
        <f>IF(M11="","",MIN(Datos_losas!$B$11,ROUND(100*PI()*(N11/10)^2/4/M11,0)))</f>
        <v/>
      </c>
      <c r="P11" s="43">
        <f>IF(C11="","",VLOOKUP(D11,Datos_losas!$A$21:$D$25,3,0)*E11*C11)</f>
        <v/>
      </c>
      <c r="Q11" s="43">
        <f>IF(C11="","",IF(VLOOKUP(D11,Datos_losas!$A$21:$D$25,4,0)="Voladizo","---",P11))</f>
        <v/>
      </c>
      <c r="R11" s="13" t="inlineStr">
        <is>
          <t>Misma losa, direccion larga: toma el 36% restante. La armadura va cruzada con la fila anterior.</t>
        </is>
      </c>
      <c r="S11" s="12" t="n">
        <v>4.85</v>
      </c>
      <c r="T11" s="50">
        <f>IF(S11="",1,S11^4/(C11^4+S11^4))</f>
        <v/>
      </c>
    </row>
    <row r="12" ht="46" customHeight="1">
      <c r="A12" s="35" t="n"/>
      <c r="B12" s="45" t="inlineStr">
        <is>
          <t>L08</t>
        </is>
      </c>
      <c r="C12" s="15" t="n">
        <v>0.75</v>
      </c>
      <c r="D12" s="17" t="inlineStr">
        <is>
          <t>1/2</t>
        </is>
      </c>
      <c r="E12" s="46">
        <f>(Datos_losas!$B$9*H12/100+VLOOKUP($A$4,Datos_losas!$A$16:$C$17,2,0)+VLOOKUP($A$4,Datos_losas!$A$16:$C$17,3,0))*T12</f>
        <v/>
      </c>
      <c r="F12" s="18" t="n"/>
      <c r="G12" s="51">
        <f>H12-Datos_losas!$B$10</f>
        <v/>
      </c>
      <c r="H12" s="17" t="n">
        <v>10</v>
      </c>
      <c r="I12" s="46">
        <f>IF(C12="","",VLOOKUP(D12,Datos_losas!$A$21:$D$25,2,0)*E12*C12^2)</f>
        <v/>
      </c>
      <c r="J12" s="47">
        <f>IF(I12="","",MAX(I12*100/(Datos_losas!$B$7*Datos_losas!$B$8*G12),Datos_losas!$B$13))</f>
        <v/>
      </c>
      <c r="K12" s="17" t="n">
        <v>12</v>
      </c>
      <c r="L12" s="18">
        <f>IF(J12="","",MIN(Datos_losas!$B$11,ROUND(100*PI()*(K12/10)^2/4/J12,0)))</f>
        <v/>
      </c>
      <c r="M12" s="47">
        <f>IF(J12="","",MAX(Datos_losas!$B$12*J12,Datos_losas!$B$13))</f>
        <v/>
      </c>
      <c r="N12" s="17" t="n">
        <v>6</v>
      </c>
      <c r="O12" s="18">
        <f>IF(M12="","",MIN(Datos_losas!$B$11,ROUND(100*PI()*(N12/10)^2/4/M12,0)))</f>
        <v/>
      </c>
      <c r="P12" s="46">
        <f>IF(C12="","",VLOOKUP(D12,Datos_losas!$A$21:$D$25,3,0)*E12*C12)</f>
        <v/>
      </c>
      <c r="Q12" s="46">
        <f>IF(C12="","",IF(VLOOKUP(D12,Datos_losas!$A$21:$D$25,4,0)="Voladizo","---",P12))</f>
        <v/>
      </c>
      <c r="R12" s="20" t="inlineStr">
        <is>
          <t>Voladizo: un solo apoyo.</t>
        </is>
      </c>
      <c r="S12" s="19" t="n"/>
      <c r="T12" s="52">
        <f>IF(S12="",1,S12^4/(C12^4+S12^4))</f>
        <v/>
      </c>
    </row>
    <row r="13" ht="46" customHeight="1">
      <c r="A13" s="41" t="inlineStr">
        <is>
          <t>S/PA</t>
        </is>
      </c>
      <c r="B13" s="42" t="inlineStr">
        <is>
          <t>L09</t>
        </is>
      </c>
      <c r="C13" s="8" t="n">
        <v>4.2</v>
      </c>
      <c r="D13" s="10" t="inlineStr">
        <is>
          <t>1/8</t>
        </is>
      </c>
      <c r="E13" s="43">
        <f>(Datos_losas!$B$9*H13/100+VLOOKUP($A$13,Datos_losas!$A$16:$C$17,2,0)+VLOOKUP($A$13,Datos_losas!$A$16:$C$17,3,0))*T13</f>
        <v/>
      </c>
      <c r="F13" s="11" t="n"/>
      <c r="G13" s="48">
        <f>H13-Datos_losas!$B$10</f>
        <v/>
      </c>
      <c r="H13" s="10" t="n">
        <v>13</v>
      </c>
      <c r="I13" s="43">
        <f>IF(C13="","",VLOOKUP(D13,Datos_losas!$A$21:$D$25,2,0)*E13*C13^2)</f>
        <v/>
      </c>
      <c r="J13" s="44">
        <f>IF(I13="","",MAX(I13*100/(Datos_losas!$B$7*Datos_losas!$B$8*G13),Datos_losas!$B$13))</f>
        <v/>
      </c>
      <c r="K13" s="10" t="n">
        <v>12</v>
      </c>
      <c r="L13" s="11">
        <f>IF(J13="","",MIN(Datos_losas!$B$11,ROUND(100*PI()*(K13/10)^2/4/J13,0)))</f>
        <v/>
      </c>
      <c r="M13" s="44">
        <f>IF(J13="","",MAX(Datos_losas!$B$12*J13,Datos_losas!$B$13))</f>
        <v/>
      </c>
      <c r="N13" s="10" t="n">
        <v>6</v>
      </c>
      <c r="O13" s="11">
        <f>IF(M13="","",MIN(Datos_losas!$B$11,ROUND(100*PI()*(N13/10)^2/4/M13,0)))</f>
        <v/>
      </c>
      <c r="P13" s="43">
        <f>IF(C13="","",VLOOKUP(D13,Datos_losas!$A$21:$D$25,3,0)*E13*C13)</f>
        <v/>
      </c>
      <c r="Q13" s="43">
        <f>IF(C13="","",IF(VLOOKUP(D13,Datos_losas!$A$21:$D$25,4,0)="Voladizo","---",P13))</f>
        <v/>
      </c>
      <c r="R13" s="49" t="n"/>
      <c r="S13" s="12" t="n"/>
      <c r="T13" s="50">
        <f>IF(S13="",1,S13^4/(C13^4+S13^4))</f>
        <v/>
      </c>
    </row>
    <row r="14" ht="46" customHeight="1">
      <c r="A14" s="31" t="n"/>
      <c r="B14" s="42" t="inlineStr">
        <is>
          <t>L10 (x)</t>
        </is>
      </c>
      <c r="C14" s="8" t="n">
        <v>4.85</v>
      </c>
      <c r="D14" s="10" t="inlineStr">
        <is>
          <t>1/8</t>
        </is>
      </c>
      <c r="E14" s="43">
        <f>(Datos_losas!$B$9*H14/100+VLOOKUP($A$13,Datos_losas!$A$16:$C$17,2,0)+VLOOKUP($A$13,Datos_losas!$A$16:$C$17,3,0))*T14</f>
        <v/>
      </c>
      <c r="F14" s="11" t="n"/>
      <c r="G14" s="48">
        <f>H14-Datos_losas!$B$10</f>
        <v/>
      </c>
      <c r="H14" s="10" t="n">
        <v>12</v>
      </c>
      <c r="I14" s="43">
        <f>IF(C14="","",VLOOKUP(D14,Datos_losas!$A$21:$D$25,2,0)*E14*C14^2)</f>
        <v/>
      </c>
      <c r="J14" s="44">
        <f>IF(I14="","",MAX(I14*100/(Datos_losas!$B$7*Datos_losas!$B$8*G14),Datos_losas!$B$13))</f>
        <v/>
      </c>
      <c r="K14" s="10" t="n">
        <v>12</v>
      </c>
      <c r="L14" s="11">
        <f>IF(J14="","",MIN(Datos_losas!$B$11,ROUND(100*PI()*(K14/10)^2/4/J14,0)))</f>
        <v/>
      </c>
      <c r="M14" s="44">
        <f>IF(J14="","",MAX(Datos_losas!$B$12*J14,Datos_losas!$B$13))</f>
        <v/>
      </c>
      <c r="N14" s="10" t="n">
        <v>6</v>
      </c>
      <c r="O14" s="11">
        <f>IF(M14="","",MIN(Datos_losas!$B$11,ROUND(100*PI()*(N14/10)^2/4/M14,0)))</f>
        <v/>
      </c>
      <c r="P14" s="43">
        <f>IF(C14="","",VLOOKUP(D14,Datos_losas!$A$21:$D$25,3,0)*E14*C14)</f>
        <v/>
      </c>
      <c r="Q14" s="43">
        <f>IF(C14="","",IF(VLOOKUP(D14,Datos_losas!$A$21:$D$25,4,0)="Voladizo","---",P14))</f>
        <v/>
      </c>
      <c r="R14" s="13" t="inlineStr">
        <is>
          <t>Losa cruzada 4,85 x 6,00 (ly/lx = 1,24). Direccion corta: toma el 70% de la carga por reparto de Marcus.</t>
        </is>
      </c>
      <c r="S14" s="12" t="n">
        <v>6</v>
      </c>
      <c r="T14" s="50">
        <f>IF(S14="",1,S14^4/(C14^4+S14^4))</f>
        <v/>
      </c>
    </row>
    <row r="15" ht="46" customHeight="1">
      <c r="A15" s="35" t="n"/>
      <c r="B15" s="45" t="inlineStr">
        <is>
          <t>L10 (y)</t>
        </is>
      </c>
      <c r="C15" s="15" t="n">
        <v>6</v>
      </c>
      <c r="D15" s="17" t="inlineStr">
        <is>
          <t>1/8</t>
        </is>
      </c>
      <c r="E15" s="46">
        <f>(Datos_losas!$B$9*H15/100+VLOOKUP($A$13,Datos_losas!$A$16:$C$17,2,0)+VLOOKUP($A$13,Datos_losas!$A$16:$C$17,3,0))*T15</f>
        <v/>
      </c>
      <c r="F15" s="18" t="n"/>
      <c r="G15" s="51">
        <f>H15-Datos_losas!$B$10</f>
        <v/>
      </c>
      <c r="H15" s="17" t="n">
        <v>12</v>
      </c>
      <c r="I15" s="46">
        <f>IF(C15="","",VLOOKUP(D15,Datos_losas!$A$21:$D$25,2,0)*E15*C15^2)</f>
        <v/>
      </c>
      <c r="J15" s="47">
        <f>IF(I15="","",MAX(I15*100/(Datos_losas!$B$7*Datos_losas!$B$8*G15),Datos_losas!$B$13))</f>
        <v/>
      </c>
      <c r="K15" s="17" t="n">
        <v>12</v>
      </c>
      <c r="L15" s="18">
        <f>IF(J15="","",MIN(Datos_losas!$B$11,ROUND(100*PI()*(K15/10)^2/4/J15,0)))</f>
        <v/>
      </c>
      <c r="M15" s="47">
        <f>IF(J15="","",MAX(Datos_losas!$B$12*J15,Datos_losas!$B$13))</f>
        <v/>
      </c>
      <c r="N15" s="17" t="n">
        <v>6</v>
      </c>
      <c r="O15" s="18">
        <f>IF(M15="","",MIN(Datos_losas!$B$11,ROUND(100*PI()*(N15/10)^2/4/M15,0)))</f>
        <v/>
      </c>
      <c r="P15" s="46">
        <f>IF(C15="","",VLOOKUP(D15,Datos_losas!$A$21:$D$25,3,0)*E15*C15)</f>
        <v/>
      </c>
      <c r="Q15" s="46">
        <f>IF(C15="","",IF(VLOOKUP(D15,Datos_losas!$A$21:$D$25,4,0)="Voladizo","---",P15))</f>
        <v/>
      </c>
      <c r="R15" s="20" t="inlineStr">
        <is>
          <t>Misma losa, direccion larga: toma el 30% restante. La armadura va cruzada con la fila anterior.</t>
        </is>
      </c>
      <c r="S15" s="19" t="n">
        <v>4.85</v>
      </c>
      <c r="T15" s="52">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3"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1" t="inlineStr">
        <is>
          <t>PA</t>
        </is>
      </c>
      <c r="B4" s="42" t="inlineStr">
        <is>
          <t>C6</t>
        </is>
      </c>
      <c r="C4" s="8" t="n">
        <v>3.22</v>
      </c>
      <c r="D4" s="54" t="n">
        <v>12.71</v>
      </c>
      <c r="E4" s="10" t="n">
        <v>20</v>
      </c>
      <c r="F4" s="10" t="n">
        <v>20</v>
      </c>
      <c r="G4" s="11">
        <f>E4*F4</f>
        <v/>
      </c>
      <c r="H4" s="44">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5">
        <f>100*C4/(0.3*MIN(E4,F4))</f>
        <v/>
      </c>
      <c r="R4" s="9" t="n">
        <v>12.71</v>
      </c>
    </row>
    <row r="5" ht="17" customHeight="1">
      <c r="A5" s="31" t="n"/>
      <c r="B5" s="42" t="inlineStr">
        <is>
          <t>C7</t>
        </is>
      </c>
      <c r="C5" s="8" t="n">
        <v>3.22</v>
      </c>
      <c r="D5" s="54" t="n">
        <v>22.55</v>
      </c>
      <c r="E5" s="10" t="n">
        <v>30</v>
      </c>
      <c r="F5" s="10" t="n">
        <v>15</v>
      </c>
      <c r="G5" s="11">
        <f>E5*F5</f>
        <v/>
      </c>
      <c r="H5" s="44">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5">
        <f>100*C5/(0.3*MIN(E5,F5))</f>
        <v/>
      </c>
      <c r="R5" s="9" t="n">
        <v>22.55</v>
      </c>
    </row>
    <row r="6" ht="17" customHeight="1">
      <c r="A6" s="31" t="n"/>
      <c r="B6" s="42" t="inlineStr">
        <is>
          <t>C8</t>
        </is>
      </c>
      <c r="C6" s="8" t="n">
        <v>3.22</v>
      </c>
      <c r="D6" s="54" t="n">
        <v>15.12</v>
      </c>
      <c r="E6" s="10" t="n">
        <v>15</v>
      </c>
      <c r="F6" s="10" t="n">
        <v>30</v>
      </c>
      <c r="G6" s="11">
        <f>E6*F6</f>
        <v/>
      </c>
      <c r="H6" s="44">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5">
        <f>100*C6/(0.3*MIN(E6,F6))</f>
        <v/>
      </c>
      <c r="R6" s="9" t="n">
        <v>15.12</v>
      </c>
    </row>
    <row r="7" ht="17" customHeight="1">
      <c r="A7" s="35" t="n"/>
      <c r="B7" s="45" t="inlineStr">
        <is>
          <t>C9</t>
        </is>
      </c>
      <c r="C7" s="15" t="n">
        <v>3.22</v>
      </c>
      <c r="D7" s="56" t="n">
        <v>20.35</v>
      </c>
      <c r="E7" s="17" t="n">
        <v>15</v>
      </c>
      <c r="F7" s="17" t="n">
        <v>30</v>
      </c>
      <c r="G7" s="18">
        <f>E7*F7</f>
        <v/>
      </c>
      <c r="H7" s="47">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7">
        <f>100*C7/(0.3*MIN(E7,F7))</f>
        <v/>
      </c>
      <c r="R7" s="16" t="n">
        <v>20.35</v>
      </c>
    </row>
    <row r="8" ht="17" customHeight="1">
      <c r="A8" s="41" t="inlineStr">
        <is>
          <t>PB</t>
        </is>
      </c>
      <c r="B8" s="42" t="inlineStr">
        <is>
          <t>C1</t>
        </is>
      </c>
      <c r="C8" s="8" t="n">
        <v>3.15</v>
      </c>
      <c r="D8" s="54" t="n">
        <v>2.49</v>
      </c>
      <c r="E8" s="10" t="n">
        <v>15</v>
      </c>
      <c r="F8" s="10" t="n">
        <v>30</v>
      </c>
      <c r="G8" s="11">
        <f>E8*F8</f>
        <v/>
      </c>
      <c r="H8" s="44">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5">
        <f>100*C8/(0.3*MIN(E8,F8))</f>
        <v/>
      </c>
      <c r="R8" s="9" t="n">
        <v>2.49</v>
      </c>
    </row>
    <row r="9" ht="17" customHeight="1">
      <c r="A9" s="31" t="n"/>
      <c r="B9" s="42" t="inlineStr">
        <is>
          <t>C2</t>
        </is>
      </c>
      <c r="C9" s="8" t="n">
        <v>3.15</v>
      </c>
      <c r="D9" s="54" t="n">
        <v>29.46</v>
      </c>
      <c r="E9" s="10" t="n">
        <v>15</v>
      </c>
      <c r="F9" s="10" t="n">
        <v>30</v>
      </c>
      <c r="G9" s="11">
        <f>E9*F9</f>
        <v/>
      </c>
      <c r="H9" s="44">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5">
        <f>100*C9/(0.3*MIN(E9,F9))</f>
        <v/>
      </c>
      <c r="R9" s="9" t="n">
        <v>29.46</v>
      </c>
    </row>
    <row r="10" ht="17" customHeight="1">
      <c r="A10" s="31" t="n"/>
      <c r="B10" s="42" t="inlineStr">
        <is>
          <t>C3</t>
        </is>
      </c>
      <c r="C10" s="8" t="n">
        <v>3.15</v>
      </c>
      <c r="D10" s="54" t="n">
        <v>13.89</v>
      </c>
      <c r="E10" s="10" t="n">
        <v>30</v>
      </c>
      <c r="F10" s="10" t="n">
        <v>15</v>
      </c>
      <c r="G10" s="11">
        <f>E10*F10</f>
        <v/>
      </c>
      <c r="H10" s="44">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5">
        <f>100*C10/(0.3*MIN(E10,F10))</f>
        <v/>
      </c>
      <c r="R10" s="9" t="n">
        <v>13.89</v>
      </c>
    </row>
    <row r="11" ht="17" customHeight="1">
      <c r="A11" s="31" t="n"/>
      <c r="B11" s="42" t="inlineStr">
        <is>
          <t>C4</t>
        </is>
      </c>
      <c r="C11" s="8" t="n">
        <v>3.15</v>
      </c>
      <c r="D11" s="54" t="n">
        <v>10.28</v>
      </c>
      <c r="E11" s="10" t="n">
        <v>10</v>
      </c>
      <c r="F11" s="10" t="n">
        <v>10</v>
      </c>
      <c r="G11" s="11">
        <f>E11*F11</f>
        <v/>
      </c>
      <c r="H11" s="44">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5">
        <f>100*C11/(0.3*MIN(E11,F11))</f>
        <v/>
      </c>
      <c r="R11" s="9" t="n">
        <v>10.28</v>
      </c>
    </row>
    <row r="12" ht="17" customHeight="1">
      <c r="A12" s="31" t="n"/>
      <c r="B12" s="42" t="inlineStr">
        <is>
          <t>C5</t>
        </is>
      </c>
      <c r="C12" s="8" t="n">
        <v>3.15</v>
      </c>
      <c r="D12" s="54" t="n">
        <v>15.96</v>
      </c>
      <c r="E12" s="10" t="n">
        <v>15</v>
      </c>
      <c r="F12" s="10" t="n">
        <v>30</v>
      </c>
      <c r="G12" s="11">
        <f>E12*F12</f>
        <v/>
      </c>
      <c r="H12" s="44">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5">
        <f>100*C12/(0.3*MIN(E12,F12))</f>
        <v/>
      </c>
      <c r="R12" s="9" t="n">
        <v>15.96</v>
      </c>
    </row>
    <row r="13" ht="17" customHeight="1">
      <c r="A13" s="31" t="n"/>
      <c r="B13" s="42" t="inlineStr">
        <is>
          <t>C6</t>
        </is>
      </c>
      <c r="C13" s="8" t="n">
        <v>3.15</v>
      </c>
      <c r="D13" s="54" t="n">
        <v>35.39</v>
      </c>
      <c r="E13" s="10" t="n">
        <v>20</v>
      </c>
      <c r="F13" s="10" t="n">
        <v>20</v>
      </c>
      <c r="G13" s="11">
        <f>E13*F13</f>
        <v/>
      </c>
      <c r="H13" s="44">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5">
        <f>100*C13/(0.3*MIN(E13,F13))</f>
        <v/>
      </c>
      <c r="R13" s="9" t="n">
        <v>35.39</v>
      </c>
    </row>
    <row r="14" ht="17" customHeight="1">
      <c r="A14" s="31" t="n"/>
      <c r="B14" s="42" t="inlineStr">
        <is>
          <t>C7</t>
        </is>
      </c>
      <c r="C14" s="8" t="n">
        <v>3.15</v>
      </c>
      <c r="D14" s="54" t="n">
        <v>37.78</v>
      </c>
      <c r="E14" s="10" t="n">
        <v>30</v>
      </c>
      <c r="F14" s="10" t="n">
        <v>15</v>
      </c>
      <c r="G14" s="11">
        <f>E14*F14</f>
        <v/>
      </c>
      <c r="H14" s="44">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5">
        <f>100*C14/(0.3*MIN(E14,F14))</f>
        <v/>
      </c>
      <c r="R14" s="9" t="n">
        <v>37.78</v>
      </c>
    </row>
    <row r="15" ht="17" customHeight="1">
      <c r="A15" s="31" t="n"/>
      <c r="B15" s="42" t="inlineStr">
        <is>
          <t>C8</t>
        </is>
      </c>
      <c r="C15" s="8" t="n">
        <v>3.15</v>
      </c>
      <c r="D15" s="54" t="n">
        <v>42.67</v>
      </c>
      <c r="E15" s="10" t="n">
        <v>15</v>
      </c>
      <c r="F15" s="10" t="n">
        <v>30</v>
      </c>
      <c r="G15" s="11">
        <f>E15*F15</f>
        <v/>
      </c>
      <c r="H15" s="44">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5">
        <f>100*C15/(0.3*MIN(E15,F15))</f>
        <v/>
      </c>
      <c r="R15" s="9" t="n">
        <v>42.67</v>
      </c>
    </row>
    <row r="16" ht="17" customHeight="1">
      <c r="A16" s="35" t="n"/>
      <c r="B16" s="45" t="inlineStr">
        <is>
          <t>C9</t>
        </is>
      </c>
      <c r="C16" s="15" t="n">
        <v>3.15</v>
      </c>
      <c r="D16" s="56" t="n">
        <v>55.94</v>
      </c>
      <c r="E16" s="17" t="n">
        <v>15</v>
      </c>
      <c r="F16" s="17" t="n">
        <v>30</v>
      </c>
      <c r="G16" s="18">
        <f>E16*F16</f>
        <v/>
      </c>
      <c r="H16" s="47">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7">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0"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2" t="inlineStr">
        <is>
          <t>VF01 (1)</t>
        </is>
      </c>
      <c r="B4" s="8" t="n">
        <v>0.77</v>
      </c>
      <c r="C4" s="10" t="inlineStr">
        <is>
          <t>Continua</t>
        </is>
      </c>
      <c r="D4" s="43">
        <f>1.2*(Datos_vigas!$B$7*J4*L4/10000+Datos_vigas!$B$16*Y4)</f>
        <v/>
      </c>
      <c r="E4" s="11" t="n"/>
      <c r="F4" s="43">
        <f>VLOOKUP(C4,Datos_vigas!$A$19:$E$23,4,0)*D4*B4</f>
        <v/>
      </c>
      <c r="G4" s="43">
        <f>F4</f>
        <v/>
      </c>
      <c r="H4" s="43">
        <f>VLOOKUP(C4,Datos_vigas!$A$19:$E$23,2,0)*D4*B4^2</f>
        <v/>
      </c>
      <c r="I4" s="43">
        <f>IF(VLOOKUP(C4,Datos_vigas!$A$19:$E$23,3,0)=0,"---",VLOOKUP(C4,Datos_vigas!$A$19:$E$23,3,0)*D4*B4^2)</f>
        <v/>
      </c>
      <c r="J4" s="10" t="n">
        <v>20</v>
      </c>
      <c r="K4" s="11">
        <f>L4-Z4</f>
        <v/>
      </c>
      <c r="L4" s="10" t="n">
        <v>35</v>
      </c>
      <c r="M4" s="44">
        <f>IF(NOT(ISNUMBER(H4)),"---",IF(H4&lt;=0,"---",IF(H4*100/(Datos_vigas!$B$8*J4*K4^2*Datos_vigas!$B$5)&gt;=0.5,"REVISAR",MAX((1-SQRT(1-2*H4*100/(Datos_vigas!$B$8*J4*K4^2*Datos_vigas!$B$5)))*J4*K4*Datos_vigas!$B$5/Datos_vigas!$B$6,0.0033*J4*K4))))</f>
        <v/>
      </c>
      <c r="N4" s="10" t="n">
        <v>2</v>
      </c>
      <c r="O4" s="10" t="n">
        <v>12</v>
      </c>
      <c r="P4" s="44">
        <f>IF(NOT(ISNUMBER(I4)),"---",IF(I4&lt;=0,"---",IF(I4*100/(Datos_vigas!$B$8*J4*K4^2*Datos_vigas!$B$5)&gt;=0.5,"REVISAR",MAX((1-SQRT(1-2*I4*100/(Datos_vigas!$B$8*J4*K4^2*Datos_vigas!$B$5)))*J4*K4*Datos_vigas!$B$5/Datos_vigas!$B$6,0.0033*J4*K4))))</f>
        <v/>
      </c>
      <c r="Q4" s="10" t="n">
        <v>2</v>
      </c>
      <c r="R4" s="10" t="n">
        <v>12</v>
      </c>
      <c r="S4" s="44">
        <f>F4/(J4*0.85*K4)</f>
        <v/>
      </c>
      <c r="T4" s="44">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2" t="inlineStr">
        <is>
          <t>VF01 (2)</t>
        </is>
      </c>
      <c r="B5" s="8" t="n">
        <v>0.77</v>
      </c>
      <c r="C5" s="10" t="inlineStr">
        <is>
          <t>Continua</t>
        </is>
      </c>
      <c r="D5" s="43">
        <f>1.2*(Datos_vigas!$B$7*J5*L5/10000+Datos_vigas!$B$16*Y5)</f>
        <v/>
      </c>
      <c r="E5" s="11" t="n"/>
      <c r="F5" s="43">
        <f>VLOOKUP(C5,Datos_vigas!$A$19:$E$23,4,0)*D5*B5</f>
        <v/>
      </c>
      <c r="G5" s="43">
        <f>F5</f>
        <v/>
      </c>
      <c r="H5" s="43">
        <f>VLOOKUP(C5,Datos_vigas!$A$19:$E$23,2,0)*D5*B5^2</f>
        <v/>
      </c>
      <c r="I5" s="43">
        <f>IF(VLOOKUP(C5,Datos_vigas!$A$19:$E$23,3,0)=0,"---",VLOOKUP(C5,Datos_vigas!$A$19:$E$23,3,0)*D5*B5^2)</f>
        <v/>
      </c>
      <c r="J5" s="10" t="n">
        <v>20</v>
      </c>
      <c r="K5" s="11">
        <f>L5-Z5</f>
        <v/>
      </c>
      <c r="L5" s="10" t="n">
        <v>35</v>
      </c>
      <c r="M5" s="44">
        <f>IF(NOT(ISNUMBER(H5)),"---",IF(H5&lt;=0,"---",IF(H5*100/(Datos_vigas!$B$8*J5*K5^2*Datos_vigas!$B$5)&gt;=0.5,"REVISAR",MAX((1-SQRT(1-2*H5*100/(Datos_vigas!$B$8*J5*K5^2*Datos_vigas!$B$5)))*J5*K5*Datos_vigas!$B$5/Datos_vigas!$B$6,0.0033*J5*K5))))</f>
        <v/>
      </c>
      <c r="N5" s="10" t="n">
        <v>2</v>
      </c>
      <c r="O5" s="10" t="n">
        <v>12</v>
      </c>
      <c r="P5" s="44">
        <f>IF(NOT(ISNUMBER(I5)),"---",IF(I5&lt;=0,"---",IF(I5*100/(Datos_vigas!$B$8*J5*K5^2*Datos_vigas!$B$5)&gt;=0.5,"REVISAR",MAX((1-SQRT(1-2*I5*100/(Datos_vigas!$B$8*J5*K5^2*Datos_vigas!$B$5)))*J5*K5*Datos_vigas!$B$5/Datos_vigas!$B$6,0.0033*J5*K5))))</f>
        <v/>
      </c>
      <c r="Q5" s="10" t="n">
        <v>2</v>
      </c>
      <c r="R5" s="10" t="n">
        <v>12</v>
      </c>
      <c r="S5" s="44">
        <f>F5/(J5*0.85*K5)</f>
        <v/>
      </c>
      <c r="T5" s="44">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2" t="inlineStr">
        <is>
          <t>VF01 (3)</t>
        </is>
      </c>
      <c r="B6" s="8" t="n">
        <v>0.77</v>
      </c>
      <c r="C6" s="10" t="inlineStr">
        <is>
          <t>Continua</t>
        </is>
      </c>
      <c r="D6" s="43">
        <f>1.2*(Datos_vigas!$B$7*J6*L6/10000+Datos_vigas!$B$16*Y6)</f>
        <v/>
      </c>
      <c r="E6" s="11" t="n"/>
      <c r="F6" s="43">
        <f>VLOOKUP(C6,Datos_vigas!$A$19:$E$23,4,0)*D6*B6</f>
        <v/>
      </c>
      <c r="G6" s="43">
        <f>F6</f>
        <v/>
      </c>
      <c r="H6" s="43">
        <f>VLOOKUP(C6,Datos_vigas!$A$19:$E$23,2,0)*D6*B6^2</f>
        <v/>
      </c>
      <c r="I6" s="43">
        <f>IF(VLOOKUP(C6,Datos_vigas!$A$19:$E$23,3,0)=0,"---",VLOOKUP(C6,Datos_vigas!$A$19:$E$23,3,0)*D6*B6^2)</f>
        <v/>
      </c>
      <c r="J6" s="10" t="n">
        <v>20</v>
      </c>
      <c r="K6" s="11">
        <f>L6-Z6</f>
        <v/>
      </c>
      <c r="L6" s="10" t="n">
        <v>35</v>
      </c>
      <c r="M6" s="44">
        <f>IF(NOT(ISNUMBER(H6)),"---",IF(H6&lt;=0,"---",IF(H6*100/(Datos_vigas!$B$8*J6*K6^2*Datos_vigas!$B$5)&gt;=0.5,"REVISAR",MAX((1-SQRT(1-2*H6*100/(Datos_vigas!$B$8*J6*K6^2*Datos_vigas!$B$5)))*J6*K6*Datos_vigas!$B$5/Datos_vigas!$B$6,0.0033*J6*K6))))</f>
        <v/>
      </c>
      <c r="N6" s="10" t="n">
        <v>2</v>
      </c>
      <c r="O6" s="10" t="n">
        <v>12</v>
      </c>
      <c r="P6" s="44">
        <f>IF(NOT(ISNUMBER(I6)),"---",IF(I6&lt;=0,"---",IF(I6*100/(Datos_vigas!$B$8*J6*K6^2*Datos_vigas!$B$5)&gt;=0.5,"REVISAR",MAX((1-SQRT(1-2*I6*100/(Datos_vigas!$B$8*J6*K6^2*Datos_vigas!$B$5)))*J6*K6*Datos_vigas!$B$5/Datos_vigas!$B$6,0.0033*J6*K6))))</f>
        <v/>
      </c>
      <c r="Q6" s="10" t="n">
        <v>2</v>
      </c>
      <c r="R6" s="10" t="n">
        <v>12</v>
      </c>
      <c r="S6" s="44">
        <f>F6/(J6*0.85*K6)</f>
        <v/>
      </c>
      <c r="T6" s="44">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2" t="inlineStr">
        <is>
          <t>VF02</t>
        </is>
      </c>
      <c r="B7" s="8" t="n">
        <v>2.94</v>
      </c>
      <c r="C7" s="10" t="inlineStr">
        <is>
          <t>Simplemente apoyada</t>
        </is>
      </c>
      <c r="D7" s="43">
        <f>1.2*(Datos_vigas!$B$7*J7*L7/10000+Datos_vigas!$B$16*Y7)</f>
        <v/>
      </c>
      <c r="E7" s="11" t="n"/>
      <c r="F7" s="43">
        <f>VLOOKUP(C7,Datos_vigas!$A$19:$E$23,4,0)*D7*B7</f>
        <v/>
      </c>
      <c r="G7" s="43">
        <f>F7</f>
        <v/>
      </c>
      <c r="H7" s="43">
        <f>VLOOKUP(C7,Datos_vigas!$A$19:$E$23,2,0)*D7*B7^2</f>
        <v/>
      </c>
      <c r="I7" s="43">
        <f>IF(VLOOKUP(C7,Datos_vigas!$A$19:$E$23,3,0)=0,"---",VLOOKUP(C7,Datos_vigas!$A$19:$E$23,3,0)*D7*B7^2)</f>
        <v/>
      </c>
      <c r="J7" s="10" t="n">
        <v>25</v>
      </c>
      <c r="K7" s="11">
        <f>L7-Z7</f>
        <v/>
      </c>
      <c r="L7" s="10" t="n">
        <v>35</v>
      </c>
      <c r="M7" s="44">
        <f>IF(NOT(ISNUMBER(H7)),"---",IF(H7&lt;=0,"---",IF(H7*100/(Datos_vigas!$B$8*J7*K7^2*Datos_vigas!$B$5)&gt;=0.5,"REVISAR",MAX((1-SQRT(1-2*H7*100/(Datos_vigas!$B$8*J7*K7^2*Datos_vigas!$B$5)))*J7*K7*Datos_vigas!$B$5/Datos_vigas!$B$6,0.0033*J7*K7))))</f>
        <v/>
      </c>
      <c r="N7" s="10" t="n">
        <v>6</v>
      </c>
      <c r="O7" s="10" t="n">
        <v>8</v>
      </c>
      <c r="P7" s="44">
        <f>IF(NOT(ISNUMBER(I7)),"---",IF(I7&lt;=0,"---",IF(I7*100/(Datos_vigas!$B$8*J7*K7^2*Datos_vigas!$B$5)&gt;=0.5,"REVISAR",MAX((1-SQRT(1-2*I7*100/(Datos_vigas!$B$8*J7*K7^2*Datos_vigas!$B$5)))*J7*K7*Datos_vigas!$B$5/Datos_vigas!$B$6,0.0033*J7*K7))))</f>
        <v/>
      </c>
      <c r="Q7" s="10" t="inlineStr">
        <is>
          <t>---</t>
        </is>
      </c>
      <c r="R7" s="10" t="inlineStr">
        <is>
          <t>---</t>
        </is>
      </c>
      <c r="S7" s="44">
        <f>F7/(J7*0.85*K7)</f>
        <v/>
      </c>
      <c r="T7" s="44">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2" t="inlineStr">
        <is>
          <t>VF03</t>
        </is>
      </c>
      <c r="B8" s="8" t="n">
        <v>9.01</v>
      </c>
      <c r="C8" s="10" t="inlineStr">
        <is>
          <t>Continua</t>
        </is>
      </c>
      <c r="D8" s="43">
        <f>1.2*(Datos_vigas!$B$7*J8*L8/10000+Datos_vigas!$B$16*Y8)</f>
        <v/>
      </c>
      <c r="E8" s="11" t="n"/>
      <c r="F8" s="43">
        <f>VLOOKUP(C8,Datos_vigas!$A$19:$E$23,4,0)*D8*B8</f>
        <v/>
      </c>
      <c r="G8" s="43">
        <f>F8</f>
        <v/>
      </c>
      <c r="H8" s="43">
        <f>VLOOKUP(C8,Datos_vigas!$A$19:$E$23,2,0)*D8*B8^2</f>
        <v/>
      </c>
      <c r="I8" s="43">
        <f>IF(VLOOKUP(C8,Datos_vigas!$A$19:$E$23,3,0)=0,"---",VLOOKUP(C8,Datos_vigas!$A$19:$E$23,3,0)*D8*B8^2)</f>
        <v/>
      </c>
      <c r="J8" s="10" t="n">
        <v>22</v>
      </c>
      <c r="K8" s="11">
        <f>L8-Z8</f>
        <v/>
      </c>
      <c r="L8" s="10" t="n">
        <v>25</v>
      </c>
      <c r="M8" s="44">
        <f>IF(NOT(ISNUMBER(H8)),"---",IF(H8&lt;=0,"---",IF(H8*100/(Datos_vigas!$B$8*J8*K8^2*Datos_vigas!$B$5)&gt;=0.5,"REVISAR",MAX((1-SQRT(1-2*H8*100/(Datos_vigas!$B$8*J8*K8^2*Datos_vigas!$B$5)))*J8*K8*Datos_vigas!$B$5/Datos_vigas!$B$6,0.0033*J8*K8))))</f>
        <v/>
      </c>
      <c r="N8" s="10" t="n">
        <v>2</v>
      </c>
      <c r="O8" s="10" t="n">
        <v>25</v>
      </c>
      <c r="P8" s="44">
        <f>IF(NOT(ISNUMBER(I8)),"---",IF(I8&lt;=0,"---",IF(I8*100/(Datos_vigas!$B$8*J8*K8^2*Datos_vigas!$B$5)&gt;=0.5,"REVISAR",MAX((1-SQRT(1-2*I8*100/(Datos_vigas!$B$8*J8*K8^2*Datos_vigas!$B$5)))*J8*K8*Datos_vigas!$B$5/Datos_vigas!$B$6,0.0033*J8*K8))))</f>
        <v/>
      </c>
      <c r="Q8" s="10" t="n">
        <v>5</v>
      </c>
      <c r="R8" s="10" t="n">
        <v>6</v>
      </c>
      <c r="S8" s="44">
        <f>F8/(J8*0.85*K8)</f>
        <v/>
      </c>
      <c r="T8" s="44">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2" t="inlineStr">
        <is>
          <t>VF04a</t>
        </is>
      </c>
      <c r="B9" s="8" t="n">
        <v>3.8</v>
      </c>
      <c r="C9" s="10" t="inlineStr">
        <is>
          <t>Continua</t>
        </is>
      </c>
      <c r="D9" s="43">
        <f>1.2*(Datos_vigas!$B$7*J9*L9/10000+Datos_vigas!$B$16*Y9)</f>
        <v/>
      </c>
      <c r="E9" s="11" t="n"/>
      <c r="F9" s="43">
        <f>VLOOKUP(C9,Datos_vigas!$A$19:$E$23,4,0)*D9*B9</f>
        <v/>
      </c>
      <c r="G9" s="43">
        <f>F9</f>
        <v/>
      </c>
      <c r="H9" s="43">
        <f>VLOOKUP(C9,Datos_vigas!$A$19:$E$23,2,0)*D9*B9^2</f>
        <v/>
      </c>
      <c r="I9" s="43">
        <f>IF(VLOOKUP(C9,Datos_vigas!$A$19:$E$23,3,0)=0,"---",VLOOKUP(C9,Datos_vigas!$A$19:$E$23,3,0)*D9*B9^2)</f>
        <v/>
      </c>
      <c r="J9" s="10" t="n">
        <v>22</v>
      </c>
      <c r="K9" s="11">
        <f>L9-Z9</f>
        <v/>
      </c>
      <c r="L9" s="10" t="n">
        <v>35</v>
      </c>
      <c r="M9" s="44">
        <f>IF(NOT(ISNUMBER(H9)),"---",IF(H9&lt;=0,"---",IF(H9*100/(Datos_vigas!$B$8*J9*K9^2*Datos_vigas!$B$5)&gt;=0.5,"REVISAR",MAX((1-SQRT(1-2*H9*100/(Datos_vigas!$B$8*J9*K9^2*Datos_vigas!$B$5)))*J9*K9*Datos_vigas!$B$5/Datos_vigas!$B$6,0.0033*J9*K9))))</f>
        <v/>
      </c>
      <c r="N9" s="10" t="n">
        <v>2</v>
      </c>
      <c r="O9" s="10" t="n">
        <v>12</v>
      </c>
      <c r="P9" s="44">
        <f>IF(NOT(ISNUMBER(I9)),"---",IF(I9&lt;=0,"---",IF(I9*100/(Datos_vigas!$B$8*J9*K9^2*Datos_vigas!$B$5)&gt;=0.5,"REVISAR",MAX((1-SQRT(1-2*I9*100/(Datos_vigas!$B$8*J9*K9^2*Datos_vigas!$B$5)))*J9*K9*Datos_vigas!$B$5/Datos_vigas!$B$6,0.0033*J9*K9))))</f>
        <v/>
      </c>
      <c r="Q9" s="10" t="n">
        <v>2</v>
      </c>
      <c r="R9" s="10" t="n">
        <v>12</v>
      </c>
      <c r="S9" s="44">
        <f>F9/(J9*0.85*K9)</f>
        <v/>
      </c>
      <c r="T9" s="44">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2" t="inlineStr">
        <is>
          <t>VF04b</t>
        </is>
      </c>
      <c r="B10" s="8" t="n">
        <v>3.3</v>
      </c>
      <c r="C10" s="10" t="inlineStr">
        <is>
          <t>Continua</t>
        </is>
      </c>
      <c r="D10" s="43">
        <f>1.2*(Datos_vigas!$B$7*J10*L10/10000+Datos_vigas!$B$16*Y10)</f>
        <v/>
      </c>
      <c r="E10" s="11" t="n"/>
      <c r="F10" s="43">
        <f>VLOOKUP(C10,Datos_vigas!$A$19:$E$23,4,0)*D10*B10</f>
        <v/>
      </c>
      <c r="G10" s="43">
        <f>F10</f>
        <v/>
      </c>
      <c r="H10" s="43">
        <f>VLOOKUP(C10,Datos_vigas!$A$19:$E$23,2,0)*D10*B10^2</f>
        <v/>
      </c>
      <c r="I10" s="43">
        <f>IF(VLOOKUP(C10,Datos_vigas!$A$19:$E$23,3,0)=0,"---",VLOOKUP(C10,Datos_vigas!$A$19:$E$23,3,0)*D10*B10^2)</f>
        <v/>
      </c>
      <c r="J10" s="10" t="n">
        <v>20</v>
      </c>
      <c r="K10" s="11">
        <f>L10-Z10</f>
        <v/>
      </c>
      <c r="L10" s="10" t="n">
        <v>25</v>
      </c>
      <c r="M10" s="44">
        <f>IF(NOT(ISNUMBER(H10)),"---",IF(H10&lt;=0,"---",IF(H10*100/(Datos_vigas!$B$8*J10*K10^2*Datos_vigas!$B$5)&gt;=0.5,"REVISAR",MAX((1-SQRT(1-2*H10*100/(Datos_vigas!$B$8*J10*K10^2*Datos_vigas!$B$5)))*J10*K10*Datos_vigas!$B$5/Datos_vigas!$B$6,0.0033*J10*K10))))</f>
        <v/>
      </c>
      <c r="N10" s="10" t="n">
        <v>5</v>
      </c>
      <c r="O10" s="10" t="n">
        <v>6</v>
      </c>
      <c r="P10" s="44">
        <f>IF(NOT(ISNUMBER(I10)),"---",IF(I10&lt;=0,"---",IF(I10*100/(Datos_vigas!$B$8*J10*K10^2*Datos_vigas!$B$5)&gt;=0.5,"REVISAR",MAX((1-SQRT(1-2*I10*100/(Datos_vigas!$B$8*J10*K10^2*Datos_vigas!$B$5)))*J10*K10*Datos_vigas!$B$5/Datos_vigas!$B$6,0.0033*J10*K10))))</f>
        <v/>
      </c>
      <c r="Q10" s="10" t="n">
        <v>2</v>
      </c>
      <c r="R10" s="10" t="n">
        <v>10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2" t="inlineStr">
        <is>
          <t>VF04c</t>
        </is>
      </c>
      <c r="B11" s="8" t="n">
        <v>3.08</v>
      </c>
      <c r="C11" s="10" t="inlineStr">
        <is>
          <t>Continua</t>
        </is>
      </c>
      <c r="D11" s="43">
        <f>1.2*(Datos_vigas!$B$7*J11*L11/10000+Datos_vigas!$B$16*Y11)</f>
        <v/>
      </c>
      <c r="E11" s="11" t="n"/>
      <c r="F11" s="43">
        <f>VLOOKUP(C11,Datos_vigas!$A$19:$E$23,4,0)*D11*B11</f>
        <v/>
      </c>
      <c r="G11" s="43">
        <f>F11</f>
        <v/>
      </c>
      <c r="H11" s="43">
        <f>VLOOKUP(C11,Datos_vigas!$A$19:$E$23,2,0)*D11*B11^2</f>
        <v/>
      </c>
      <c r="I11" s="43">
        <f>IF(VLOOKUP(C11,Datos_vigas!$A$19:$E$23,3,0)=0,"---",VLOOKUP(C11,Datos_vigas!$A$19:$E$23,3,0)*D11*B11^2)</f>
        <v/>
      </c>
      <c r="J11" s="10" t="n">
        <v>20</v>
      </c>
      <c r="K11" s="11">
        <f>L11-Z11</f>
        <v/>
      </c>
      <c r="L11" s="10" t="n">
        <v>25</v>
      </c>
      <c r="M11" s="44">
        <f>IF(NOT(ISNUMBER(H11)),"---",IF(H11&lt;=0,"---",IF(H11*100/(Datos_vigas!$B$8*J11*K11^2*Datos_vigas!$B$5)&gt;=0.5,"REVISAR",MAX((1-SQRT(1-2*H11*100/(Datos_vigas!$B$8*J11*K11^2*Datos_vigas!$B$5)))*J11*K11*Datos_vigas!$B$5/Datos_vigas!$B$6,0.0033*J11*K11))))</f>
        <v/>
      </c>
      <c r="N11" s="10" t="n">
        <v>5</v>
      </c>
      <c r="O11" s="10" t="n">
        <v>6</v>
      </c>
      <c r="P11" s="44">
        <f>IF(NOT(ISNUMBER(I11)),"---",IF(I11&lt;=0,"---",IF(I11*100/(Datos_vigas!$B$8*J11*K11^2*Datos_vigas!$B$5)&gt;=0.5,"REVISAR",MAX((1-SQRT(1-2*I11*100/(Datos_vigas!$B$8*J11*K11^2*Datos_vigas!$B$5)))*J11*K11*Datos_vigas!$B$5/Datos_vigas!$B$6,0.0033*J11*K11))))</f>
        <v/>
      </c>
      <c r="Q11" s="10" t="n">
        <v>5</v>
      </c>
      <c r="R11" s="10" t="n">
        <v>6</v>
      </c>
      <c r="S11" s="44">
        <f>F11/(J11*0.85*K11)</f>
        <v/>
      </c>
      <c r="T11" s="44">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2" t="inlineStr">
        <is>
          <t>VF05</t>
        </is>
      </c>
      <c r="B12" s="8" t="n">
        <v>2.26</v>
      </c>
      <c r="C12" s="10" t="inlineStr">
        <is>
          <t>Simplemente apoyada</t>
        </is>
      </c>
      <c r="D12" s="43">
        <f>1.2*(Datos_vigas!$B$7*J12*L12/10000+Datos_vigas!$B$16*Y12)</f>
        <v/>
      </c>
      <c r="E12" s="11" t="n"/>
      <c r="F12" s="43">
        <f>VLOOKUP(C12,Datos_vigas!$A$19:$E$23,4,0)*D12*B12</f>
        <v/>
      </c>
      <c r="G12" s="43">
        <f>F12</f>
        <v/>
      </c>
      <c r="H12" s="43">
        <f>VLOOKUP(C12,Datos_vigas!$A$19:$E$23,2,0)*D12*B12^2</f>
        <v/>
      </c>
      <c r="I12" s="43">
        <f>IF(VLOOKUP(C12,Datos_vigas!$A$19:$E$23,3,0)=0,"---",VLOOKUP(C12,Datos_vigas!$A$19:$E$23,3,0)*D12*B12^2)</f>
        <v/>
      </c>
      <c r="J12" s="10" t="n">
        <v>15</v>
      </c>
      <c r="K12" s="11">
        <f>L12-Z12</f>
        <v/>
      </c>
      <c r="L12" s="10" t="n">
        <v>25</v>
      </c>
      <c r="M12" s="44">
        <f>IF(NOT(ISNUMBER(H12)),"---",IF(H12&lt;=0,"---",IF(H12*100/(Datos_vigas!$B$8*J12*K12^2*Datos_vigas!$B$5)&gt;=0.5,"REVISAR",MAX((1-SQRT(1-2*H12*100/(Datos_vigas!$B$8*J12*K12^2*Datos_vigas!$B$5)))*J12*K12*Datos_vigas!$B$5/Datos_vigas!$B$6,0.0033*J12*K12))))</f>
        <v/>
      </c>
      <c r="N12" s="10" t="n">
        <v>3</v>
      </c>
      <c r="O12" s="10" t="n">
        <v>8</v>
      </c>
      <c r="P12" s="44">
        <f>IF(NOT(ISNUMBER(I12)),"---",IF(I12&lt;=0,"---",IF(I12*100/(Datos_vigas!$B$8*J12*K12^2*Datos_vigas!$B$5)&gt;=0.5,"REVISAR",MAX((1-SQRT(1-2*I12*100/(Datos_vigas!$B$8*J12*K12^2*Datos_vigas!$B$5)))*J12*K12*Datos_vigas!$B$5/Datos_vigas!$B$6,0.0033*J12*K12))))</f>
        <v/>
      </c>
      <c r="Q12" s="10" t="inlineStr">
        <is>
          <t>---</t>
        </is>
      </c>
      <c r="R12" s="10" t="inlineStr">
        <is>
          <t>---</t>
        </is>
      </c>
      <c r="S12" s="44">
        <f>F12/(J12*0.85*K12)</f>
        <v/>
      </c>
      <c r="T12" s="44">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2" t="inlineStr">
        <is>
          <t>VF06a</t>
        </is>
      </c>
      <c r="B13" s="8" t="n">
        <v>0.23</v>
      </c>
      <c r="C13" s="10" t="inlineStr">
        <is>
          <t>Continua</t>
        </is>
      </c>
      <c r="D13" s="43">
        <f>1.2*(Datos_vigas!$B$7*J13*L13/10000+Datos_vigas!$B$16*Y13)</f>
        <v/>
      </c>
      <c r="E13" s="11" t="n"/>
      <c r="F13" s="43">
        <f>VLOOKUP(C13,Datos_vigas!$A$19:$E$23,4,0)*D13*B13</f>
        <v/>
      </c>
      <c r="G13" s="43">
        <f>F13</f>
        <v/>
      </c>
      <c r="H13" s="43">
        <f>VLOOKUP(C13,Datos_vigas!$A$19:$E$23,2,0)*D13*B13^2</f>
        <v/>
      </c>
      <c r="I13" s="43">
        <f>IF(VLOOKUP(C13,Datos_vigas!$A$19:$E$23,3,0)=0,"---",VLOOKUP(C13,Datos_vigas!$A$19:$E$23,3,0)*D13*B13^2)</f>
        <v/>
      </c>
      <c r="J13" s="10" t="n">
        <v>15</v>
      </c>
      <c r="K13" s="11">
        <f>L13-Z13</f>
        <v/>
      </c>
      <c r="L13" s="10" t="n">
        <v>25</v>
      </c>
      <c r="M13" s="44">
        <f>IF(NOT(ISNUMBER(H13)),"---",IF(H13&lt;=0,"---",IF(H13*100/(Datos_vigas!$B$8*J13*K13^2*Datos_vigas!$B$5)&gt;=0.5,"REVISAR",MAX((1-SQRT(1-2*H13*100/(Datos_vigas!$B$8*J13*K13^2*Datos_vigas!$B$5)))*J13*K13*Datos_vigas!$B$5/Datos_vigas!$B$6,0.0033*J13*K13))))</f>
        <v/>
      </c>
      <c r="N13" s="10" t="n">
        <v>3</v>
      </c>
      <c r="O13" s="10" t="n">
        <v>8</v>
      </c>
      <c r="P13" s="44">
        <f>IF(NOT(ISNUMBER(I13)),"---",IF(I13&lt;=0,"---",IF(I13*100/(Datos_vigas!$B$8*J13*K13^2*Datos_vigas!$B$5)&gt;=0.5,"REVISAR",MAX((1-SQRT(1-2*I13*100/(Datos_vigas!$B$8*J13*K13^2*Datos_vigas!$B$5)))*J13*K13*Datos_vigas!$B$5/Datos_vigas!$B$6,0.0033*J13*K13))))</f>
        <v/>
      </c>
      <c r="Q13" s="10" t="n">
        <v>3</v>
      </c>
      <c r="R13" s="10" t="n">
        <v>8</v>
      </c>
      <c r="S13" s="44">
        <f>F13/(J13*0.85*K13)</f>
        <v/>
      </c>
      <c r="T13" s="44">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2" t="inlineStr">
        <is>
          <t>VF06b</t>
        </is>
      </c>
      <c r="B14" s="8" t="n">
        <v>1.83</v>
      </c>
      <c r="C14" s="10" t="inlineStr">
        <is>
          <t>Continua</t>
        </is>
      </c>
      <c r="D14" s="43">
        <f>1.2*(Datos_vigas!$B$7*J14*L14/10000+Datos_vigas!$B$16*Y14)</f>
        <v/>
      </c>
      <c r="E14" s="11" t="n"/>
      <c r="F14" s="43">
        <f>VLOOKUP(C14,Datos_vigas!$A$19:$E$23,4,0)*D14*B14</f>
        <v/>
      </c>
      <c r="G14" s="43">
        <f>F14</f>
        <v/>
      </c>
      <c r="H14" s="43">
        <f>VLOOKUP(C14,Datos_vigas!$A$19:$E$23,2,0)*D14*B14^2</f>
        <v/>
      </c>
      <c r="I14" s="43">
        <f>IF(VLOOKUP(C14,Datos_vigas!$A$19:$E$23,3,0)=0,"---",VLOOKUP(C14,Datos_vigas!$A$19:$E$23,3,0)*D14*B14^2)</f>
        <v/>
      </c>
      <c r="J14" s="10" t="n">
        <v>20</v>
      </c>
      <c r="K14" s="11">
        <f>L14-Z14</f>
        <v/>
      </c>
      <c r="L14" s="10" t="n">
        <v>25</v>
      </c>
      <c r="M14" s="44">
        <f>IF(NOT(ISNUMBER(H14)),"---",IF(H14&lt;=0,"---",IF(H14*100/(Datos_vigas!$B$8*J14*K14^2*Datos_vigas!$B$5)&gt;=0.5,"REVISAR",MAX((1-SQRT(1-2*H14*100/(Datos_vigas!$B$8*J14*K14^2*Datos_vigas!$B$5)))*J14*K14*Datos_vigas!$B$5/Datos_vigas!$B$6,0.0033*J14*K14))))</f>
        <v/>
      </c>
      <c r="N14" s="10" t="n">
        <v>5</v>
      </c>
      <c r="O14" s="10" t="n">
        <v>6</v>
      </c>
      <c r="P14" s="44">
        <f>IF(NOT(ISNUMBER(I14)),"---",IF(I14&lt;=0,"---",IF(I14*100/(Datos_vigas!$B$8*J14*K14^2*Datos_vigas!$B$5)&gt;=0.5,"REVISAR",MAX((1-SQRT(1-2*I14*100/(Datos_vigas!$B$8*J14*K14^2*Datos_vigas!$B$5)))*J14*K14*Datos_vigas!$B$5/Datos_vigas!$B$6,0.0033*J14*K14))))</f>
        <v/>
      </c>
      <c r="Q14" s="10" t="n">
        <v>5</v>
      </c>
      <c r="R14" s="10" t="n">
        <v>6</v>
      </c>
      <c r="S14" s="44">
        <f>F14/(J14*0.85*K14)</f>
        <v/>
      </c>
      <c r="T14" s="44">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2" t="inlineStr">
        <is>
          <t>VF06c</t>
        </is>
      </c>
      <c r="B15" s="8" t="n">
        <v>3.3</v>
      </c>
      <c r="C15" s="10" t="inlineStr">
        <is>
          <t>Continua</t>
        </is>
      </c>
      <c r="D15" s="43">
        <f>1.2*(Datos_vigas!$B$7*J15*L15/10000+Datos_vigas!$B$16*Y15)</f>
        <v/>
      </c>
      <c r="E15" s="11" t="n"/>
      <c r="F15" s="43">
        <f>VLOOKUP(C15,Datos_vigas!$A$19:$E$23,4,0)*D15*B15</f>
        <v/>
      </c>
      <c r="G15" s="43">
        <f>F15</f>
        <v/>
      </c>
      <c r="H15" s="43">
        <f>VLOOKUP(C15,Datos_vigas!$A$19:$E$23,2,0)*D15*B15^2</f>
        <v/>
      </c>
      <c r="I15" s="43">
        <f>IF(VLOOKUP(C15,Datos_vigas!$A$19:$E$23,3,0)=0,"---",VLOOKUP(C15,Datos_vigas!$A$19:$E$23,3,0)*D15*B15^2)</f>
        <v/>
      </c>
      <c r="J15" s="10" t="n">
        <v>20</v>
      </c>
      <c r="K15" s="11">
        <f>L15-Z15</f>
        <v/>
      </c>
      <c r="L15" s="10" t="n">
        <v>25</v>
      </c>
      <c r="M15" s="44">
        <f>IF(NOT(ISNUMBER(H15)),"---",IF(H15&lt;=0,"---",IF(H15*100/(Datos_vigas!$B$8*J15*K15^2*Datos_vigas!$B$5)&gt;=0.5,"REVISAR",MAX((1-SQRT(1-2*H15*100/(Datos_vigas!$B$8*J15*K15^2*Datos_vigas!$B$5)))*J15*K15*Datos_vigas!$B$5/Datos_vigas!$B$6,0.0033*J15*K15))))</f>
        <v/>
      </c>
      <c r="N15" s="10" t="n">
        <v>5</v>
      </c>
      <c r="O15" s="10" t="n">
        <v>6</v>
      </c>
      <c r="P15" s="44">
        <f>IF(NOT(ISNUMBER(I15)),"---",IF(I15&lt;=0,"---",IF(I15*100/(Datos_vigas!$B$8*J15*K15^2*Datos_vigas!$B$5)&gt;=0.5,"REVISAR",MAX((1-SQRT(1-2*I15*100/(Datos_vigas!$B$8*J15*K15^2*Datos_vigas!$B$5)))*J15*K15*Datos_vigas!$B$5/Datos_vigas!$B$6,0.0033*J15*K15))))</f>
        <v/>
      </c>
      <c r="Q15" s="10" t="n">
        <v>2</v>
      </c>
      <c r="R15" s="10" t="n">
        <v>10</v>
      </c>
      <c r="S15" s="44">
        <f>F15/(J15*0.85*K15)</f>
        <v/>
      </c>
      <c r="T15" s="44">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2" t="inlineStr">
        <is>
          <t>VF06d</t>
        </is>
      </c>
      <c r="B16" s="8" t="n">
        <v>3.03</v>
      </c>
      <c r="C16" s="10" t="inlineStr">
        <is>
          <t>Continua</t>
        </is>
      </c>
      <c r="D16" s="43">
        <f>1.2*(Datos_vigas!$B$7*J16*L16/10000+Datos_vigas!$B$16*Y16)</f>
        <v/>
      </c>
      <c r="E16" s="11" t="n"/>
      <c r="F16" s="43">
        <f>VLOOKUP(C16,Datos_vigas!$A$19:$E$23,4,0)*D16*B16</f>
        <v/>
      </c>
      <c r="G16" s="43">
        <f>F16</f>
        <v/>
      </c>
      <c r="H16" s="43">
        <f>VLOOKUP(C16,Datos_vigas!$A$19:$E$23,2,0)*D16*B16^2</f>
        <v/>
      </c>
      <c r="I16" s="43">
        <f>IF(VLOOKUP(C16,Datos_vigas!$A$19:$E$23,3,0)=0,"---",VLOOKUP(C16,Datos_vigas!$A$19:$E$23,3,0)*D16*B16^2)</f>
        <v/>
      </c>
      <c r="J16" s="10" t="n">
        <v>22</v>
      </c>
      <c r="K16" s="11">
        <f>L16-Z16</f>
        <v/>
      </c>
      <c r="L16" s="10" t="n">
        <v>25</v>
      </c>
      <c r="M16" s="44">
        <f>IF(NOT(ISNUMBER(H16)),"---",IF(H16&lt;=0,"---",IF(H16*100/(Datos_vigas!$B$8*J16*K16^2*Datos_vigas!$B$5)&gt;=0.5,"REVISAR",MAX((1-SQRT(1-2*H16*100/(Datos_vigas!$B$8*J16*K16^2*Datos_vigas!$B$5)))*J16*K16*Datos_vigas!$B$5/Datos_vigas!$B$6,0.0033*J16*K16))))</f>
        <v/>
      </c>
      <c r="N16" s="10" t="n">
        <v>2</v>
      </c>
      <c r="O16" s="10" t="n">
        <v>10</v>
      </c>
      <c r="P16" s="44">
        <f>IF(NOT(ISNUMBER(I16)),"---",IF(I16&lt;=0,"---",IF(I16*100/(Datos_vigas!$B$8*J16*K16^2*Datos_vigas!$B$5)&gt;=0.5,"REVISAR",MAX((1-SQRT(1-2*I16*100/(Datos_vigas!$B$8*J16*K16^2*Datos_vigas!$B$5)))*J16*K16*Datos_vigas!$B$5/Datos_vigas!$B$6,0.0033*J16*K16))))</f>
        <v/>
      </c>
      <c r="Q16" s="10" t="n">
        <v>2</v>
      </c>
      <c r="R16" s="10" t="n">
        <v>10</v>
      </c>
      <c r="S16" s="44">
        <f>F16/(J16*0.85*K16)</f>
        <v/>
      </c>
      <c r="T16" s="44">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2" t="inlineStr">
        <is>
          <t>VF07</t>
        </is>
      </c>
      <c r="B17" s="8" t="n">
        <v>3.5</v>
      </c>
      <c r="C17" s="10" t="inlineStr">
        <is>
          <t>Simplemente apoyada</t>
        </is>
      </c>
      <c r="D17" s="43">
        <f>1.2*(Datos_vigas!$B$7*J17*L17/10000+Datos_vigas!$B$16*Y17)</f>
        <v/>
      </c>
      <c r="E17" s="11" t="n"/>
      <c r="F17" s="43">
        <f>VLOOKUP(C17,Datos_vigas!$A$19:$E$23,4,0)*D17*B17</f>
        <v/>
      </c>
      <c r="G17" s="43">
        <f>F17</f>
        <v/>
      </c>
      <c r="H17" s="43">
        <f>VLOOKUP(C17,Datos_vigas!$A$19:$E$23,2,0)*D17*B17^2</f>
        <v/>
      </c>
      <c r="I17" s="43">
        <f>IF(VLOOKUP(C17,Datos_vigas!$A$19:$E$23,3,0)=0,"---",VLOOKUP(C17,Datos_vigas!$A$19:$E$23,3,0)*D17*B17^2)</f>
        <v/>
      </c>
      <c r="J17" s="10" t="n">
        <v>20</v>
      </c>
      <c r="K17" s="11">
        <f>L17-Z17</f>
        <v/>
      </c>
      <c r="L17" s="10" t="n">
        <v>25</v>
      </c>
      <c r="M17" s="44">
        <f>IF(NOT(ISNUMBER(H17)),"---",IF(H17&lt;=0,"---",IF(H17*100/(Datos_vigas!$B$8*J17*K17^2*Datos_vigas!$B$5)&gt;=0.5,"REVISAR",MAX((1-SQRT(1-2*H17*100/(Datos_vigas!$B$8*J17*K17^2*Datos_vigas!$B$5)))*J17*K17*Datos_vigas!$B$5/Datos_vigas!$B$6,0.0033*J17*K17))))</f>
        <v/>
      </c>
      <c r="N17" s="10" t="n">
        <v>2</v>
      </c>
      <c r="O17" s="10" t="n">
        <v>12</v>
      </c>
      <c r="P17" s="44">
        <f>IF(NOT(ISNUMBER(I17)),"---",IF(I17&lt;=0,"---",IF(I17*100/(Datos_vigas!$B$8*J17*K17^2*Datos_vigas!$B$5)&gt;=0.5,"REVISAR",MAX((1-SQRT(1-2*I17*100/(Datos_vigas!$B$8*J17*K17^2*Datos_vigas!$B$5)))*J17*K17*Datos_vigas!$B$5/Datos_vigas!$B$6,0.0033*J17*K17))))</f>
        <v/>
      </c>
      <c r="Q17" s="10" t="inlineStr">
        <is>
          <t>---</t>
        </is>
      </c>
      <c r="R17" s="10" t="inlineStr">
        <is>
          <t>---</t>
        </is>
      </c>
      <c r="S17" s="44">
        <f>F17/(J17*0.85*K17)</f>
        <v/>
      </c>
      <c r="T17" s="44">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2" t="inlineStr">
        <is>
          <t>VF08</t>
        </is>
      </c>
      <c r="B18" s="8" t="n">
        <v>2.04</v>
      </c>
      <c r="C18" s="10" t="inlineStr">
        <is>
          <t>Simplemente apoyada</t>
        </is>
      </c>
      <c r="D18" s="43">
        <f>1.2*(Datos_vigas!$B$7*J18*L18/10000+Datos_vigas!$B$16*Y18)</f>
        <v/>
      </c>
      <c r="E18" s="11" t="n"/>
      <c r="F18" s="43">
        <f>VLOOKUP(C18,Datos_vigas!$A$19:$E$23,4,0)*D18*B18</f>
        <v/>
      </c>
      <c r="G18" s="43">
        <f>F18</f>
        <v/>
      </c>
      <c r="H18" s="43">
        <f>VLOOKUP(C18,Datos_vigas!$A$19:$E$23,2,0)*D18*B18^2</f>
        <v/>
      </c>
      <c r="I18" s="43">
        <f>IF(VLOOKUP(C18,Datos_vigas!$A$19:$E$23,3,0)=0,"---",VLOOKUP(C18,Datos_vigas!$A$19:$E$23,3,0)*D18*B18^2)</f>
        <v/>
      </c>
      <c r="J18" s="10" t="n">
        <v>25</v>
      </c>
      <c r="K18" s="11">
        <f>L18-Z18</f>
        <v/>
      </c>
      <c r="L18" s="10" t="n">
        <v>35</v>
      </c>
      <c r="M18" s="44">
        <f>IF(NOT(ISNUMBER(H18)),"---",IF(H18&lt;=0,"---",IF(H18*100/(Datos_vigas!$B$8*J18*K18^2*Datos_vigas!$B$5)&gt;=0.5,"REVISAR",MAX((1-SQRT(1-2*H18*100/(Datos_vigas!$B$8*J18*K18^2*Datos_vigas!$B$5)))*J18*K18*Datos_vigas!$B$5/Datos_vigas!$B$6,0.0033*J18*K18))))</f>
        <v/>
      </c>
      <c r="N18" s="10" t="n">
        <v>6</v>
      </c>
      <c r="O18" s="10" t="n">
        <v>8</v>
      </c>
      <c r="P18" s="44">
        <f>IF(NOT(ISNUMBER(I18)),"---",IF(I18&lt;=0,"---",IF(I18*100/(Datos_vigas!$B$8*J18*K18^2*Datos_vigas!$B$5)&gt;=0.5,"REVISAR",MAX((1-SQRT(1-2*I18*100/(Datos_vigas!$B$8*J18*K18^2*Datos_vigas!$B$5)))*J18*K18*Datos_vigas!$B$5/Datos_vigas!$B$6,0.0033*J18*K18))))</f>
        <v/>
      </c>
      <c r="Q18" s="10" t="inlineStr">
        <is>
          <t>---</t>
        </is>
      </c>
      <c r="R18" s="10" t="inlineStr">
        <is>
          <t>---</t>
        </is>
      </c>
      <c r="S18" s="44">
        <f>F18/(J18*0.85*K18)</f>
        <v/>
      </c>
      <c r="T18" s="44">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2" t="inlineStr">
        <is>
          <t>VF09 (1)</t>
        </is>
      </c>
      <c r="B19" s="8" t="n">
        <v>0.7</v>
      </c>
      <c r="C19" s="10" t="inlineStr">
        <is>
          <t>Continua</t>
        </is>
      </c>
      <c r="D19" s="43">
        <f>1.2*(Datos_vigas!$B$7*J19*L19/10000+Datos_vigas!$B$16*Y19)</f>
        <v/>
      </c>
      <c r="E19" s="11" t="n"/>
      <c r="F19" s="43">
        <f>VLOOKUP(C19,Datos_vigas!$A$19:$E$23,4,0)*D19*B19</f>
        <v/>
      </c>
      <c r="G19" s="43">
        <f>F19</f>
        <v/>
      </c>
      <c r="H19" s="43">
        <f>VLOOKUP(C19,Datos_vigas!$A$19:$E$23,2,0)*D19*B19^2</f>
        <v/>
      </c>
      <c r="I19" s="43">
        <f>IF(VLOOKUP(C19,Datos_vigas!$A$19:$E$23,3,0)=0,"---",VLOOKUP(C19,Datos_vigas!$A$19:$E$23,3,0)*D19*B19^2)</f>
        <v/>
      </c>
      <c r="J19" s="10" t="n">
        <v>25</v>
      </c>
      <c r="K19" s="11">
        <f>L19-Z19</f>
        <v/>
      </c>
      <c r="L19" s="10" t="n">
        <v>35</v>
      </c>
      <c r="M19" s="44">
        <f>IF(NOT(ISNUMBER(H19)),"---",IF(H19&lt;=0,"---",IF(H19*100/(Datos_vigas!$B$8*J19*K19^2*Datos_vigas!$B$5)&gt;=0.5,"REVISAR",MAX((1-SQRT(1-2*H19*100/(Datos_vigas!$B$8*J19*K19^2*Datos_vigas!$B$5)))*J19*K19*Datos_vigas!$B$5/Datos_vigas!$B$6,0.0033*J19*K19))))</f>
        <v/>
      </c>
      <c r="N19" s="10" t="n">
        <v>6</v>
      </c>
      <c r="O19" s="10" t="n">
        <v>8</v>
      </c>
      <c r="P19" s="44">
        <f>IF(NOT(ISNUMBER(I19)),"---",IF(I19&lt;=0,"---",IF(I19*100/(Datos_vigas!$B$8*J19*K19^2*Datos_vigas!$B$5)&gt;=0.5,"REVISAR",MAX((1-SQRT(1-2*I19*100/(Datos_vigas!$B$8*J19*K19^2*Datos_vigas!$B$5)))*J19*K19*Datos_vigas!$B$5/Datos_vigas!$B$6,0.0033*J19*K19))))</f>
        <v/>
      </c>
      <c r="Q19" s="10" t="n">
        <v>6</v>
      </c>
      <c r="R19" s="10" t="n">
        <v>8</v>
      </c>
      <c r="S19" s="44">
        <f>F19/(J19*0.85*K19)</f>
        <v/>
      </c>
      <c r="T19" s="44">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2" t="inlineStr">
        <is>
          <t>VF09 (2)</t>
        </is>
      </c>
      <c r="B20" s="8" t="n">
        <v>0.7</v>
      </c>
      <c r="C20" s="10" t="inlineStr">
        <is>
          <t>Continua</t>
        </is>
      </c>
      <c r="D20" s="43">
        <f>1.2*(Datos_vigas!$B$7*J20*L20/10000+Datos_vigas!$B$16*Y20)</f>
        <v/>
      </c>
      <c r="E20" s="11" t="n"/>
      <c r="F20" s="43">
        <f>VLOOKUP(C20,Datos_vigas!$A$19:$E$23,4,0)*D20*B20</f>
        <v/>
      </c>
      <c r="G20" s="43">
        <f>F20</f>
        <v/>
      </c>
      <c r="H20" s="43">
        <f>VLOOKUP(C20,Datos_vigas!$A$19:$E$23,2,0)*D20*B20^2</f>
        <v/>
      </c>
      <c r="I20" s="43">
        <f>IF(VLOOKUP(C20,Datos_vigas!$A$19:$E$23,3,0)=0,"---",VLOOKUP(C20,Datos_vigas!$A$19:$E$23,3,0)*D20*B20^2)</f>
        <v/>
      </c>
      <c r="J20" s="10" t="n">
        <v>25</v>
      </c>
      <c r="K20" s="11">
        <f>L20-Z20</f>
        <v/>
      </c>
      <c r="L20" s="10" t="n">
        <v>35</v>
      </c>
      <c r="M20" s="44">
        <f>IF(NOT(ISNUMBER(H20)),"---",IF(H20&lt;=0,"---",IF(H20*100/(Datos_vigas!$B$8*J20*K20^2*Datos_vigas!$B$5)&gt;=0.5,"REVISAR",MAX((1-SQRT(1-2*H20*100/(Datos_vigas!$B$8*J20*K20^2*Datos_vigas!$B$5)))*J20*K20*Datos_vigas!$B$5/Datos_vigas!$B$6,0.0033*J20*K20))))</f>
        <v/>
      </c>
      <c r="N20" s="10" t="n">
        <v>6</v>
      </c>
      <c r="O20" s="10" t="n">
        <v>8</v>
      </c>
      <c r="P20" s="44">
        <f>IF(NOT(ISNUMBER(I20)),"---",IF(I20&lt;=0,"---",IF(I20*100/(Datos_vigas!$B$8*J20*K20^2*Datos_vigas!$B$5)&gt;=0.5,"REVISAR",MAX((1-SQRT(1-2*I20*100/(Datos_vigas!$B$8*J20*K20^2*Datos_vigas!$B$5)))*J20*K20*Datos_vigas!$B$5/Datos_vigas!$B$6,0.0033*J20*K20))))</f>
        <v/>
      </c>
      <c r="Q20" s="10" t="n">
        <v>6</v>
      </c>
      <c r="R20" s="10" t="n">
        <v>8</v>
      </c>
      <c r="S20" s="44">
        <f>F20/(J20*0.85*K20)</f>
        <v/>
      </c>
      <c r="T20" s="44">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2" t="inlineStr">
        <is>
          <t>VF10a</t>
        </is>
      </c>
      <c r="B21" s="8" t="n">
        <v>2.74</v>
      </c>
      <c r="C21" s="10" t="inlineStr">
        <is>
          <t>Continua</t>
        </is>
      </c>
      <c r="D21" s="43">
        <f>1.2*(Datos_vigas!$B$7*J21*L21/10000+Datos_vigas!$B$16*Y21)</f>
        <v/>
      </c>
      <c r="E21" s="11" t="n"/>
      <c r="F21" s="43">
        <f>VLOOKUP(C21,Datos_vigas!$A$19:$E$23,4,0)*D21*B21</f>
        <v/>
      </c>
      <c r="G21" s="43">
        <f>F21</f>
        <v/>
      </c>
      <c r="H21" s="43">
        <f>VLOOKUP(C21,Datos_vigas!$A$19:$E$23,2,0)*D21*B21^2</f>
        <v/>
      </c>
      <c r="I21" s="43">
        <f>IF(VLOOKUP(C21,Datos_vigas!$A$19:$E$23,3,0)=0,"---",VLOOKUP(C21,Datos_vigas!$A$19:$E$23,3,0)*D21*B21^2)</f>
        <v/>
      </c>
      <c r="J21" s="10" t="n">
        <v>20</v>
      </c>
      <c r="K21" s="11">
        <f>L21-Z21</f>
        <v/>
      </c>
      <c r="L21" s="10" t="n">
        <v>35</v>
      </c>
      <c r="M21" s="44">
        <f>IF(NOT(ISNUMBER(H21)),"---",IF(H21&lt;=0,"---",IF(H21*100/(Datos_vigas!$B$8*J21*K21^2*Datos_vigas!$B$5)&gt;=0.5,"REVISAR",MAX((1-SQRT(1-2*H21*100/(Datos_vigas!$B$8*J21*K21^2*Datos_vigas!$B$5)))*J21*K21*Datos_vigas!$B$5/Datos_vigas!$B$6,0.0033*J21*K21))))</f>
        <v/>
      </c>
      <c r="N21" s="10" t="n">
        <v>2</v>
      </c>
      <c r="O21" s="10" t="n">
        <v>12</v>
      </c>
      <c r="P21" s="44">
        <f>IF(NOT(ISNUMBER(I21)),"---",IF(I21&lt;=0,"---",IF(I21*100/(Datos_vigas!$B$8*J21*K21^2*Datos_vigas!$B$5)&gt;=0.5,"REVISAR",MAX((1-SQRT(1-2*I21*100/(Datos_vigas!$B$8*J21*K21^2*Datos_vigas!$B$5)))*J21*K21*Datos_vigas!$B$5/Datos_vigas!$B$6,0.0033*J21*K21))))</f>
        <v/>
      </c>
      <c r="Q21" s="10" t="n">
        <v>2</v>
      </c>
      <c r="R21" s="10" t="n">
        <v>12</v>
      </c>
      <c r="S21" s="44">
        <f>F21/(J21*0.85*K21)</f>
        <v/>
      </c>
      <c r="T21" s="44">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2" t="inlineStr">
        <is>
          <t>VF10b</t>
        </is>
      </c>
      <c r="B22" s="8" t="n">
        <v>2.36</v>
      </c>
      <c r="C22" s="10" t="inlineStr">
        <is>
          <t>Continua</t>
        </is>
      </c>
      <c r="D22" s="43">
        <f>1.2*(Datos_vigas!$B$7*J22*L22/10000+Datos_vigas!$B$16*Y22)</f>
        <v/>
      </c>
      <c r="E22" s="11" t="n"/>
      <c r="F22" s="43">
        <f>VLOOKUP(C22,Datos_vigas!$A$19:$E$23,4,0)*D22*B22</f>
        <v/>
      </c>
      <c r="G22" s="43">
        <f>F22</f>
        <v/>
      </c>
      <c r="H22" s="43">
        <f>VLOOKUP(C22,Datos_vigas!$A$19:$E$23,2,0)*D22*B22^2</f>
        <v/>
      </c>
      <c r="I22" s="43">
        <f>IF(VLOOKUP(C22,Datos_vigas!$A$19:$E$23,3,0)=0,"---",VLOOKUP(C22,Datos_vigas!$A$19:$E$23,3,0)*D22*B22^2)</f>
        <v/>
      </c>
      <c r="J22" s="10" t="n">
        <v>22</v>
      </c>
      <c r="K22" s="11">
        <f>L22-Z22</f>
        <v/>
      </c>
      <c r="L22" s="10" t="n">
        <v>35</v>
      </c>
      <c r="M22" s="44">
        <f>IF(NOT(ISNUMBER(H22)),"---",IF(H22&lt;=0,"---",IF(H22*100/(Datos_vigas!$B$8*J22*K22^2*Datos_vigas!$B$5)&gt;=0.5,"REVISAR",MAX((1-SQRT(1-2*H22*100/(Datos_vigas!$B$8*J22*K22^2*Datos_vigas!$B$5)))*J22*K22*Datos_vigas!$B$5/Datos_vigas!$B$6,0.0033*J22*K22))))</f>
        <v/>
      </c>
      <c r="N22" s="10" t="n">
        <v>2</v>
      </c>
      <c r="O22" s="10" t="n">
        <v>12</v>
      </c>
      <c r="P22" s="44">
        <f>IF(NOT(ISNUMBER(I22)),"---",IF(I22&lt;=0,"---",IF(I22*100/(Datos_vigas!$B$8*J22*K22^2*Datos_vigas!$B$5)&gt;=0.5,"REVISAR",MAX((1-SQRT(1-2*I22*100/(Datos_vigas!$B$8*J22*K22^2*Datos_vigas!$B$5)))*J22*K22*Datos_vigas!$B$5/Datos_vigas!$B$6,0.0033*J22*K22))))</f>
        <v/>
      </c>
      <c r="Q22" s="10" t="n">
        <v>2</v>
      </c>
      <c r="R22" s="10" t="n">
        <v>12</v>
      </c>
      <c r="S22" s="44">
        <f>F22/(J22*0.85*K22)</f>
        <v/>
      </c>
      <c r="T22" s="44">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2" t="inlineStr">
        <is>
          <t>VF10c</t>
        </is>
      </c>
      <c r="B23" s="8" t="n">
        <v>5.1</v>
      </c>
      <c r="C23" s="10" t="inlineStr">
        <is>
          <t>Continua</t>
        </is>
      </c>
      <c r="D23" s="43">
        <f>1.2*(Datos_vigas!$B$7*J23*L23/10000+Datos_vigas!$B$16*Y23)</f>
        <v/>
      </c>
      <c r="E23" s="11" t="n"/>
      <c r="F23" s="43">
        <f>VLOOKUP(C23,Datos_vigas!$A$19:$E$23,4,0)*D23*B23</f>
        <v/>
      </c>
      <c r="G23" s="43">
        <f>F23</f>
        <v/>
      </c>
      <c r="H23" s="43">
        <f>VLOOKUP(C23,Datos_vigas!$A$19:$E$23,2,0)*D23*B23^2</f>
        <v/>
      </c>
      <c r="I23" s="43">
        <f>IF(VLOOKUP(C23,Datos_vigas!$A$19:$E$23,3,0)=0,"---",VLOOKUP(C23,Datos_vigas!$A$19:$E$23,3,0)*D23*B23^2)</f>
        <v/>
      </c>
      <c r="J23" s="10" t="n">
        <v>25</v>
      </c>
      <c r="K23" s="11">
        <f>L23-Z23</f>
        <v/>
      </c>
      <c r="L23" s="10" t="n">
        <v>35</v>
      </c>
      <c r="M23" s="44">
        <f>IF(NOT(ISNUMBER(H23)),"---",IF(H23&lt;=0,"---",IF(H23*100/(Datos_vigas!$B$8*J23*K23^2*Datos_vigas!$B$5)&gt;=0.5,"REVISAR",MAX((1-SQRT(1-2*H23*100/(Datos_vigas!$B$8*J23*K23^2*Datos_vigas!$B$5)))*J23*K23*Datos_vigas!$B$5/Datos_vigas!$B$6,0.0033*J23*K23))))</f>
        <v/>
      </c>
      <c r="N23" s="10" t="n">
        <v>6</v>
      </c>
      <c r="O23" s="10" t="n">
        <v>8</v>
      </c>
      <c r="P23" s="44">
        <f>IF(NOT(ISNUMBER(I23)),"---",IF(I23&lt;=0,"---",IF(I23*100/(Datos_vigas!$B$8*J23*K23^2*Datos_vigas!$B$5)&gt;=0.5,"REVISAR",MAX((1-SQRT(1-2*I23*100/(Datos_vigas!$B$8*J23*K23^2*Datos_vigas!$B$5)))*J23*K23*Datos_vigas!$B$5/Datos_vigas!$B$6,0.0033*J23*K23))))</f>
        <v/>
      </c>
      <c r="Q23" s="10" t="n">
        <v>6</v>
      </c>
      <c r="R23" s="10" t="n">
        <v>8</v>
      </c>
      <c r="S23" s="44">
        <f>F23/(J23*0.85*K23)</f>
        <v/>
      </c>
      <c r="T23" s="44">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2" t="inlineStr">
        <is>
          <t>VF11</t>
        </is>
      </c>
      <c r="B24" s="8" t="n">
        <v>4.03</v>
      </c>
      <c r="C24" s="10" t="inlineStr">
        <is>
          <t>Simplemente apoyada</t>
        </is>
      </c>
      <c r="D24" s="43">
        <f>1.2*(Datos_vigas!$B$7*J24*L24/10000+Datos_vigas!$B$16*Y24)</f>
        <v/>
      </c>
      <c r="E24" s="11" t="n"/>
      <c r="F24" s="43">
        <f>VLOOKUP(C24,Datos_vigas!$A$19:$E$23,4,0)*D24*B24</f>
        <v/>
      </c>
      <c r="G24" s="43">
        <f>F24</f>
        <v/>
      </c>
      <c r="H24" s="43">
        <f>VLOOKUP(C24,Datos_vigas!$A$19:$E$23,2,0)*D24*B24^2</f>
        <v/>
      </c>
      <c r="I24" s="43">
        <f>IF(VLOOKUP(C24,Datos_vigas!$A$19:$E$23,3,0)=0,"---",VLOOKUP(C24,Datos_vigas!$A$19:$E$23,3,0)*D24*B24^2)</f>
        <v/>
      </c>
      <c r="J24" s="10" t="n">
        <v>20</v>
      </c>
      <c r="K24" s="11">
        <f>L24-Z24</f>
        <v/>
      </c>
      <c r="L24" s="10" t="n">
        <v>25</v>
      </c>
      <c r="M24" s="44">
        <f>IF(NOT(ISNUMBER(H24)),"---",IF(H24&lt;=0,"---",IF(H24*100/(Datos_vigas!$B$8*J24*K24^2*Datos_vigas!$B$5)&gt;=0.5,"REVISAR",MAX((1-SQRT(1-2*H24*100/(Datos_vigas!$B$8*J24*K24^2*Datos_vigas!$B$5)))*J24*K24*Datos_vigas!$B$5/Datos_vigas!$B$6,0.0033*J24*K24))))</f>
        <v/>
      </c>
      <c r="N24" s="10" t="n">
        <v>4</v>
      </c>
      <c r="O24" s="10" t="n">
        <v>10</v>
      </c>
      <c r="P24" s="44">
        <f>IF(NOT(ISNUMBER(I24)),"---",IF(I24&lt;=0,"---",IF(I24*100/(Datos_vigas!$B$8*J24*K24^2*Datos_vigas!$B$5)&gt;=0.5,"REVISAR",MAX((1-SQRT(1-2*I24*100/(Datos_vigas!$B$8*J24*K24^2*Datos_vigas!$B$5)))*J24*K24*Datos_vigas!$B$5/Datos_vigas!$B$6,0.0033*J24*K24))))</f>
        <v/>
      </c>
      <c r="Q24" s="10" t="inlineStr">
        <is>
          <t>---</t>
        </is>
      </c>
      <c r="R24" s="10" t="inlineStr">
        <is>
          <t>---</t>
        </is>
      </c>
      <c r="S24" s="44">
        <f>F24/(J24*0.85*K24)</f>
        <v/>
      </c>
      <c r="T24" s="44">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2" t="inlineStr">
        <is>
          <t>VF12</t>
        </is>
      </c>
      <c r="B25" s="8" t="n">
        <v>1.49</v>
      </c>
      <c r="C25" s="10" t="inlineStr">
        <is>
          <t>Simplemente apoyada</t>
        </is>
      </c>
      <c r="D25" s="43">
        <f>1.2*(Datos_vigas!$B$7*J25*L25/10000+Datos_vigas!$B$16*Y25)</f>
        <v/>
      </c>
      <c r="E25" s="11" t="n"/>
      <c r="F25" s="43">
        <f>VLOOKUP(C25,Datos_vigas!$A$19:$E$23,4,0)*D25*B25</f>
        <v/>
      </c>
      <c r="G25" s="43">
        <f>F25</f>
        <v/>
      </c>
      <c r="H25" s="43">
        <f>VLOOKUP(C25,Datos_vigas!$A$19:$E$23,2,0)*D25*B25^2</f>
        <v/>
      </c>
      <c r="I25" s="43">
        <f>IF(VLOOKUP(C25,Datos_vigas!$A$19:$E$23,3,0)=0,"---",VLOOKUP(C25,Datos_vigas!$A$19:$E$23,3,0)*D25*B25^2)</f>
        <v/>
      </c>
      <c r="J25" s="10" t="n">
        <v>15</v>
      </c>
      <c r="K25" s="11">
        <f>L25-Z25</f>
        <v/>
      </c>
      <c r="L25" s="10" t="n">
        <v>25</v>
      </c>
      <c r="M25" s="44">
        <f>IF(NOT(ISNUMBER(H25)),"---",IF(H25&lt;=0,"---",IF(H25*100/(Datos_vigas!$B$8*J25*K25^2*Datos_vigas!$B$5)&gt;=0.5,"REVISAR",MAX((1-SQRT(1-2*H25*100/(Datos_vigas!$B$8*J25*K25^2*Datos_vigas!$B$5)))*J25*K25*Datos_vigas!$B$5/Datos_vigas!$B$6,0.0033*J25*K25))))</f>
        <v/>
      </c>
      <c r="N25" s="10" t="n">
        <v>3</v>
      </c>
      <c r="O25" s="10" t="n">
        <v>8</v>
      </c>
      <c r="P25" s="44">
        <f>IF(NOT(ISNUMBER(I25)),"---",IF(I25&lt;=0,"---",IF(I25*100/(Datos_vigas!$B$8*J25*K25^2*Datos_vigas!$B$5)&gt;=0.5,"REVISAR",MAX((1-SQRT(1-2*I25*100/(Datos_vigas!$B$8*J25*K25^2*Datos_vigas!$B$5)))*J25*K25*Datos_vigas!$B$5/Datos_vigas!$B$6,0.0033*J25*K25))))</f>
        <v/>
      </c>
      <c r="Q25" s="10" t="inlineStr">
        <is>
          <t>---</t>
        </is>
      </c>
      <c r="R25" s="10" t="inlineStr">
        <is>
          <t>---</t>
        </is>
      </c>
      <c r="S25" s="44">
        <f>F25/(J25*0.85*K25)</f>
        <v/>
      </c>
      <c r="T25" s="44">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2" t="inlineStr">
        <is>
          <t>VF13</t>
        </is>
      </c>
      <c r="B26" s="8" t="n">
        <v>2.28</v>
      </c>
      <c r="C26" s="10" t="inlineStr">
        <is>
          <t>Simplemente apoyada</t>
        </is>
      </c>
      <c r="D26" s="43">
        <f>1.2*(Datos_vigas!$B$7*J26*L26/10000+Datos_vigas!$B$16*Y26)</f>
        <v/>
      </c>
      <c r="E26" s="11" t="n"/>
      <c r="F26" s="43">
        <f>VLOOKUP(C26,Datos_vigas!$A$19:$E$23,4,0)*D26*B26</f>
        <v/>
      </c>
      <c r="G26" s="43">
        <f>F26</f>
        <v/>
      </c>
      <c r="H26" s="43">
        <f>VLOOKUP(C26,Datos_vigas!$A$19:$E$23,2,0)*D26*B26^2</f>
        <v/>
      </c>
      <c r="I26" s="43">
        <f>IF(VLOOKUP(C26,Datos_vigas!$A$19:$E$23,3,0)=0,"---",VLOOKUP(C26,Datos_vigas!$A$19:$E$23,3,0)*D26*B26^2)</f>
        <v/>
      </c>
      <c r="J26" s="10" t="n">
        <v>15</v>
      </c>
      <c r="K26" s="11">
        <f>L26-Z26</f>
        <v/>
      </c>
      <c r="L26" s="10" t="n">
        <v>25</v>
      </c>
      <c r="M26" s="44">
        <f>IF(NOT(ISNUMBER(H26)),"---",IF(H26&lt;=0,"---",IF(H26*100/(Datos_vigas!$B$8*J26*K26^2*Datos_vigas!$B$5)&gt;=0.5,"REVISAR",MAX((1-SQRT(1-2*H26*100/(Datos_vigas!$B$8*J26*K26^2*Datos_vigas!$B$5)))*J26*K26*Datos_vigas!$B$5/Datos_vigas!$B$6,0.0033*J26*K26))))</f>
        <v/>
      </c>
      <c r="N26" s="10" t="n">
        <v>3</v>
      </c>
      <c r="O26" s="10" t="n">
        <v>8</v>
      </c>
      <c r="P26" s="44">
        <f>IF(NOT(ISNUMBER(I26)),"---",IF(I26&lt;=0,"---",IF(I26*100/(Datos_vigas!$B$8*J26*K26^2*Datos_vigas!$B$5)&gt;=0.5,"REVISAR",MAX((1-SQRT(1-2*I26*100/(Datos_vigas!$B$8*J26*K26^2*Datos_vigas!$B$5)))*J26*K26*Datos_vigas!$B$5/Datos_vigas!$B$6,0.0033*J26*K26))))</f>
        <v/>
      </c>
      <c r="Q26" s="10" t="inlineStr">
        <is>
          <t>---</t>
        </is>
      </c>
      <c r="R26" s="10" t="inlineStr">
        <is>
          <t>---</t>
        </is>
      </c>
      <c r="S26" s="44">
        <f>F26/(J26*0.85*K26)</f>
        <v/>
      </c>
      <c r="T26" s="44">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2" t="inlineStr">
        <is>
          <t>VF14</t>
        </is>
      </c>
      <c r="B27" s="8" t="n">
        <v>3.09</v>
      </c>
      <c r="C27" s="10" t="inlineStr">
        <is>
          <t>Simplemente apoyada</t>
        </is>
      </c>
      <c r="D27" s="43">
        <f>1.2*(Datos_vigas!$B$7*J27*L27/10000+Datos_vigas!$B$16*Y27)</f>
        <v/>
      </c>
      <c r="E27" s="11" t="n"/>
      <c r="F27" s="43">
        <f>VLOOKUP(C27,Datos_vigas!$A$19:$E$23,4,0)*D27*B27</f>
        <v/>
      </c>
      <c r="G27" s="43">
        <f>F27</f>
        <v/>
      </c>
      <c r="H27" s="43">
        <f>VLOOKUP(C27,Datos_vigas!$A$19:$E$23,2,0)*D27*B27^2</f>
        <v/>
      </c>
      <c r="I27" s="43">
        <f>IF(VLOOKUP(C27,Datos_vigas!$A$19:$E$23,3,0)=0,"---",VLOOKUP(C27,Datos_vigas!$A$19:$E$23,3,0)*D27*B27^2)</f>
        <v/>
      </c>
      <c r="J27" s="10" t="n">
        <v>25</v>
      </c>
      <c r="K27" s="11">
        <f>L27-Z27</f>
        <v/>
      </c>
      <c r="L27" s="10" t="n">
        <v>40</v>
      </c>
      <c r="M27" s="44">
        <f>IF(NOT(ISNUMBER(H27)),"---",IF(H27&lt;=0,"---",IF(H27*100/(Datos_vigas!$B$8*J27*K27^2*Datos_vigas!$B$5)&gt;=0.5,"REVISAR",MAX((1-SQRT(1-2*H27*100/(Datos_vigas!$B$8*J27*K27^2*Datos_vigas!$B$5)))*J27*K27*Datos_vigas!$B$5/Datos_vigas!$B$6,0.0033*J27*K27))))</f>
        <v/>
      </c>
      <c r="N27" s="10" t="n">
        <v>6</v>
      </c>
      <c r="O27" s="10" t="n">
        <v>8</v>
      </c>
      <c r="P27" s="44">
        <f>IF(NOT(ISNUMBER(I27)),"---",IF(I27&lt;=0,"---",IF(I27*100/(Datos_vigas!$B$8*J27*K27^2*Datos_vigas!$B$5)&gt;=0.5,"REVISAR",MAX((1-SQRT(1-2*I27*100/(Datos_vigas!$B$8*J27*K27^2*Datos_vigas!$B$5)))*J27*K27*Datos_vigas!$B$5/Datos_vigas!$B$6,0.0033*J27*K27))))</f>
        <v/>
      </c>
      <c r="Q27" s="10" t="inlineStr">
        <is>
          <t>---</t>
        </is>
      </c>
      <c r="R27" s="10" t="inlineStr">
        <is>
          <t>---</t>
        </is>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2" t="inlineStr">
        <is>
          <t>VF15</t>
        </is>
      </c>
      <c r="B28" s="8" t="n">
        <v>2.39</v>
      </c>
      <c r="C28" s="10" t="inlineStr">
        <is>
          <t>Simplemente apoyada</t>
        </is>
      </c>
      <c r="D28" s="43">
        <f>1.2*(Datos_vigas!$B$7*J28*L28/10000+Datos_vigas!$B$16*Y28)</f>
        <v/>
      </c>
      <c r="E28" s="11" t="n"/>
      <c r="F28" s="43">
        <f>VLOOKUP(C28,Datos_vigas!$A$19:$E$23,4,0)*D28*B28</f>
        <v/>
      </c>
      <c r="G28" s="43">
        <f>F28</f>
        <v/>
      </c>
      <c r="H28" s="43">
        <f>VLOOKUP(C28,Datos_vigas!$A$19:$E$23,2,0)*D28*B28^2</f>
        <v/>
      </c>
      <c r="I28" s="43">
        <f>IF(VLOOKUP(C28,Datos_vigas!$A$19:$E$23,3,0)=0,"---",VLOOKUP(C28,Datos_vigas!$A$19:$E$23,3,0)*D28*B28^2)</f>
        <v/>
      </c>
      <c r="J28" s="10" t="n">
        <v>20</v>
      </c>
      <c r="K28" s="11">
        <f>L28-Z28</f>
        <v/>
      </c>
      <c r="L28" s="10" t="n">
        <v>25</v>
      </c>
      <c r="M28" s="44">
        <f>IF(NOT(ISNUMBER(H28)),"---",IF(H28&lt;=0,"---",IF(H28*100/(Datos_vigas!$B$8*J28*K28^2*Datos_vigas!$B$5)&gt;=0.5,"REVISAR",MAX((1-SQRT(1-2*H28*100/(Datos_vigas!$B$8*J28*K28^2*Datos_vigas!$B$5)))*J28*K28*Datos_vigas!$B$5/Datos_vigas!$B$6,0.0033*J28*K28))))</f>
        <v/>
      </c>
      <c r="N28" s="10" t="n">
        <v>5</v>
      </c>
      <c r="O28" s="10" t="n">
        <v>6</v>
      </c>
      <c r="P28" s="44">
        <f>IF(NOT(ISNUMBER(I28)),"---",IF(I28&lt;=0,"---",IF(I28*100/(Datos_vigas!$B$8*J28*K28^2*Datos_vigas!$B$5)&gt;=0.5,"REVISAR",MAX((1-SQRT(1-2*I28*100/(Datos_vigas!$B$8*J28*K28^2*Datos_vigas!$B$5)))*J28*K28*Datos_vigas!$B$5/Datos_vigas!$B$6,0.0033*J28*K28))))</f>
        <v/>
      </c>
      <c r="Q28" s="10" t="inlineStr">
        <is>
          <t>---</t>
        </is>
      </c>
      <c r="R28" s="10" t="inlineStr">
        <is>
          <t>---</t>
        </is>
      </c>
      <c r="S28" s="44">
        <f>F28/(J28*0.85*K28)</f>
        <v/>
      </c>
      <c r="T28" s="44">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2" t="inlineStr">
        <is>
          <t>VF16a</t>
        </is>
      </c>
      <c r="B29" s="8" t="n">
        <v>4.47</v>
      </c>
      <c r="C29" s="10" t="inlineStr">
        <is>
          <t>Continua</t>
        </is>
      </c>
      <c r="D29" s="43">
        <f>1.2*(Datos_vigas!$B$7*J29*L29/10000+Datos_vigas!$B$16*Y29)</f>
        <v/>
      </c>
      <c r="E29" s="11" t="n"/>
      <c r="F29" s="43">
        <f>VLOOKUP(C29,Datos_vigas!$A$19:$E$23,4,0)*D29*B29</f>
        <v/>
      </c>
      <c r="G29" s="43">
        <f>F29</f>
        <v/>
      </c>
      <c r="H29" s="43">
        <f>VLOOKUP(C29,Datos_vigas!$A$19:$E$23,2,0)*D29*B29^2</f>
        <v/>
      </c>
      <c r="I29" s="43">
        <f>IF(VLOOKUP(C29,Datos_vigas!$A$19:$E$23,3,0)=0,"---",VLOOKUP(C29,Datos_vigas!$A$19:$E$23,3,0)*D29*B29^2)</f>
        <v/>
      </c>
      <c r="J29" s="10" t="n">
        <v>20</v>
      </c>
      <c r="K29" s="11">
        <f>L29-Z29</f>
        <v/>
      </c>
      <c r="L29" s="10" t="n">
        <v>25</v>
      </c>
      <c r="M29" s="44">
        <f>IF(NOT(ISNUMBER(H29)),"---",IF(H29&lt;=0,"---",IF(H29*100/(Datos_vigas!$B$8*J29*K29^2*Datos_vigas!$B$5)&gt;=0.5,"REVISAR",MAX((1-SQRT(1-2*H29*100/(Datos_vigas!$B$8*J29*K29^2*Datos_vigas!$B$5)))*J29*K29*Datos_vigas!$B$5/Datos_vigas!$B$6,0.0033*J29*K29))))</f>
        <v/>
      </c>
      <c r="N29" s="10" t="n">
        <v>4</v>
      </c>
      <c r="O29" s="10" t="n">
        <v>8</v>
      </c>
      <c r="P29" s="44">
        <f>IF(NOT(ISNUMBER(I29)),"---",IF(I29&lt;=0,"---",IF(I29*100/(Datos_vigas!$B$8*J29*K29^2*Datos_vigas!$B$5)&gt;=0.5,"REVISAR",MAX((1-SQRT(1-2*I29*100/(Datos_vigas!$B$8*J29*K29^2*Datos_vigas!$B$5)))*J29*K29*Datos_vigas!$B$5/Datos_vigas!$B$6,0.0033*J29*K29))))</f>
        <v/>
      </c>
      <c r="Q29" s="10" t="n">
        <v>4</v>
      </c>
      <c r="R29" s="10" t="n">
        <v>10</v>
      </c>
      <c r="S29" s="44">
        <f>F29/(J29*0.85*K29)</f>
        <v/>
      </c>
      <c r="T29" s="44">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2" t="inlineStr">
        <is>
          <t>VF16b</t>
        </is>
      </c>
      <c r="B30" s="8" t="n">
        <v>3.13</v>
      </c>
      <c r="C30" s="10" t="inlineStr">
        <is>
          <t>Continua</t>
        </is>
      </c>
      <c r="D30" s="43">
        <f>1.2*(Datos_vigas!$B$7*J30*L30/10000+Datos_vigas!$B$16*Y30)</f>
        <v/>
      </c>
      <c r="E30" s="11" t="n"/>
      <c r="F30" s="43">
        <f>VLOOKUP(C30,Datos_vigas!$A$19:$E$23,4,0)*D30*B30</f>
        <v/>
      </c>
      <c r="G30" s="43">
        <f>F30</f>
        <v/>
      </c>
      <c r="H30" s="43">
        <f>VLOOKUP(C30,Datos_vigas!$A$19:$E$23,2,0)*D30*B30^2</f>
        <v/>
      </c>
      <c r="I30" s="43">
        <f>IF(VLOOKUP(C30,Datos_vigas!$A$19:$E$23,3,0)=0,"---",VLOOKUP(C30,Datos_vigas!$A$19:$E$23,3,0)*D30*B30^2)</f>
        <v/>
      </c>
      <c r="J30" s="10" t="n">
        <v>20</v>
      </c>
      <c r="K30" s="11">
        <f>L30-Z30</f>
        <v/>
      </c>
      <c r="L30" s="10" t="n">
        <v>35</v>
      </c>
      <c r="M30" s="44">
        <f>IF(NOT(ISNUMBER(H30)),"---",IF(H30&lt;=0,"---",IF(H30*100/(Datos_vigas!$B$8*J30*K30^2*Datos_vigas!$B$5)&gt;=0.5,"REVISAR",MAX((1-SQRT(1-2*H30*100/(Datos_vigas!$B$8*J30*K30^2*Datos_vigas!$B$5)))*J30*K30*Datos_vigas!$B$5/Datos_vigas!$B$6,0.0033*J30*K30))))</f>
        <v/>
      </c>
      <c r="N30" s="10" t="n">
        <v>2</v>
      </c>
      <c r="O30" s="10" t="n">
        <v>12</v>
      </c>
      <c r="P30" s="44">
        <f>IF(NOT(ISNUMBER(I30)),"---",IF(I30&lt;=0,"---",IF(I30*100/(Datos_vigas!$B$8*J30*K30^2*Datos_vigas!$B$5)&gt;=0.5,"REVISAR",MAX((1-SQRT(1-2*I30*100/(Datos_vigas!$B$8*J30*K30^2*Datos_vigas!$B$5)))*J30*K30*Datos_vigas!$B$5/Datos_vigas!$B$6,0.0033*J30*K30))))</f>
        <v/>
      </c>
      <c r="Q30" s="10" t="n">
        <v>2</v>
      </c>
      <c r="R30" s="10" t="n">
        <v>12</v>
      </c>
      <c r="S30" s="44">
        <f>F30/(J30*0.85*K30)</f>
        <v/>
      </c>
      <c r="T30" s="44">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2" t="inlineStr">
        <is>
          <t>VF17</t>
        </is>
      </c>
      <c r="B31" s="8" t="n">
        <v>3.53</v>
      </c>
      <c r="C31" s="10" t="inlineStr">
        <is>
          <t>Simplemente apoyada</t>
        </is>
      </c>
      <c r="D31" s="43">
        <f>1.2*(Datos_vigas!$B$7*J31*L31/10000+Datos_vigas!$B$16*Y31)</f>
        <v/>
      </c>
      <c r="E31" s="11" t="n"/>
      <c r="F31" s="43">
        <f>VLOOKUP(C31,Datos_vigas!$A$19:$E$23,4,0)*D31*B31</f>
        <v/>
      </c>
      <c r="G31" s="43">
        <f>F31</f>
        <v/>
      </c>
      <c r="H31" s="43">
        <f>VLOOKUP(C31,Datos_vigas!$A$19:$E$23,2,0)*D31*B31^2</f>
        <v/>
      </c>
      <c r="I31" s="43">
        <f>IF(VLOOKUP(C31,Datos_vigas!$A$19:$E$23,3,0)=0,"---",VLOOKUP(C31,Datos_vigas!$A$19:$E$23,3,0)*D31*B31^2)</f>
        <v/>
      </c>
      <c r="J31" s="10" t="n">
        <v>20</v>
      </c>
      <c r="K31" s="11">
        <f>L31-Z31</f>
        <v/>
      </c>
      <c r="L31" s="10" t="n">
        <v>25</v>
      </c>
      <c r="M31" s="44">
        <f>IF(NOT(ISNUMBER(H31)),"---",IF(H31&lt;=0,"---",IF(H31*100/(Datos_vigas!$B$8*J31*K31^2*Datos_vigas!$B$5)&gt;=0.5,"REVISAR",MAX((1-SQRT(1-2*H31*100/(Datos_vigas!$B$8*J31*K31^2*Datos_vigas!$B$5)))*J31*K31*Datos_vigas!$B$5/Datos_vigas!$B$6,0.0033*J31*K31))))</f>
        <v/>
      </c>
      <c r="N31" s="10" t="n">
        <v>2</v>
      </c>
      <c r="O31" s="10" t="n">
        <v>12</v>
      </c>
      <c r="P31" s="44">
        <f>IF(NOT(ISNUMBER(I31)),"---",IF(I31&lt;=0,"---",IF(I31*100/(Datos_vigas!$B$8*J31*K31^2*Datos_vigas!$B$5)&gt;=0.5,"REVISAR",MAX((1-SQRT(1-2*I31*100/(Datos_vigas!$B$8*J31*K31^2*Datos_vigas!$B$5)))*J31*K31*Datos_vigas!$B$5/Datos_vigas!$B$6,0.0033*J31*K31))))</f>
        <v/>
      </c>
      <c r="Q31" s="10" t="inlineStr">
        <is>
          <t>---</t>
        </is>
      </c>
      <c r="R31" s="10" t="inlineStr">
        <is>
          <t>---</t>
        </is>
      </c>
      <c r="S31" s="44">
        <f>F31/(J31*0.85*K31)</f>
        <v/>
      </c>
      <c r="T31" s="44">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2" t="inlineStr">
        <is>
          <t>VF18a</t>
        </is>
      </c>
      <c r="B32" s="8" t="n">
        <v>5.5</v>
      </c>
      <c r="C32" s="10" t="inlineStr">
        <is>
          <t>Continua</t>
        </is>
      </c>
      <c r="D32" s="43">
        <f>1.2*(Datos_vigas!$B$7*J32*L32/10000+Datos_vigas!$B$16*Y32)</f>
        <v/>
      </c>
      <c r="E32" s="11" t="n"/>
      <c r="F32" s="43">
        <f>VLOOKUP(C32,Datos_vigas!$A$19:$E$23,4,0)*D32*B32</f>
        <v/>
      </c>
      <c r="G32" s="43">
        <f>F32</f>
        <v/>
      </c>
      <c r="H32" s="43">
        <f>VLOOKUP(C32,Datos_vigas!$A$19:$E$23,2,0)*D32*B32^2</f>
        <v/>
      </c>
      <c r="I32" s="43">
        <f>IF(VLOOKUP(C32,Datos_vigas!$A$19:$E$23,3,0)=0,"---",VLOOKUP(C32,Datos_vigas!$A$19:$E$23,3,0)*D32*B32^2)</f>
        <v/>
      </c>
      <c r="J32" s="10" t="n">
        <v>25</v>
      </c>
      <c r="K32" s="11">
        <f>L32-Z32</f>
        <v/>
      </c>
      <c r="L32" s="10" t="n">
        <v>35</v>
      </c>
      <c r="M32" s="44">
        <f>IF(NOT(ISNUMBER(H32)),"---",IF(H32&lt;=0,"---",IF(H32*100/(Datos_vigas!$B$8*J32*K32^2*Datos_vigas!$B$5)&gt;=0.5,"REVISAR",MAX((1-SQRT(1-2*H32*100/(Datos_vigas!$B$8*J32*K32^2*Datos_vigas!$B$5)))*J32*K32*Datos_vigas!$B$5/Datos_vigas!$B$6,0.0033*J32*K32))))</f>
        <v/>
      </c>
      <c r="N32" s="10" t="n">
        <v>6</v>
      </c>
      <c r="O32" s="10" t="n">
        <v>8</v>
      </c>
      <c r="P32" s="44">
        <f>IF(NOT(ISNUMBER(I32)),"---",IF(I32&lt;=0,"---",IF(I32*100/(Datos_vigas!$B$8*J32*K32^2*Datos_vigas!$B$5)&gt;=0.5,"REVISAR",MAX((1-SQRT(1-2*I32*100/(Datos_vigas!$B$8*J32*K32^2*Datos_vigas!$B$5)))*J32*K32*Datos_vigas!$B$5/Datos_vigas!$B$6,0.0033*J32*K32))))</f>
        <v/>
      </c>
      <c r="Q32" s="10" t="n">
        <v>3</v>
      </c>
      <c r="R32" s="10" t="n">
        <v>12</v>
      </c>
      <c r="S32" s="44">
        <f>F32/(J32*0.85*K32)</f>
        <v/>
      </c>
      <c r="T32" s="44">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2" t="inlineStr">
        <is>
          <t>VF18b</t>
        </is>
      </c>
      <c r="B33" s="8" t="n">
        <v>3.05</v>
      </c>
      <c r="C33" s="10" t="inlineStr">
        <is>
          <t>Continua</t>
        </is>
      </c>
      <c r="D33" s="43">
        <f>1.2*(Datos_vigas!$B$7*J33*L33/10000+Datos_vigas!$B$16*Y33)</f>
        <v/>
      </c>
      <c r="E33" s="11" t="n"/>
      <c r="F33" s="43">
        <f>VLOOKUP(C33,Datos_vigas!$A$19:$E$23,4,0)*D33*B33</f>
        <v/>
      </c>
      <c r="G33" s="43">
        <f>F33</f>
        <v/>
      </c>
      <c r="H33" s="43">
        <f>VLOOKUP(C33,Datos_vigas!$A$19:$E$23,2,0)*D33*B33^2</f>
        <v/>
      </c>
      <c r="I33" s="43">
        <f>IF(VLOOKUP(C33,Datos_vigas!$A$19:$E$23,3,0)=0,"---",VLOOKUP(C33,Datos_vigas!$A$19:$E$23,3,0)*D33*B33^2)</f>
        <v/>
      </c>
      <c r="J33" s="10" t="n">
        <v>25</v>
      </c>
      <c r="K33" s="11">
        <f>L33-Z33</f>
        <v/>
      </c>
      <c r="L33" s="10" t="n">
        <v>25</v>
      </c>
      <c r="M33" s="44">
        <f>IF(NOT(ISNUMBER(H33)),"---",IF(H33&lt;=0,"---",IF(H33*100/(Datos_vigas!$B$8*J33*K33^2*Datos_vigas!$B$5)&gt;=0.5,"REVISAR",MAX((1-SQRT(1-2*H33*100/(Datos_vigas!$B$8*J33*K33^2*Datos_vigas!$B$5)))*J33*K33*Datos_vigas!$B$5/Datos_vigas!$B$6,0.0033*J33*K33))))</f>
        <v/>
      </c>
      <c r="N33" s="10" t="n">
        <v>4</v>
      </c>
      <c r="O33" s="10" t="n">
        <v>8</v>
      </c>
      <c r="P33" s="44">
        <f>IF(NOT(ISNUMBER(I33)),"---",IF(I33&lt;=0,"---",IF(I33*100/(Datos_vigas!$B$8*J33*K33^2*Datos_vigas!$B$5)&gt;=0.5,"REVISAR",MAX((1-SQRT(1-2*I33*100/(Datos_vigas!$B$8*J33*K33^2*Datos_vigas!$B$5)))*J33*K33*Datos_vigas!$B$5/Datos_vigas!$B$6,0.0033*J33*K33))))</f>
        <v/>
      </c>
      <c r="Q33" s="10" t="n">
        <v>4</v>
      </c>
      <c r="R33" s="10" t="n">
        <v>8</v>
      </c>
      <c r="S33" s="44">
        <f>F33/(J33*0.85*K33)</f>
        <v/>
      </c>
      <c r="T33" s="44">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5" t="inlineStr">
        <is>
          <t>VF18c</t>
        </is>
      </c>
      <c r="B34" s="15" t="n">
        <v>4.26</v>
      </c>
      <c r="C34" s="17" t="inlineStr">
        <is>
          <t>Continua</t>
        </is>
      </c>
      <c r="D34" s="46">
        <f>1.2*(Datos_vigas!$B$7*J34*L34/10000+Datos_vigas!$B$16*Y34)</f>
        <v/>
      </c>
      <c r="E34" s="18" t="n"/>
      <c r="F34" s="46">
        <f>VLOOKUP(C34,Datos_vigas!$A$19:$E$23,4,0)*D34*B34</f>
        <v/>
      </c>
      <c r="G34" s="46">
        <f>F34</f>
        <v/>
      </c>
      <c r="H34" s="46">
        <f>VLOOKUP(C34,Datos_vigas!$A$19:$E$23,2,0)*D34*B34^2</f>
        <v/>
      </c>
      <c r="I34" s="46">
        <f>IF(VLOOKUP(C34,Datos_vigas!$A$19:$E$23,3,0)=0,"---",VLOOKUP(C34,Datos_vigas!$A$19:$E$23,3,0)*D34*B34^2)</f>
        <v/>
      </c>
      <c r="J34" s="17" t="n">
        <v>20</v>
      </c>
      <c r="K34" s="18">
        <f>L34-Z34</f>
        <v/>
      </c>
      <c r="L34" s="17" t="n">
        <v>35</v>
      </c>
      <c r="M34" s="47">
        <f>IF(NOT(ISNUMBER(H34)),"---",IF(H34&lt;=0,"---",IF(H34*100/(Datos_vigas!$B$8*J34*K34^2*Datos_vigas!$B$5)&gt;=0.5,"REVISAR",MAX((1-SQRT(1-2*H34*100/(Datos_vigas!$B$8*J34*K34^2*Datos_vigas!$B$5)))*J34*K34*Datos_vigas!$B$5/Datos_vigas!$B$6,0.0033*J34*K34))))</f>
        <v/>
      </c>
      <c r="N34" s="17" t="n">
        <v>2</v>
      </c>
      <c r="O34" s="17" t="n">
        <v>12</v>
      </c>
      <c r="P34" s="47">
        <f>IF(NOT(ISNUMBER(I34)),"---",IF(I34&lt;=0,"---",IF(I34*100/(Datos_vigas!$B$8*J34*K34^2*Datos_vigas!$B$5)&gt;=0.5,"REVISAR",MAX((1-SQRT(1-2*I34*100/(Datos_vigas!$B$8*J34*K34^2*Datos_vigas!$B$5)))*J34*K34*Datos_vigas!$B$5/Datos_vigas!$B$6,0.0033*J34*K34))))</f>
        <v/>
      </c>
      <c r="Q34" s="17" t="n">
        <v>2</v>
      </c>
      <c r="R34" s="17" t="n">
        <v>12</v>
      </c>
      <c r="S34" s="47">
        <f>F34/(J34*0.85*K34)</f>
        <v/>
      </c>
      <c r="T34" s="47">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0"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2" t="inlineStr">
        <is>
          <t>CB1</t>
        </is>
      </c>
      <c r="B4" s="11" t="inlineStr">
        <is>
          <t>C1 (15x30)</t>
        </is>
      </c>
      <c r="C4" s="11" t="inlineStr">
        <is>
          <t>CBZ 01</t>
        </is>
      </c>
      <c r="D4" s="10" t="n">
        <v>70</v>
      </c>
      <c r="E4" s="10" t="n">
        <v>70</v>
      </c>
      <c r="F4" s="10" t="n">
        <v>65</v>
      </c>
      <c r="G4" s="8" t="n">
        <v>2.49</v>
      </c>
      <c r="H4" s="44">
        <f>IF(G4="","",G4/1.4)</f>
        <v/>
      </c>
      <c r="I4" s="10" t="n">
        <v>1</v>
      </c>
      <c r="J4" s="10" t="n">
        <v>30</v>
      </c>
      <c r="K4" s="8" t="n">
        <v>4.5</v>
      </c>
      <c r="L4" s="44">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2" t="inlineStr">
        <is>
          <t>CB2</t>
        </is>
      </c>
      <c r="B5" s="11" t="inlineStr">
        <is>
          <t>C2 (15x30)</t>
        </is>
      </c>
      <c r="C5" s="11" t="inlineStr">
        <is>
          <t>CBZ 01</t>
        </is>
      </c>
      <c r="D5" s="10" t="n">
        <v>70</v>
      </c>
      <c r="E5" s="10" t="n">
        <v>70</v>
      </c>
      <c r="F5" s="10" t="n">
        <v>65</v>
      </c>
      <c r="G5" s="8" t="n">
        <v>29.46</v>
      </c>
      <c r="H5" s="44">
        <f>IF(G5="","",G5/1.4)</f>
        <v/>
      </c>
      <c r="I5" s="10" t="n">
        <v>1</v>
      </c>
      <c r="J5" s="10" t="n">
        <v>30</v>
      </c>
      <c r="K5" s="8" t="n">
        <v>4.5</v>
      </c>
      <c r="L5" s="44">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2" t="inlineStr">
        <is>
          <t>CB3</t>
        </is>
      </c>
      <c r="B6" s="11" t="inlineStr">
        <is>
          <t>C5 (15x30)</t>
        </is>
      </c>
      <c r="C6" s="11" t="inlineStr">
        <is>
          <t>CBZ 01</t>
        </is>
      </c>
      <c r="D6" s="10" t="n">
        <v>70</v>
      </c>
      <c r="E6" s="10" t="n">
        <v>70</v>
      </c>
      <c r="F6" s="10" t="n">
        <v>65</v>
      </c>
      <c r="G6" s="8" t="n">
        <v>15.96</v>
      </c>
      <c r="H6" s="44">
        <f>IF(G6="","",G6/1.4)</f>
        <v/>
      </c>
      <c r="I6" s="10" t="n">
        <v>1</v>
      </c>
      <c r="J6" s="10" t="n">
        <v>30</v>
      </c>
      <c r="K6" s="8" t="n">
        <v>4.5</v>
      </c>
      <c r="L6" s="44">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2" t="inlineStr">
        <is>
          <t>CB4</t>
        </is>
      </c>
      <c r="B7" s="11" t="inlineStr">
        <is>
          <t>C3 (30x15)</t>
        </is>
      </c>
      <c r="C7" s="11" t="inlineStr">
        <is>
          <t>CBZ 01</t>
        </is>
      </c>
      <c r="D7" s="10" t="n">
        <v>70</v>
      </c>
      <c r="E7" s="10" t="n">
        <v>70</v>
      </c>
      <c r="F7" s="10" t="n">
        <v>65</v>
      </c>
      <c r="G7" s="8" t="n">
        <v>10.6</v>
      </c>
      <c r="H7" s="44">
        <f>IF(G7="","",G7/1.4)</f>
        <v/>
      </c>
      <c r="I7" s="10" t="n">
        <v>1</v>
      </c>
      <c r="J7" s="10" t="n">
        <v>30</v>
      </c>
      <c r="K7" s="8" t="n">
        <v>4.5</v>
      </c>
      <c r="L7" s="44">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2" t="inlineStr">
        <is>
          <t>CB5</t>
        </is>
      </c>
      <c r="B8" s="11" t="inlineStr">
        <is>
          <t>C4 (10x10)</t>
        </is>
      </c>
      <c r="C8" s="11" t="inlineStr">
        <is>
          <t>CBZ 01</t>
        </is>
      </c>
      <c r="D8" s="10" t="n">
        <v>70</v>
      </c>
      <c r="E8" s="10" t="n">
        <v>70</v>
      </c>
      <c r="F8" s="10" t="n">
        <v>65</v>
      </c>
      <c r="G8" s="8" t="n">
        <v>10.28</v>
      </c>
      <c r="H8" s="44">
        <f>IF(G8="","",G8/1.4)</f>
        <v/>
      </c>
      <c r="I8" s="10" t="n">
        <v>1</v>
      </c>
      <c r="J8" s="10" t="n">
        <v>30</v>
      </c>
      <c r="K8" s="8" t="n">
        <v>4.5</v>
      </c>
      <c r="L8" s="44">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2" t="inlineStr">
        <is>
          <t>CB6</t>
        </is>
      </c>
      <c r="B9" s="11" t="inlineStr">
        <is>
          <t>C6 (20x20)</t>
        </is>
      </c>
      <c r="C9" s="11" t="inlineStr">
        <is>
          <t>CBZ 03</t>
        </is>
      </c>
      <c r="D9" s="10" t="n">
        <v>144</v>
      </c>
      <c r="E9" s="10" t="n">
        <v>70</v>
      </c>
      <c r="F9" s="10" t="n">
        <v>70</v>
      </c>
      <c r="G9" s="8" t="n">
        <v>32.1</v>
      </c>
      <c r="H9" s="44">
        <f>IF(G9="","",G9/1.4)</f>
        <v/>
      </c>
      <c r="I9" s="10" t="n">
        <v>3</v>
      </c>
      <c r="J9" s="10" t="n">
        <v>30</v>
      </c>
      <c r="K9" s="8" t="n">
        <v>4.5</v>
      </c>
      <c r="L9" s="44">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2" t="inlineStr">
        <is>
          <t>CB7</t>
        </is>
      </c>
      <c r="B10" s="11" t="inlineStr">
        <is>
          <t>C7 (30x15)</t>
        </is>
      </c>
      <c r="C10" s="11" t="inlineStr">
        <is>
          <t>CBZ 02</t>
        </is>
      </c>
      <c r="D10" s="10" t="n">
        <v>129</v>
      </c>
      <c r="E10" s="10" t="n">
        <v>70</v>
      </c>
      <c r="F10" s="10" t="n">
        <v>70</v>
      </c>
      <c r="G10" s="8" t="n">
        <v>37.78</v>
      </c>
      <c r="H10" s="44">
        <f>IF(G10="","",G10/1.4)</f>
        <v/>
      </c>
      <c r="I10" s="10" t="n">
        <v>2</v>
      </c>
      <c r="J10" s="10" t="n">
        <v>30</v>
      </c>
      <c r="K10" s="8" t="n">
        <v>4.5</v>
      </c>
      <c r="L10" s="44">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2" t="inlineStr">
        <is>
          <t>CB8</t>
        </is>
      </c>
      <c r="B11" s="11" t="inlineStr">
        <is>
          <t>C9 (15x30)</t>
        </is>
      </c>
      <c r="C11" s="11" t="inlineStr">
        <is>
          <t>CBZ 03</t>
        </is>
      </c>
      <c r="D11" s="10" t="n">
        <v>144</v>
      </c>
      <c r="E11" s="10" t="n">
        <v>70</v>
      </c>
      <c r="F11" s="10" t="n">
        <v>70</v>
      </c>
      <c r="G11" s="8" t="n">
        <v>54.93</v>
      </c>
      <c r="H11" s="44">
        <f>IF(G11="","",G11/1.4)</f>
        <v/>
      </c>
      <c r="I11" s="10" t="n">
        <v>3</v>
      </c>
      <c r="J11" s="10" t="n">
        <v>30</v>
      </c>
      <c r="K11" s="8" t="n">
        <v>4.5</v>
      </c>
      <c r="L11" s="44">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5" t="inlineStr">
        <is>
          <t>CB9</t>
        </is>
      </c>
      <c r="B12" s="18" t="inlineStr">
        <is>
          <t>C8 (15x30)</t>
        </is>
      </c>
      <c r="C12" s="18" t="inlineStr">
        <is>
          <t>CBZ 02</t>
        </is>
      </c>
      <c r="D12" s="17" t="n">
        <v>129</v>
      </c>
      <c r="E12" s="17" t="n">
        <v>70</v>
      </c>
      <c r="F12" s="17" t="n">
        <v>70</v>
      </c>
      <c r="G12" s="15" t="n">
        <v>42.67</v>
      </c>
      <c r="H12" s="47">
        <f>IF(G12="","",G12/1.4)</f>
        <v/>
      </c>
      <c r="I12" s="17" t="n">
        <v>2</v>
      </c>
      <c r="J12" s="17" t="n">
        <v>30</v>
      </c>
      <c r="K12" s="15" t="n">
        <v>4.5</v>
      </c>
      <c r="L12" s="47">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8"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1" t="inlineStr">
        <is>
          <t>PB</t>
        </is>
      </c>
      <c r="B4" s="42" t="inlineStr">
        <is>
          <t>T1</t>
        </is>
      </c>
      <c r="C4" s="8" t="n">
        <v>18.74</v>
      </c>
      <c r="D4" s="8" t="n">
        <v>3.15</v>
      </c>
      <c r="E4" s="10" t="n">
        <v>365</v>
      </c>
      <c r="F4" s="10" t="n">
        <v>87</v>
      </c>
      <c r="G4" s="44">
        <f>2*(100/I4)*PI()*(H4/10)^2/4</f>
        <v/>
      </c>
      <c r="H4" s="10" t="n">
        <v>8</v>
      </c>
      <c r="I4" s="10" t="n">
        <v>20</v>
      </c>
      <c r="J4" s="44">
        <f>(100/L4)*PI()*(K4/10)^2/4</f>
        <v/>
      </c>
      <c r="K4" s="10" t="n">
        <v>8</v>
      </c>
      <c r="L4" s="10" t="n">
        <v>20</v>
      </c>
      <c r="M4" s="55">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1" t="n"/>
      <c r="B5" s="42" t="inlineStr">
        <is>
          <t>T2</t>
        </is>
      </c>
      <c r="C5" s="8" t="n">
        <v>8.5</v>
      </c>
      <c r="D5" s="8" t="n">
        <v>3.15</v>
      </c>
      <c r="E5" s="10" t="n">
        <v>420</v>
      </c>
      <c r="F5" s="10" t="n">
        <v>85</v>
      </c>
      <c r="G5" s="44">
        <f>2*(100/I5)*PI()*(H5/10)^2/4</f>
        <v/>
      </c>
      <c r="H5" s="10" t="n">
        <v>8</v>
      </c>
      <c r="I5" s="10" t="n">
        <v>20</v>
      </c>
      <c r="J5" s="44">
        <f>(100/L5)*PI()*(K5/10)^2/4</f>
        <v/>
      </c>
      <c r="K5" s="10" t="n">
        <v>8</v>
      </c>
      <c r="L5" s="10" t="n">
        <v>20</v>
      </c>
      <c r="M5" s="55">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1" t="n"/>
      <c r="B6" s="42" t="inlineStr">
        <is>
          <t>T3</t>
        </is>
      </c>
      <c r="C6" s="8" t="n">
        <v>5</v>
      </c>
      <c r="D6" s="8" t="n">
        <v>3.15</v>
      </c>
      <c r="E6" s="10" t="n">
        <v>80</v>
      </c>
      <c r="F6" s="10" t="n">
        <v>12</v>
      </c>
      <c r="G6" s="44">
        <f>2*(100/I6)*PI()*(H6/10)^2/4</f>
        <v/>
      </c>
      <c r="H6" s="10" t="n">
        <v>8</v>
      </c>
      <c r="I6" s="10" t="n">
        <v>20</v>
      </c>
      <c r="J6" s="44">
        <f>(100/L6)*PI()*(K6/10)^2/4</f>
        <v/>
      </c>
      <c r="K6" s="10" t="n">
        <v>8</v>
      </c>
      <c r="L6" s="10" t="n">
        <v>20</v>
      </c>
      <c r="M6" s="55">
        <f>IF(F6&lt;=12,E6*F6,(E6+F6-12)*12)</f>
        <v/>
      </c>
      <c r="N6" s="9">
        <f>IF(C6="","",C6*1000/M6)</f>
        <v/>
      </c>
      <c r="O6" s="9">
        <f>0.55*0.65*Datos_vigas!$B$5*M6*MAX(0,1-(D6*100/(32*12))^2)/1000</f>
        <v/>
      </c>
      <c r="P6" s="11">
        <f>IF(C6="","FALTA CARGA",IF(C6&lt;=O6,"VERIFICA","NO VERIFICA"))</f>
        <v/>
      </c>
      <c r="Q6" s="13" t="inlineStr">
        <is>
          <t>Tabique recto: B = 12 cm es el espesor.</t>
        </is>
      </c>
    </row>
    <row r="7" ht="17" customHeight="1">
      <c r="A7" s="31" t="n"/>
      <c r="B7" s="42" t="inlineStr">
        <is>
          <t>T4</t>
        </is>
      </c>
      <c r="C7" s="8" t="n">
        <v>12.52</v>
      </c>
      <c r="D7" s="8" t="n">
        <v>3.15</v>
      </c>
      <c r="E7" s="10" t="n">
        <v>355</v>
      </c>
      <c r="F7" s="10" t="n">
        <v>12</v>
      </c>
      <c r="G7" s="44">
        <f>2*(100/I7)*PI()*(H7/10)^2/4</f>
        <v/>
      </c>
      <c r="H7" s="10" t="n">
        <v>8</v>
      </c>
      <c r="I7" s="10" t="n">
        <v>20</v>
      </c>
      <c r="J7" s="44">
        <f>(100/L7)*PI()*(K7/10)^2/4</f>
        <v/>
      </c>
      <c r="K7" s="10" t="n">
        <v>8</v>
      </c>
      <c r="L7" s="10" t="n">
        <v>20</v>
      </c>
      <c r="M7" s="55">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1" t="n"/>
      <c r="B8" s="42" t="inlineStr">
        <is>
          <t>T5</t>
        </is>
      </c>
      <c r="C8" s="8" t="n">
        <v>11</v>
      </c>
      <c r="D8" s="8" t="n">
        <v>3.15</v>
      </c>
      <c r="E8" s="10" t="n">
        <v>400</v>
      </c>
      <c r="F8" s="10" t="n">
        <v>300</v>
      </c>
      <c r="G8" s="44">
        <f>2*(100/I8)*PI()*(H8/10)^2/4</f>
        <v/>
      </c>
      <c r="H8" s="10" t="n">
        <v>8</v>
      </c>
      <c r="I8" s="10" t="n">
        <v>20</v>
      </c>
      <c r="J8" s="44">
        <f>(100/L8)*PI()*(K8/10)^2/4</f>
        <v/>
      </c>
      <c r="K8" s="10" t="n">
        <v>8</v>
      </c>
      <c r="L8" s="10" t="n">
        <v>20</v>
      </c>
      <c r="M8" s="55">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1" t="n"/>
      <c r="B9" s="42" t="inlineStr">
        <is>
          <t>T6</t>
        </is>
      </c>
      <c r="C9" s="8" t="n">
        <v>14.1</v>
      </c>
      <c r="D9" s="8" t="n">
        <v>3.15</v>
      </c>
      <c r="E9" s="10" t="n">
        <v>270</v>
      </c>
      <c r="F9" s="10" t="n">
        <v>90</v>
      </c>
      <c r="G9" s="44">
        <f>2*(100/I9)*PI()*(H9/10)^2/4</f>
        <v/>
      </c>
      <c r="H9" s="10" t="n">
        <v>8</v>
      </c>
      <c r="I9" s="10" t="n">
        <v>20</v>
      </c>
      <c r="J9" s="44">
        <f>(100/L9)*PI()*(K9/10)^2/4</f>
        <v/>
      </c>
      <c r="K9" s="10" t="n">
        <v>8</v>
      </c>
      <c r="L9" s="10" t="n">
        <v>20</v>
      </c>
      <c r="M9" s="55">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1" t="n"/>
      <c r="B10" s="42" t="inlineStr">
        <is>
          <t>T7</t>
        </is>
      </c>
      <c r="C10" s="8" t="n">
        <v>30.62</v>
      </c>
      <c r="D10" s="8" t="n">
        <v>3.15</v>
      </c>
      <c r="E10" s="10" t="n">
        <v>98</v>
      </c>
      <c r="F10" s="10" t="n">
        <v>12</v>
      </c>
      <c r="G10" s="44">
        <f>2*(100/I10)*PI()*(H10/10)^2/4</f>
        <v/>
      </c>
      <c r="H10" s="10" t="n">
        <v>8</v>
      </c>
      <c r="I10" s="10" t="n">
        <v>20</v>
      </c>
      <c r="J10" s="44">
        <f>(100/L10)*PI()*(K10/10)^2/4</f>
        <v/>
      </c>
      <c r="K10" s="10" t="n">
        <v>8</v>
      </c>
      <c r="L10" s="10" t="n">
        <v>20</v>
      </c>
      <c r="M10" s="55">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5" t="n"/>
      <c r="B11" s="45" t="inlineStr">
        <is>
          <t>T8</t>
        </is>
      </c>
      <c r="C11" s="15" t="n">
        <v>13.78</v>
      </c>
      <c r="D11" s="15" t="n">
        <v>3.15</v>
      </c>
      <c r="E11" s="17" t="n">
        <v>290</v>
      </c>
      <c r="F11" s="17" t="n">
        <v>12</v>
      </c>
      <c r="G11" s="47">
        <f>2*(100/I11)*PI()*(H11/10)^2/4</f>
        <v/>
      </c>
      <c r="H11" s="17" t="n">
        <v>8</v>
      </c>
      <c r="I11" s="17" t="n">
        <v>20</v>
      </c>
      <c r="J11" s="47">
        <f>(100/L11)*PI()*(K11/10)^2/4</f>
        <v/>
      </c>
      <c r="K11" s="17" t="n">
        <v>8</v>
      </c>
      <c r="L11" s="17" t="n">
        <v>20</v>
      </c>
      <c r="M11" s="57">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1" t="inlineStr">
        <is>
          <t>PA</t>
        </is>
      </c>
      <c r="B12" s="42" t="inlineStr">
        <is>
          <t>T9</t>
        </is>
      </c>
      <c r="C12" s="8" t="n">
        <v>6.96</v>
      </c>
      <c r="D12" s="8" t="n">
        <v>3.2</v>
      </c>
      <c r="E12" s="10" t="n">
        <v>375</v>
      </c>
      <c r="F12" s="10" t="n">
        <v>12</v>
      </c>
      <c r="G12" s="44">
        <f>2*(100/I12)*PI()*(H12/10)^2/4</f>
        <v/>
      </c>
      <c r="H12" s="10" t="n">
        <v>8</v>
      </c>
      <c r="I12" s="10" t="n">
        <v>20</v>
      </c>
      <c r="J12" s="44">
        <f>(100/L12)*PI()*(K12/10)^2/4</f>
        <v/>
      </c>
      <c r="K12" s="10" t="n">
        <v>8</v>
      </c>
      <c r="L12" s="10" t="n">
        <v>20</v>
      </c>
      <c r="M12" s="55">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1" t="n"/>
      <c r="B13" s="42" t="inlineStr">
        <is>
          <t>T10</t>
        </is>
      </c>
      <c r="C13" s="8" t="n">
        <v>13.38</v>
      </c>
      <c r="D13" s="8" t="n">
        <v>2.6</v>
      </c>
      <c r="E13" s="10" t="n">
        <v>170</v>
      </c>
      <c r="F13" s="10" t="n">
        <v>12</v>
      </c>
      <c r="G13" s="44">
        <f>2*(100/I13)*PI()*(H13/10)^2/4</f>
        <v/>
      </c>
      <c r="H13" s="10" t="n">
        <v>8</v>
      </c>
      <c r="I13" s="10" t="n">
        <v>20</v>
      </c>
      <c r="J13" s="44">
        <f>(100/L13)*PI()*(K13/10)^2/4</f>
        <v/>
      </c>
      <c r="K13" s="10" t="n">
        <v>8</v>
      </c>
      <c r="L13" s="10" t="n">
        <v>20</v>
      </c>
      <c r="M13" s="55">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1" t="n"/>
      <c r="B14" s="42" t="inlineStr">
        <is>
          <t>T11</t>
        </is>
      </c>
      <c r="C14" s="8" t="n">
        <v>5.07</v>
      </c>
      <c r="D14" s="8" t="n">
        <v>2.6</v>
      </c>
      <c r="E14" s="10" t="n">
        <v>28</v>
      </c>
      <c r="F14" s="10" t="n">
        <v>12</v>
      </c>
      <c r="G14" s="44">
        <f>2*(100/I14)*PI()*(H14/10)^2/4</f>
        <v/>
      </c>
      <c r="H14" s="10" t="n">
        <v>8</v>
      </c>
      <c r="I14" s="10" t="n">
        <v>20</v>
      </c>
      <c r="J14" s="44">
        <f>(100/L14)*PI()*(K14/10)^2/4</f>
        <v/>
      </c>
      <c r="K14" s="10" t="n">
        <v>8</v>
      </c>
      <c r="L14" s="10" t="n">
        <v>20</v>
      </c>
      <c r="M14" s="55">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1" t="n"/>
      <c r="B15" s="42" t="inlineStr">
        <is>
          <t>T12</t>
        </is>
      </c>
      <c r="C15" s="8" t="n">
        <v>5.62</v>
      </c>
      <c r="D15" s="8" t="n">
        <v>2.6</v>
      </c>
      <c r="E15" s="10" t="n">
        <v>32</v>
      </c>
      <c r="F15" s="10" t="n">
        <v>12</v>
      </c>
      <c r="G15" s="44">
        <f>2*(100/I15)*PI()*(H15/10)^2/4</f>
        <v/>
      </c>
      <c r="H15" s="10" t="n">
        <v>8</v>
      </c>
      <c r="I15" s="10" t="n">
        <v>20</v>
      </c>
      <c r="J15" s="44">
        <f>(100/L15)*PI()*(K15/10)^2/4</f>
        <v/>
      </c>
      <c r="K15" s="10" t="n">
        <v>8</v>
      </c>
      <c r="L15" s="10" t="n">
        <v>20</v>
      </c>
      <c r="M15" s="55">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5" t="n"/>
      <c r="B16" s="45" t="inlineStr">
        <is>
          <t>T13</t>
        </is>
      </c>
      <c r="C16" s="15" t="n">
        <v>1.22</v>
      </c>
      <c r="D16" s="15" t="n">
        <v>3.2</v>
      </c>
      <c r="E16" s="17" t="n">
        <v>132</v>
      </c>
      <c r="F16" s="17" t="n">
        <v>12</v>
      </c>
      <c r="G16" s="47">
        <f>2*(100/I16)*PI()*(H16/10)^2/4</f>
        <v/>
      </c>
      <c r="H16" s="17" t="n">
        <v>8</v>
      </c>
      <c r="I16" s="17" t="n">
        <v>20</v>
      </c>
      <c r="J16" s="47">
        <f>(100/L16)*PI()*(K16/10)^2/4</f>
        <v/>
      </c>
      <c r="K16" s="17" t="n">
        <v>8</v>
      </c>
      <c r="L16" s="17" t="n">
        <v>20</v>
      </c>
      <c r="M16" s="57">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39"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39"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39"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39"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39"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39"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39"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8" t="inlineStr">
        <is>
          <t>DATOS DE PARTIDA - HIPOTESIS DE CALCULO</t>
        </is>
      </c>
      <c r="B1" s="2" t="n"/>
      <c r="C1" s="2" t="n"/>
      <c r="D1" s="2" t="n"/>
      <c r="E1" s="2" t="n"/>
      <c r="F1" s="2" t="n"/>
    </row>
    <row r="2">
      <c r="A2" s="39" t="inlineStr">
        <is>
          <t>Celdas verdes: editables. La planilla recalcula sola.</t>
        </is>
      </c>
      <c r="B2" s="2" t="n"/>
      <c r="C2" s="2" t="n"/>
      <c r="D2" s="2" t="n"/>
      <c r="E2" s="2" t="n"/>
      <c r="F2" s="2" t="n"/>
    </row>
    <row r="3">
      <c r="A3" s="2" t="n"/>
      <c r="B3" s="2" t="n"/>
      <c r="C3" s="2" t="n"/>
      <c r="D3" s="2" t="n"/>
      <c r="E3" s="2" t="n"/>
      <c r="F3" s="2" t="n"/>
    </row>
    <row r="4">
      <c r="A4" s="59" t="inlineStr">
        <is>
          <t>MATERIALES</t>
        </is>
      </c>
      <c r="B4" s="60" t="inlineStr">
        <is>
          <t>valor</t>
        </is>
      </c>
      <c r="C4" s="60" t="inlineStr">
        <is>
          <t>unidad</t>
        </is>
      </c>
      <c r="D4" s="2" t="n"/>
      <c r="E4" s="2" t="n"/>
      <c r="F4" s="2" t="n"/>
    </row>
    <row r="5">
      <c r="A5" s="61" t="inlineStr">
        <is>
          <t>Hormigon H-21   f'c</t>
        </is>
      </c>
      <c r="B5" s="62" t="n">
        <v>210</v>
      </c>
      <c r="C5" s="11" t="inlineStr">
        <is>
          <t>kg/cm2</t>
        </is>
      </c>
      <c r="D5" s="2" t="n"/>
      <c r="E5" s="2" t="n"/>
      <c r="F5" s="2" t="n"/>
    </row>
    <row r="6">
      <c r="A6" s="61" t="inlineStr">
        <is>
          <t>Acero 42/50   fy</t>
        </is>
      </c>
      <c r="B6" s="62" t="n">
        <v>4200</v>
      </c>
      <c r="C6" s="11" t="inlineStr">
        <is>
          <t>kg/cm2</t>
        </is>
      </c>
      <c r="D6" s="2" t="n"/>
      <c r="E6" s="2" t="n"/>
      <c r="F6" s="2" t="n"/>
    </row>
    <row r="7">
      <c r="A7" s="61" t="inlineStr">
        <is>
          <t>Peso especifico H.A.</t>
        </is>
      </c>
      <c r="B7" s="62" t="n">
        <v>2400</v>
      </c>
      <c r="C7" s="11" t="inlineStr">
        <is>
          <t>kg/m3</t>
        </is>
      </c>
      <c r="D7" s="2" t="n"/>
      <c r="E7" s="2" t="n"/>
      <c r="F7" s="2" t="n"/>
    </row>
    <row r="8">
      <c r="A8" s="61" t="inlineStr">
        <is>
          <t>phi flexion</t>
        </is>
      </c>
      <c r="B8" s="62" t="n">
        <v>0.9</v>
      </c>
      <c r="C8" s="11" t="inlineStr">
        <is>
          <t>-</t>
        </is>
      </c>
      <c r="D8" s="2" t="n"/>
      <c r="E8" s="2" t="n"/>
      <c r="F8" s="2" t="n"/>
    </row>
    <row r="9">
      <c r="A9" s="61" t="inlineStr">
        <is>
          <t>phi corte</t>
        </is>
      </c>
      <c r="B9" s="62" t="n">
        <v>0.75</v>
      </c>
      <c r="C9" s="11" t="inlineStr">
        <is>
          <t>-</t>
        </is>
      </c>
      <c r="D9" s="2" t="n"/>
      <c r="E9" s="2" t="n"/>
      <c r="F9" s="2" t="n"/>
    </row>
    <row r="10">
      <c r="A10" s="61" t="inlineStr">
        <is>
          <t>Coef. mayoracion permanente</t>
        </is>
      </c>
      <c r="B10" s="62" t="n">
        <v>1.2</v>
      </c>
      <c r="C10" s="11" t="inlineStr">
        <is>
          <t>-</t>
        </is>
      </c>
      <c r="D10" s="2" t="n"/>
      <c r="E10" s="2" t="n"/>
      <c r="F10" s="2" t="n"/>
    </row>
    <row r="11">
      <c r="A11" s="61" t="inlineStr">
        <is>
          <t>Coef. mayoracion sobrecarga</t>
        </is>
      </c>
      <c r="B11" s="62" t="n">
        <v>1.6</v>
      </c>
      <c r="C11" s="11" t="inlineStr">
        <is>
          <t>-</t>
        </is>
      </c>
      <c r="D11" s="2" t="n"/>
      <c r="E11" s="2" t="n"/>
      <c r="F11" s="2" t="n"/>
    </row>
    <row r="12">
      <c r="A12" s="2" t="n"/>
      <c r="B12" s="2" t="n"/>
      <c r="C12" s="2" t="n"/>
      <c r="D12" s="2" t="n"/>
      <c r="E12" s="2" t="n"/>
      <c r="F12" s="2" t="n"/>
    </row>
    <row r="13">
      <c r="A13" s="59" t="inlineStr">
        <is>
          <t>PAQUETES DE CARGA</t>
        </is>
      </c>
      <c r="B13" s="3" t="inlineStr">
        <is>
          <t>g (kg/m2)</t>
        </is>
      </c>
      <c r="C13" s="3" t="inlineStr">
        <is>
          <t>q (kg/m2)</t>
        </is>
      </c>
      <c r="D13" s="3" t="inlineStr">
        <is>
          <t>h muro (m)</t>
        </is>
      </c>
      <c r="E13" s="3" t="inlineStr">
        <is>
          <t>B trib. (m)</t>
        </is>
      </c>
      <c r="F13" s="3" t="inlineStr">
        <is>
          <t>composicion</t>
        </is>
      </c>
    </row>
    <row r="14">
      <c r="A14" s="63" t="inlineStr">
        <is>
          <t>PA</t>
        </is>
      </c>
      <c r="B14" s="64" t="n">
        <v>550</v>
      </c>
      <c r="C14" s="64" t="n">
        <v>200</v>
      </c>
      <c r="D14" s="65" t="n">
        <v>2.6</v>
      </c>
      <c r="E14" s="65" t="n">
        <v>2</v>
      </c>
      <c r="F14" s="49" t="inlineStr">
        <is>
          <t>Losa 12 cm 300 + contrapiso 130 + carpeta 42 + piso 50 + cielorraso 20</t>
        </is>
      </c>
    </row>
    <row r="15">
      <c r="A15" s="63" t="inlineStr">
        <is>
          <t>TECHO</t>
        </is>
      </c>
      <c r="B15" s="64" t="n">
        <v>560</v>
      </c>
      <c r="C15" s="64" t="n">
        <v>100</v>
      </c>
      <c r="D15" s="65" t="n">
        <v>1</v>
      </c>
      <c r="E15" s="65" t="n">
        <v>2</v>
      </c>
      <c r="F15" s="49" t="inlineStr">
        <is>
          <t>Losa 12 cm 300 + contrapiso pendiente 140 + carpeta 42 + aislacion 50 + cielorraso 20</t>
        </is>
      </c>
    </row>
    <row r="16">
      <c r="A16" s="61" t="inlineStr">
        <is>
          <t>Mamposteria sobre viga</t>
        </is>
      </c>
      <c r="B16" s="62" t="n">
        <v>250</v>
      </c>
      <c r="C16" s="11" t="inlineStr">
        <is>
          <t>kg/m2</t>
        </is>
      </c>
      <c r="D16" s="2" t="n"/>
      <c r="E16" s="2" t="n"/>
      <c r="F16" s="66" t="inlineStr">
        <is>
          <t>Ladrillo hueco 18 cm + revoque en ambas caras</t>
        </is>
      </c>
    </row>
    <row r="17">
      <c r="A17" s="2" t="n"/>
      <c r="B17" s="2" t="n"/>
      <c r="C17" s="2" t="n"/>
      <c r="D17" s="2" t="n"/>
      <c r="E17" s="2" t="n"/>
      <c r="F17" s="2" t="n"/>
    </row>
    <row r="18">
      <c r="A18" s="59" t="inlineStr">
        <is>
          <t>COEFICIENTES SEGUN ESQUEMA</t>
        </is>
      </c>
      <c r="B18" s="3" t="inlineStr">
        <is>
          <t>M tramo</t>
        </is>
      </c>
      <c r="C18" s="3" t="inlineStr">
        <is>
          <t>M apoyo</t>
        </is>
      </c>
      <c r="D18" s="3" t="inlineStr">
        <is>
          <t>Reaccion</t>
        </is>
      </c>
      <c r="E18" s="3" t="inlineStr">
        <is>
          <t>L/d min</t>
        </is>
      </c>
      <c r="F18" s="2" t="n"/>
    </row>
    <row r="19">
      <c r="A19" s="61" t="inlineStr">
        <is>
          <t>Simplemente apoyada</t>
        </is>
      </c>
      <c r="B19" s="67" t="n">
        <v>0.125</v>
      </c>
      <c r="C19" s="67" t="n">
        <v>0</v>
      </c>
      <c r="D19" s="67" t="n">
        <v>0.5</v>
      </c>
      <c r="E19" s="68" t="n">
        <v>16</v>
      </c>
      <c r="F19" s="2" t="n"/>
    </row>
    <row r="20">
      <c r="A20" s="61" t="inlineStr">
        <is>
          <t>Continua</t>
        </is>
      </c>
      <c r="B20" s="67" t="n">
        <v>0.07142999999999999</v>
      </c>
      <c r="C20" s="67" t="n">
        <v>0.1</v>
      </c>
      <c r="D20" s="67" t="n">
        <v>0.575</v>
      </c>
      <c r="E20" s="68" t="n">
        <v>21</v>
      </c>
      <c r="F20" s="2" t="n"/>
    </row>
    <row r="21">
      <c r="A21" s="61" t="inlineStr">
        <is>
          <t>Empotrada-apoyada</t>
        </is>
      </c>
      <c r="B21" s="67" t="n">
        <v>0.07031</v>
      </c>
      <c r="C21" s="67" t="n">
        <v>0.125</v>
      </c>
      <c r="D21" s="67" t="n">
        <v>0.625</v>
      </c>
      <c r="E21" s="68" t="n">
        <v>18.5</v>
      </c>
      <c r="F21" s="2" t="n"/>
    </row>
    <row r="22">
      <c r="A22" s="61" t="inlineStr">
        <is>
          <t>Biempotrada</t>
        </is>
      </c>
      <c r="B22" s="67" t="n">
        <v>0.04167</v>
      </c>
      <c r="C22" s="67" t="n">
        <v>0.08333</v>
      </c>
      <c r="D22" s="67" t="n">
        <v>0.5</v>
      </c>
      <c r="E22" s="68" t="n">
        <v>21</v>
      </c>
      <c r="F22" s="2" t="n"/>
    </row>
    <row r="23">
      <c r="A23" s="61" t="inlineStr">
        <is>
          <t>Voladizo</t>
        </is>
      </c>
      <c r="B23" s="67" t="n">
        <v>0</v>
      </c>
      <c r="C23" s="67" t="n">
        <v>0.5</v>
      </c>
      <c r="D23" s="67" t="n">
        <v>1</v>
      </c>
      <c r="E23" s="68" t="n">
        <v>8</v>
      </c>
      <c r="F23" s="2" t="n"/>
    </row>
    <row r="24">
      <c r="A24" s="2" t="n"/>
      <c r="B24" s="2" t="n"/>
      <c r="C24" s="2" t="n"/>
      <c r="D24" s="2" t="n"/>
      <c r="E24" s="2" t="n"/>
      <c r="F24" s="2" t="n"/>
    </row>
    <row r="25">
      <c r="A25" s="38"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8" t="inlineStr">
        <is>
          <t>DATOS DE PARTIDA - LOSAS</t>
        </is>
      </c>
      <c r="B1" s="2" t="n"/>
      <c r="C1" s="2" t="n"/>
      <c r="D1" s="2" t="n"/>
    </row>
    <row r="2">
      <c r="A2" s="39" t="inlineStr">
        <is>
          <t>Celdas verdes: editables. La planilla recalcula sola.</t>
        </is>
      </c>
      <c r="B2" s="2" t="n"/>
      <c r="C2" s="2" t="n"/>
      <c r="D2" s="2" t="n"/>
    </row>
    <row r="3">
      <c r="A3" s="2" t="n"/>
      <c r="B3" s="2" t="n"/>
      <c r="C3" s="2" t="n"/>
      <c r="D3" s="2" t="n"/>
    </row>
    <row r="4">
      <c r="A4" s="59" t="inlineStr">
        <is>
          <t>MATERIALES Y METODO</t>
        </is>
      </c>
      <c r="B4" s="60" t="inlineStr">
        <is>
          <t>valor</t>
        </is>
      </c>
      <c r="C4" s="60" t="inlineStr">
        <is>
          <t>unidad</t>
        </is>
      </c>
      <c r="D4" s="2" t="n"/>
    </row>
    <row r="5">
      <c r="A5" s="61" t="inlineStr">
        <is>
          <t>Hormigon H-21   f'c</t>
        </is>
      </c>
      <c r="B5" s="62" t="n">
        <v>210</v>
      </c>
      <c r="C5" s="11" t="inlineStr">
        <is>
          <t>kg/cm2</t>
        </is>
      </c>
      <c r="D5" s="2" t="n"/>
    </row>
    <row r="6">
      <c r="A6" s="61" t="inlineStr">
        <is>
          <t>Acero 42/50   fy</t>
        </is>
      </c>
      <c r="B6" s="62" t="n">
        <v>4200</v>
      </c>
      <c r="C6" s="11" t="inlineStr">
        <is>
          <t>kg/cm2</t>
        </is>
      </c>
      <c r="D6" s="2" t="n"/>
    </row>
    <row r="7">
      <c r="A7" s="61" t="inlineStr">
        <is>
          <t>Tension admisible del acero</t>
        </is>
      </c>
      <c r="B7" s="62" t="n">
        <v>2400</v>
      </c>
      <c r="C7" s="11" t="inlineStr">
        <is>
          <t>kg/cm2</t>
        </is>
      </c>
      <c r="D7" s="2" t="n"/>
    </row>
    <row r="8">
      <c r="A8" s="61" t="inlineStr">
        <is>
          <t>Brazo elastico  z / h</t>
        </is>
      </c>
      <c r="B8" s="62" t="n">
        <v>0.9</v>
      </c>
      <c r="C8" s="11" t="inlineStr">
        <is>
          <t>-</t>
        </is>
      </c>
      <c r="D8" s="2" t="n"/>
    </row>
    <row r="9">
      <c r="A9" s="61" t="inlineStr">
        <is>
          <t>Peso especifico H.A.</t>
        </is>
      </c>
      <c r="B9" s="62" t="n">
        <v>2400</v>
      </c>
      <c r="C9" s="11" t="inlineStr">
        <is>
          <t>kg/m3</t>
        </is>
      </c>
      <c r="D9" s="2" t="n"/>
    </row>
    <row r="10">
      <c r="A10" s="61" t="inlineStr">
        <is>
          <t>Recubrimiento</t>
        </is>
      </c>
      <c r="B10" s="62" t="n">
        <v>1.5</v>
      </c>
      <c r="C10" s="11" t="inlineStr">
        <is>
          <t>cm</t>
        </is>
      </c>
      <c r="D10" s="2" t="n"/>
    </row>
    <row r="11">
      <c r="A11" s="61" t="inlineStr">
        <is>
          <t>Separacion maxima</t>
        </is>
      </c>
      <c r="B11" s="62" t="n">
        <v>20</v>
      </c>
      <c r="C11" s="11" t="inlineStr">
        <is>
          <t>cm</t>
        </is>
      </c>
      <c r="D11" s="2" t="n"/>
    </row>
    <row r="12">
      <c r="A12" s="61" t="inlineStr">
        <is>
          <t>Armadura de reparticion</t>
        </is>
      </c>
      <c r="B12" s="62" t="n">
        <v>0.2</v>
      </c>
      <c r="C12" s="11" t="inlineStr">
        <is>
          <t>de la principal</t>
        </is>
      </c>
      <c r="D12" s="2" t="n"/>
    </row>
    <row r="13">
      <c r="A13" s="61" t="inlineStr">
        <is>
          <t>Reparticion minima</t>
        </is>
      </c>
      <c r="B13" s="62" t="n">
        <v>0.3</v>
      </c>
      <c r="C13" s="11" t="inlineStr">
        <is>
          <t>cm2/m</t>
        </is>
      </c>
      <c r="D13" s="2" t="n"/>
    </row>
    <row r="14">
      <c r="A14" s="2" t="n"/>
      <c r="B14" s="2" t="n"/>
      <c r="C14" s="2" t="n"/>
      <c r="D14" s="2" t="n"/>
    </row>
    <row r="15">
      <c r="A15" s="59" t="inlineStr">
        <is>
          <t>CARGAS POR NIVEL</t>
        </is>
      </c>
      <c r="B15" s="3" t="inlineStr">
        <is>
          <t>terminaciones (kg/m2)</t>
        </is>
      </c>
      <c r="C15" s="3" t="inlineStr">
        <is>
          <t>q (kg/m2)</t>
        </is>
      </c>
      <c r="D15" s="3" t="inlineStr">
        <is>
          <t>composicion</t>
        </is>
      </c>
    </row>
    <row r="16">
      <c r="A16" s="63" t="inlineStr">
        <is>
          <t>S/PB</t>
        </is>
      </c>
      <c r="B16" s="62" t="n">
        <v>242</v>
      </c>
      <c r="C16" s="62" t="n">
        <v>200</v>
      </c>
      <c r="D16" s="49" t="inlineStr">
        <is>
          <t>Contrapiso 130 + carpeta 42 + piso 50 + cielorraso 20.  q vivienda 200</t>
        </is>
      </c>
    </row>
    <row r="17">
      <c r="A17" s="63" t="inlineStr">
        <is>
          <t>S/PA</t>
        </is>
      </c>
      <c r="B17" s="62" t="n">
        <v>252</v>
      </c>
      <c r="C17" s="62" t="n">
        <v>100</v>
      </c>
      <c r="D17" s="49" t="inlineStr">
        <is>
          <t>Contrapiso pendiente 140 + carpeta 42 + aislacion 50 + cielorraso 20.  q azotea 100</t>
        </is>
      </c>
    </row>
    <row r="18">
      <c r="A18" s="38" t="inlineStr">
        <is>
          <t>El peso propio se suma aparte: 2400 x d / 100</t>
        </is>
      </c>
      <c r="B18" s="2" t="n"/>
      <c r="C18" s="2" t="n"/>
      <c r="D18" s="2" t="n"/>
    </row>
    <row r="19">
      <c r="A19" s="2" t="n"/>
      <c r="B19" s="2" t="n"/>
      <c r="C19" s="2" t="n"/>
      <c r="D19" s="2" t="n"/>
    </row>
    <row r="20">
      <c r="A20" s="59" t="inlineStr">
        <is>
          <t>GRADO DE EMPOTRAMIENTO</t>
        </is>
      </c>
      <c r="B20" s="3" t="inlineStr">
        <is>
          <t>coef. M</t>
        </is>
      </c>
      <c r="C20" s="3" t="inlineStr">
        <is>
          <t>coef. R</t>
        </is>
      </c>
      <c r="D20" s="3" t="inlineStr">
        <is>
          <t>esquema</t>
        </is>
      </c>
    </row>
    <row r="21">
      <c r="A21" s="69" t="inlineStr">
        <is>
          <t>1/8</t>
        </is>
      </c>
      <c r="B21" s="67" t="n">
        <v>0.125</v>
      </c>
      <c r="C21" s="70" t="n">
        <v>0.5</v>
      </c>
      <c r="D21" s="71" t="inlineStr">
        <is>
          <t>Simplemente apoyada</t>
        </is>
      </c>
    </row>
    <row r="22">
      <c r="A22" s="69" t="inlineStr">
        <is>
          <t>1/10</t>
        </is>
      </c>
      <c r="B22" s="67" t="n">
        <v>0.1</v>
      </c>
      <c r="C22" s="70" t="n">
        <v>0.55</v>
      </c>
      <c r="D22" s="71" t="inlineStr">
        <is>
          <t>Continua</t>
        </is>
      </c>
    </row>
    <row r="23">
      <c r="A23" s="69" t="inlineStr">
        <is>
          <t>1/12</t>
        </is>
      </c>
      <c r="B23" s="67" t="n">
        <v>0.0833</v>
      </c>
      <c r="C23" s="70" t="n">
        <v>0.5</v>
      </c>
      <c r="D23" s="71" t="inlineStr">
        <is>
          <t>Biempotrada</t>
        </is>
      </c>
    </row>
    <row r="24">
      <c r="A24" s="69" t="inlineStr">
        <is>
          <t>1/14</t>
        </is>
      </c>
      <c r="B24" s="67" t="n">
        <v>0.07140000000000001</v>
      </c>
      <c r="C24" s="70" t="n">
        <v>0.575</v>
      </c>
      <c r="D24" s="71" t="inlineStr">
        <is>
          <t>Continua</t>
        </is>
      </c>
    </row>
    <row r="25">
      <c r="A25" s="69" t="inlineStr">
        <is>
          <t>1/2</t>
        </is>
      </c>
      <c r="B25" s="67" t="n">
        <v>0.5</v>
      </c>
      <c r="C25" s="70" t="n">
        <v>1</v>
      </c>
      <c r="D25" s="71" t="inlineStr">
        <is>
          <t>Voladizo</t>
        </is>
      </c>
    </row>
    <row r="26">
      <c r="A26" s="2" t="n"/>
      <c r="B26" s="2" t="n"/>
      <c r="C26" s="2" t="n"/>
      <c r="D26" s="2" t="n"/>
    </row>
    <row r="27">
      <c r="A27" s="38" t="inlineStr">
        <is>
          <t>p = peso propio + terminaciones + q   (cargas de servicio)</t>
        </is>
      </c>
      <c r="B27" s="2" t="n"/>
      <c r="C27" s="2" t="n"/>
      <c r="D27" s="2" t="n"/>
    </row>
    <row r="28">
      <c r="A28" s="38"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8" t="inlineStr">
        <is>
          <t>DATOS DE PARTIDA - COLUMNAS</t>
        </is>
      </c>
      <c r="B1" s="2" t="n"/>
      <c r="C1" s="2" t="n"/>
    </row>
    <row r="2">
      <c r="A2" s="2" t="n"/>
      <c r="B2" s="2" t="n"/>
      <c r="C2" s="2" t="n"/>
    </row>
    <row r="3">
      <c r="A3" s="59" t="inlineStr">
        <is>
          <t>MATERIALES Y CRITERIOS</t>
        </is>
      </c>
      <c r="B3" s="60" t="inlineStr">
        <is>
          <t>valor</t>
        </is>
      </c>
      <c r="C3" s="60" t="inlineStr">
        <is>
          <t>unidad</t>
        </is>
      </c>
    </row>
    <row r="4">
      <c r="A4" s="61" t="inlineStr">
        <is>
          <t>Hormigon H-21   f'c</t>
        </is>
      </c>
      <c r="B4" s="62" t="n">
        <v>210</v>
      </c>
      <c r="C4" s="11" t="inlineStr">
        <is>
          <t>kg/cm2</t>
        </is>
      </c>
    </row>
    <row r="5">
      <c r="A5" s="61" t="inlineStr">
        <is>
          <t>Acero 42/50   fy</t>
        </is>
      </c>
      <c r="B5" s="62" t="n">
        <v>4200</v>
      </c>
      <c r="C5" s="11" t="inlineStr">
        <is>
          <t>kg/cm2</t>
        </is>
      </c>
    </row>
    <row r="6">
      <c r="A6" s="61" t="inlineStr">
        <is>
          <t>Peso especifico H.A.</t>
        </is>
      </c>
      <c r="B6" s="62" t="n">
        <v>2400</v>
      </c>
      <c r="C6" s="11" t="inlineStr">
        <is>
          <t>kg/m3</t>
        </is>
      </c>
    </row>
    <row r="7">
      <c r="A7" s="61" t="inlineStr">
        <is>
          <t>phi compresion (estribos)</t>
        </is>
      </c>
      <c r="B7" s="62" t="n">
        <v>0.65</v>
      </c>
      <c r="C7" s="11" t="inlineStr">
        <is>
          <t>-</t>
        </is>
      </c>
    </row>
    <row r="8">
      <c r="A8" s="61" t="inlineStr">
        <is>
          <t>Cuantia minima</t>
        </is>
      </c>
      <c r="B8" s="62" t="n">
        <v>0.008</v>
      </c>
      <c r="C8" s="11" t="inlineStr">
        <is>
          <t>de la seccion</t>
        </is>
      </c>
    </row>
    <row r="9">
      <c r="A9" s="61" t="inlineStr">
        <is>
          <t>Altura PB</t>
        </is>
      </c>
      <c r="B9" s="62" t="n">
        <v>3.15</v>
      </c>
      <c r="C9" s="11" t="inlineStr">
        <is>
          <t>m</t>
        </is>
      </c>
    </row>
    <row r="10">
      <c r="A10" s="61" t="inlineStr">
        <is>
          <t>Altura PA</t>
        </is>
      </c>
      <c r="B10" s="62" t="n">
        <v>3.22</v>
      </c>
      <c r="C10" s="11" t="inlineStr">
        <is>
          <t>m</t>
        </is>
      </c>
    </row>
    <row r="11">
      <c r="A11" s="2" t="n"/>
      <c r="B11" s="2" t="n"/>
      <c r="C11" s="2" t="n"/>
    </row>
    <row r="12">
      <c r="A12" s="38" t="inlineStr">
        <is>
          <t>As = cuantia minima x area        phi Pn = 0,65 x 0,80 x [0,85 f'c (Ag - As) + fy As]</t>
        </is>
      </c>
      <c r="B12" s="2" t="n"/>
      <c r="C12" s="2" t="n"/>
    </row>
    <row r="13">
      <c r="A13" s="38"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8" t="inlineStr">
        <is>
          <t>DATOS DE PARTIDA - PILOTES</t>
        </is>
      </c>
      <c r="B1" s="2" t="n"/>
      <c r="C1" s="2" t="n"/>
      <c r="D1" s="2" t="n"/>
      <c r="E1" s="2" t="n"/>
      <c r="F1" s="2" t="n"/>
    </row>
    <row r="2">
      <c r="A2" s="2" t="n"/>
      <c r="B2" s="2" t="n"/>
      <c r="C2" s="2" t="n"/>
      <c r="D2" s="2" t="n"/>
      <c r="E2" s="2" t="n"/>
      <c r="F2" s="2" t="n"/>
    </row>
    <row r="3">
      <c r="A3" s="59" t="inlineStr">
        <is>
          <t>PARAMETRO</t>
        </is>
      </c>
      <c r="B3" s="60" t="inlineStr">
        <is>
          <t>valor</t>
        </is>
      </c>
      <c r="C3" s="60" t="inlineStr">
        <is>
          <t>unidad</t>
        </is>
      </c>
      <c r="D3" s="59" t="inlineStr">
        <is>
          <t>origen</t>
        </is>
      </c>
      <c r="E3" s="2" t="n"/>
      <c r="F3" s="2" t="n"/>
    </row>
    <row r="4">
      <c r="A4" s="61" t="inlineStr">
        <is>
          <t>Carga admisible por pilote</t>
        </is>
      </c>
      <c r="B4" s="62" t="n">
        <v>22</v>
      </c>
      <c r="C4" s="11" t="inlineStr">
        <is>
          <t>t</t>
        </is>
      </c>
      <c r="D4" s="66" t="inlineStr">
        <is>
          <t>ADOPTADA del propio diseno, NO verificada. Ver nota abajo. Cambiar aca cuando aparezca el estudio de suelos.</t>
        </is>
      </c>
      <c r="E4" s="2" t="n"/>
      <c r="F4" s="2" t="n"/>
    </row>
    <row r="5">
      <c r="A5" s="61" t="inlineStr">
        <is>
          <t>Tension admisible del terreno</t>
        </is>
      </c>
      <c r="B5" s="62" t="n">
        <v>2</v>
      </c>
      <c r="C5" s="11" t="inlineStr">
        <is>
          <t>kg/cm2</t>
        </is>
      </c>
      <c r="D5" s="66" t="inlineStr">
        <is>
          <t>Dato real, tomado del encabezado del calculo de bases.</t>
        </is>
      </c>
      <c r="E5" s="2" t="n"/>
      <c r="F5" s="2" t="n"/>
    </row>
    <row r="6">
      <c r="A6" s="61" t="inlineStr">
        <is>
          <t>Diametro del pilote</t>
        </is>
      </c>
      <c r="B6" s="62" t="n">
        <v>30</v>
      </c>
      <c r="C6" s="11" t="inlineStr">
        <is>
          <t>cm</t>
        </is>
      </c>
      <c r="D6" s="66" t="inlineStr">
        <is>
          <t>Nota del plano: todos los pilotes son O30.</t>
        </is>
      </c>
      <c r="E6" s="2" t="n"/>
      <c r="F6" s="2" t="n"/>
    </row>
    <row r="7">
      <c r="A7" s="61" t="inlineStr">
        <is>
          <t>Profundidad</t>
        </is>
      </c>
      <c r="B7" s="62" t="n">
        <v>-4.5</v>
      </c>
      <c r="C7" s="11" t="inlineStr">
        <is>
          <t>m</t>
        </is>
      </c>
      <c r="D7" s="66" t="inlineStr">
        <is>
          <t>Nota del plano: h = -4,50 m desde la cota +-0,00 de vereda.</t>
        </is>
      </c>
      <c r="E7" s="2" t="n"/>
      <c r="F7" s="2" t="n"/>
    </row>
    <row r="8">
      <c r="A8" s="61" t="inlineStr">
        <is>
          <t>Coef. de mayoracion adoptado</t>
        </is>
      </c>
      <c r="B8" s="62" t="n">
        <v>1.4</v>
      </c>
      <c r="C8" s="11" t="inlineStr">
        <is>
          <t>-</t>
        </is>
      </c>
      <c r="D8" s="66" t="inlineStr">
        <is>
          <t>Para pasar de carga mayorada a carga de servicio.</t>
        </is>
      </c>
      <c r="E8" s="2" t="n"/>
      <c r="F8" s="2" t="n"/>
    </row>
    <row r="9">
      <c r="A9" s="72" t="inlineStr">
        <is>
          <t>ARMADURA DEL PILOTE  (planilla del Ing. Caggiano, 23-03-22)</t>
        </is>
      </c>
      <c r="B9" s="2" t="n"/>
      <c r="C9" s="39" t="inlineStr">
        <is>
          <t>5 barras del 12 longitudinales, mas espiral o6 c/15 de 20 cm de diametro, 27 vueltas, longitud teorica 16,95 m. SIN BULBO.</t>
        </is>
      </c>
      <c r="D9" s="2" t="n"/>
      <c r="E9" s="2" t="n"/>
      <c r="F9" s="2" t="n"/>
    </row>
    <row r="10">
      <c r="A10" s="72" t="inlineStr">
        <is>
          <t>TIPOS DE PILOTE  (nota general del plano: CANTIDAD 33 PILOTES)</t>
        </is>
      </c>
      <c r="B10" s="2" t="n"/>
      <c r="C10" s="2" t="n"/>
      <c r="D10" s="2" t="n"/>
      <c r="E10" s="2" t="n"/>
      <c r="F10" s="2" t="n"/>
    </row>
    <row r="11">
      <c r="A11" s="60" t="inlineStr">
        <is>
          <t>tipo</t>
        </is>
      </c>
      <c r="B11" s="60" t="inlineStr">
        <is>
          <t>cantidad</t>
        </is>
      </c>
      <c r="C11" s="60" t="inlineStr">
        <is>
          <t>cota fundacion</t>
        </is>
      </c>
      <c r="D11" s="60" t="inlineStr">
        <is>
          <t>nivel llenado</t>
        </is>
      </c>
      <c r="E11" s="60" t="inlineStr">
        <is>
          <t>long. hormigon</t>
        </is>
      </c>
      <c r="F11" s="2" t="n"/>
    </row>
    <row r="12">
      <c r="A12" s="61" t="inlineStr">
        <is>
          <t>Pilote tipo "A"</t>
        </is>
      </c>
      <c r="B12" s="73" t="n">
        <v>8</v>
      </c>
      <c r="C12" s="73" t="n">
        <v>-4.5</v>
      </c>
      <c r="D12" s="73" t="n">
        <v>-0.4</v>
      </c>
      <c r="E12" s="73" t="n">
        <v>4.6</v>
      </c>
      <c r="F12" s="66" t="inlineStr">
        <is>
          <t>bajo cabezales de 70 cm (CBZ02 y CBZ03)</t>
        </is>
      </c>
    </row>
    <row r="13">
      <c r="A13" s="61" t="inlineStr">
        <is>
          <t>Pilote tipo "B"</t>
        </is>
      </c>
      <c r="B13" s="73" t="n">
        <v>5</v>
      </c>
      <c r="C13" s="73" t="n">
        <v>-4.5</v>
      </c>
      <c r="D13" s="73" t="n">
        <v>-0.35</v>
      </c>
      <c r="E13" s="73" t="n">
        <v>4.5</v>
      </c>
      <c r="F13" s="66" t="inlineStr">
        <is>
          <t>bajo cabezales de 65 cm (CBZ01)</t>
        </is>
      </c>
    </row>
    <row r="14">
      <c r="A14" s="61" t="inlineStr">
        <is>
          <t>Pilote tipo "C"</t>
        </is>
      </c>
      <c r="B14" s="73" t="n">
        <v>16</v>
      </c>
      <c r="C14" s="73" t="n">
        <v>-4.5</v>
      </c>
      <c r="D14" s="73" t="n">
        <v>-0.05</v>
      </c>
      <c r="E14" s="73" t="n">
        <v>4.35</v>
      </c>
      <c r="F14" s="66" t="inlineStr">
        <is>
          <t>bajo VF de 25x35 y 20x35</t>
        </is>
      </c>
    </row>
    <row r="15">
      <c r="A15" s="61" t="inlineStr">
        <is>
          <t>Pilote tipo "D"</t>
        </is>
      </c>
      <c r="B15" s="73" t="n">
        <v>4</v>
      </c>
      <c r="C15" s="73" t="n">
        <v>-4.5</v>
      </c>
      <c r="D15" s="73" t="n">
        <v>-0.1</v>
      </c>
      <c r="E15" s="73" t="n">
        <v>4.4</v>
      </c>
      <c r="F15" s="66" t="inlineStr">
        <is>
          <t>bajo VF de 25x40</t>
        </is>
      </c>
    </row>
    <row r="16">
      <c r="A16" s="2" t="n"/>
      <c r="B16" s="2" t="n"/>
      <c r="C16" s="2" t="n"/>
      <c r="D16" s="2" t="n"/>
      <c r="E16" s="2" t="n"/>
      <c r="F16" s="2" t="n"/>
    </row>
    <row r="17">
      <c r="A17" s="39" t="inlineStr">
        <is>
          <t>Los cuatro tipos se funden a -4,50 m; se diferencian en el nivel de llenado de hormigon, o sea en la longitud real del fuste.</t>
        </is>
      </c>
      <c r="B17" s="2" t="n"/>
      <c r="C17" s="2" t="n"/>
      <c r="D17" s="2" t="n"/>
      <c r="E17" s="2" t="n"/>
      <c r="F17" s="2" t="n"/>
    </row>
    <row r="18">
      <c r="A18" s="38"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2" t="inlineStr">
        <is>
          <t>COMO SE ESTIMO LA CARGA ADMISIBLE</t>
        </is>
      </c>
      <c r="B20" s="2" t="n"/>
      <c r="C20" s="2" t="n"/>
      <c r="D20" s="2" t="n"/>
      <c r="E20" s="2" t="n"/>
      <c r="F20" s="2" t="n"/>
    </row>
    <row r="21">
      <c r="A21" s="39" t="inlineStr">
        <is>
          <t>Pilote O30: area de punta 0,0707 m2. Punta  0,0707 x 20 t/m2 = 1,4 t.</t>
        </is>
      </c>
      <c r="B21" s="2" t="n"/>
      <c r="C21" s="2" t="n"/>
      <c r="D21" s="2" t="n"/>
      <c r="E21" s="2" t="n"/>
      <c r="F21" s="2" t="n"/>
    </row>
    <row r="22">
      <c r="A22" s="39" t="inlineStr">
        <is>
          <t>Area lateral segun el tipo: 3,86 m2 el A, 3,91 el B, 4,19 el C y 4,15 el D.</t>
        </is>
      </c>
      <c r="B22" s="2" t="n"/>
      <c r="C22" s="2" t="n"/>
      <c r="D22" s="2" t="n"/>
      <c r="E22" s="2" t="n"/>
      <c r="F22" s="2" t="n"/>
    </row>
    <row r="23">
      <c r="A23" s="39" t="inlineStr">
        <is>
          <t>Con una adherencia de 2,5 t/m2 la capacidad va de 11,1 t el tipo A a 11,9 t el C:</t>
        </is>
      </c>
      <c r="B23" s="2" t="n"/>
      <c r="C23" s="2" t="n"/>
      <c r="D23" s="2" t="n"/>
      <c r="E23" s="2" t="n"/>
      <c r="F23" s="2" t="n"/>
    </row>
    <row r="24">
      <c r="A24" s="39" t="inlineStr">
        <is>
          <t>la diferencia entre tipos es menor al 8 por ciento, por eso se usa un unico valor</t>
        </is>
      </c>
      <c r="B24" s="2" t="n"/>
      <c r="C24" s="2" t="n"/>
      <c r="D24" s="2" t="n"/>
      <c r="E24" s="2" t="n"/>
      <c r="F24" s="2" t="n"/>
    </row>
    <row r="25">
      <c r="A25" s="39" t="inlineStr">
        <is>
          <t>para todos en lugar de uno por tipo.</t>
        </is>
      </c>
      <c r="B25" s="2" t="n"/>
      <c r="C25" s="2" t="n"/>
      <c r="D25" s="2" t="n"/>
      <c r="E25" s="2" t="n"/>
      <c r="F25" s="2" t="n"/>
    </row>
    <row r="26">
      <c r="A26" s="39" t="inlineStr"/>
      <c r="B26" s="2" t="n"/>
      <c r="C26" s="2" t="n"/>
      <c r="D26" s="2" t="n"/>
      <c r="E26" s="2" t="n"/>
      <c r="F26" s="2" t="n"/>
    </row>
    <row r="27">
      <c r="A27" s="39" t="inlineStr">
        <is>
          <t>DE DONDE SALEN LOS 22 t QUE SE ADOPTAN, Y QUE VALOR TIENEN:</t>
        </is>
      </c>
      <c r="B27" s="2" t="n"/>
      <c r="C27" s="2" t="n"/>
      <c r="D27" s="2" t="n"/>
      <c r="E27" s="2" t="n"/>
      <c r="F27" s="2" t="n"/>
    </row>
    <row r="28">
      <c r="A28" s="39" t="inlineStr">
        <is>
          <t>El calculista puso UN solo pilote bajo la columna mas cargada, que baja 21,04 t</t>
        </is>
      </c>
      <c r="B28" s="2" t="n"/>
      <c r="C28" s="2" t="n"/>
      <c r="D28" s="2" t="n"/>
      <c r="E28" s="2" t="n"/>
      <c r="F28" s="2" t="n"/>
    </row>
    <row r="29">
      <c r="A29" s="39" t="inlineStr">
        <is>
          <t>de servicio. Si dimensiono asi, es porque para el ese pilote admite al menos eso.</t>
        </is>
      </c>
      <c r="B29" s="2" t="n"/>
      <c r="C29" s="2" t="n"/>
      <c r="D29" s="2" t="n"/>
      <c r="E29" s="2" t="n"/>
      <c r="F29" s="2" t="n"/>
    </row>
    <row r="30">
      <c r="A30" s="39" t="inlineStr">
        <is>
          <t>Se adopta 22 t, el redondeo por encima de esa solicitacion.</t>
        </is>
      </c>
      <c r="B30" s="2" t="n"/>
      <c r="C30" s="2" t="n"/>
      <c r="D30" s="2" t="n"/>
      <c r="E30" s="2" t="n"/>
      <c r="F30" s="2" t="n"/>
    </row>
    <row r="31">
      <c r="A31" s="39" t="inlineStr"/>
      <c r="B31" s="2" t="n"/>
      <c r="C31" s="2" t="n"/>
      <c r="D31" s="2" t="n"/>
      <c r="E31" s="2" t="n"/>
      <c r="F31" s="2" t="n"/>
    </row>
    <row r="32">
      <c r="A32" s="39" t="inlineStr">
        <is>
          <t>ESTO NO ES UNA VERIFICACION. Es leer la hipotesis implicita del proyectista y</t>
        </is>
      </c>
      <c r="B32" s="2" t="n"/>
      <c r="C32" s="2" t="n"/>
      <c r="D32" s="2" t="n"/>
      <c r="E32" s="2" t="n"/>
      <c r="F32" s="2" t="n"/>
    </row>
    <row r="33">
      <c r="A33" s="39" t="inlineStr">
        <is>
          <t>adoptarla: por construccion, todos los cabezales dan verde. Sirve para completar</t>
        </is>
      </c>
      <c r="B33" s="2" t="n"/>
      <c r="C33" s="2" t="n"/>
      <c r="D33" s="2" t="n"/>
      <c r="E33" s="2" t="n"/>
      <c r="F33" s="2" t="n"/>
    </row>
    <row r="34">
      <c r="A34" s="39" t="inlineStr">
        <is>
          <t>la planilla y para dejar escrito cuanto tiene que resistir el pilote, no para</t>
        </is>
      </c>
      <c r="B34" s="2" t="n"/>
      <c r="C34" s="2" t="n"/>
      <c r="D34" s="2" t="n"/>
      <c r="E34" s="2" t="n"/>
      <c r="F34" s="2" t="n"/>
    </row>
    <row r="35">
      <c r="A35" s="39" t="inlineStr">
        <is>
          <t>afirmar que resiste. La verificacion real necesita el estudio de suelos.</t>
        </is>
      </c>
      <c r="B35" s="2" t="n"/>
      <c r="C35" s="2" t="n"/>
      <c r="D35" s="2" t="n"/>
      <c r="E35" s="2" t="n"/>
      <c r="F35" s="2" t="n"/>
    </row>
    <row r="36">
      <c r="A36" s="39" t="inlineStr"/>
      <c r="B36" s="2" t="n"/>
      <c r="C36" s="2" t="n"/>
      <c r="D36" s="2" t="n"/>
      <c r="E36" s="2" t="n"/>
      <c r="F36" s="2" t="n"/>
    </row>
    <row r="37">
      <c r="A37" s="39" t="inlineStr">
        <is>
          <t>CONTRASTE: para llegar a 21 t con un O30 de 4,50 m hace falta una adherencia</t>
        </is>
      </c>
      <c r="B37" s="2" t="n"/>
      <c r="C37" s="2" t="n"/>
      <c r="D37" s="2" t="n"/>
      <c r="E37" s="2" t="n"/>
      <c r="F37" s="2" t="n"/>
    </row>
    <row r="38">
      <c r="A38" s="39" t="inlineStr">
        <is>
          <t>lateral de 4,5 a 4,8 t/m2. En los limos loessicos de la region de Rosario y Funes</t>
        </is>
      </c>
      <c r="B38" s="2" t="n"/>
      <c r="C38" s="2" t="n"/>
      <c r="D38" s="2" t="n"/>
      <c r="E38" s="2" t="n"/>
      <c r="F38" s="2" t="n"/>
    </row>
    <row r="39">
      <c r="A39" s="39" t="inlineStr">
        <is>
          <t>los valores habituales van de 2 a 3 t/m2, que darian entre 10 y 14 t. O el estudio</t>
        </is>
      </c>
      <c r="B39" s="2" t="n"/>
      <c r="C39" s="2" t="n"/>
      <c r="D39" s="2" t="n"/>
      <c r="E39" s="2" t="n"/>
      <c r="F39" s="2" t="n"/>
    </row>
    <row r="40">
      <c r="A40" s="39" t="inlineStr">
        <is>
          <t>dio un suelo mejor del tipico, o las cargas adoptadas en esta planilla estan altas,</t>
        </is>
      </c>
      <c r="B40" s="2" t="n"/>
      <c r="C40" s="2" t="n"/>
      <c r="D40" s="2" t="n"/>
      <c r="E40" s="2" t="n"/>
      <c r="F40" s="2" t="n"/>
    </row>
    <row r="41">
      <c r="A41" s="39" t="inlineStr">
        <is>
          <t>o el pilote esta ajustado. Es un punto a plantear en el trabajo.</t>
        </is>
      </c>
      <c r="B41" s="2" t="n"/>
      <c r="C41" s="2" t="n"/>
      <c r="D41" s="2" t="n"/>
      <c r="E41" s="2" t="n"/>
      <c r="F41" s="2" t="n"/>
    </row>
    <row r="42">
      <c r="A42" s="39" t="inlineStr"/>
      <c r="B42" s="2" t="n"/>
      <c r="C42" s="2" t="n"/>
      <c r="D42" s="2" t="n"/>
      <c r="E42" s="2" t="n"/>
      <c r="F42" s="2" t="n"/>
    </row>
    <row r="43">
      <c r="A43" s="39" t="inlineStr">
        <is>
          <t>Capacidad ESTRUCTURAL del pilote: con 5d12 (5,65 cm2) en 707 cm2, cuantia 0,8%,</t>
        </is>
      </c>
      <c r="B43" s="2" t="n"/>
      <c r="C43" s="2" t="n"/>
      <c r="D43" s="2" t="n"/>
      <c r="E43" s="2" t="n"/>
      <c r="F43" s="2" t="n"/>
    </row>
    <row r="44">
      <c r="A44" s="39" t="inlineStr">
        <is>
          <t>fi Pn = 77,4 t. La seccion de hormigon no es el limite: manda el suelo.</t>
        </is>
      </c>
      <c r="B44" s="2" t="n"/>
      <c r="C44" s="2" t="n"/>
      <c r="D44" s="2" t="n"/>
      <c r="E44" s="2" t="n"/>
      <c r="F44" s="2" t="n"/>
    </row>
    <row r="45">
      <c r="A45" s="39" t="inlineStr"/>
      <c r="B45" s="2" t="n"/>
      <c r="C45" s="2" t="n"/>
      <c r="D45" s="2" t="n"/>
      <c r="E45" s="2" t="n"/>
      <c r="F45" s="2" t="n"/>
    </row>
    <row r="46">
      <c r="A46" s="39" t="inlineStr">
        <is>
          <t>FALTA todavia la capacidad geotecnica. Las planillas de armadura de pilotes no</t>
        </is>
      </c>
      <c r="B46" s="2" t="n"/>
      <c r="C46" s="2" t="n"/>
      <c r="D46" s="2" t="n"/>
      <c r="E46" s="2" t="n"/>
      <c r="F46" s="2" t="n"/>
    </row>
    <row r="47">
      <c r="A47" s="39" t="inlineStr">
        <is>
          <t>la traen: son planillas de doblado de hierro. Ese dato esta en el estudio de suelos.</t>
        </is>
      </c>
      <c r="B47" s="2" t="n"/>
      <c r="C47" s="2" t="n"/>
      <c r="D47" s="2" t="n"/>
      <c r="E47" s="2" t="n"/>
      <c r="F47" s="2" t="n"/>
    </row>
    <row r="48">
      <c r="A48" s="39" t="inlineStr"/>
      <c r="B48" s="2" t="n"/>
      <c r="C48" s="2" t="n"/>
      <c r="D48" s="2" t="n"/>
      <c r="E48" s="2" t="n"/>
      <c r="F48" s="2" t="n"/>
    </row>
    <row r="49">
      <c r="A49" s="39" t="inlineStr">
        <is>
          <t>La tension de 2 kg/cm2 que trae el calculo de bases es la del estrato</t>
        </is>
      </c>
      <c r="B49" s="2" t="n"/>
      <c r="C49" s="2" t="n"/>
      <c r="D49" s="2" t="n"/>
      <c r="E49" s="2" t="n"/>
      <c r="F49" s="2" t="n"/>
    </row>
    <row r="50">
      <c r="A50" s="39" t="inlineStr">
        <is>
          <t>superficial, donde apoyaban las bases. Los pilotes llegan a -4,50 m y</t>
        </is>
      </c>
      <c r="B50" s="2" t="n"/>
      <c r="C50" s="2" t="n"/>
      <c r="D50" s="2" t="n"/>
      <c r="E50" s="2" t="n"/>
      <c r="F50" s="2" t="n"/>
    </row>
    <row r="51">
      <c r="A51" s="39"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8" t="inlineStr">
        <is>
          <t>DATOS DE PARTIDA - PLANILLA 3 HIGROTERMICA</t>
        </is>
      </c>
      <c r="B1" s="2" t="n"/>
      <c r="C1" s="2" t="n"/>
      <c r="D1" s="2" t="n"/>
    </row>
    <row r="2">
      <c r="A2" s="2" t="n"/>
      <c r="B2" s="2" t="n"/>
      <c r="C2" s="2" t="n"/>
      <c r="D2" s="2" t="n"/>
    </row>
    <row r="3">
      <c r="A3" s="59" t="inlineStr">
        <is>
          <t>PARAMETRO</t>
        </is>
      </c>
      <c r="B3" s="60" t="inlineStr">
        <is>
          <t>valor</t>
        </is>
      </c>
      <c r="C3" s="60" t="inlineStr">
        <is>
          <t>unidad</t>
        </is>
      </c>
      <c r="D3" s="59" t="inlineStr">
        <is>
          <t>origen</t>
        </is>
      </c>
    </row>
    <row r="4">
      <c r="A4" s="61" t="inlineStr">
        <is>
          <t>Transmitancia maxima admitida</t>
        </is>
      </c>
      <c r="B4" s="62" t="n">
        <v>2.9</v>
      </c>
      <c r="C4" s="11" t="inlineStr">
        <is>
          <t>W/m2K</t>
        </is>
      </c>
      <c r="D4" s="66" t="inlineStr">
        <is>
          <t>Es el valor que usa la planilla de la catedra en todas las filas.</t>
        </is>
      </c>
    </row>
    <row r="5">
      <c r="A5" s="61" t="inlineStr">
        <is>
          <t>K maximo si los vanos superan el 60% de la fachada</t>
        </is>
      </c>
      <c r="B5" s="73" t="n">
        <v>1.8</v>
      </c>
      <c r="C5" s="11" t="inlineStr">
        <is>
          <t>W/m2K</t>
        </is>
      </c>
      <c r="D5" s="66"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c r="A8" s="72" t="inlineStr">
        <is>
          <t>TIPOS DE VIDRIO</t>
        </is>
      </c>
      <c r="B8" s="2" t="n"/>
      <c r="C8" s="2" t="n"/>
      <c r="D8" s="2" t="n"/>
    </row>
    <row r="9">
      <c r="A9" s="59" t="inlineStr">
        <is>
          <t>descripcion</t>
        </is>
      </c>
      <c r="B9" s="60" t="inlineStr">
        <is>
          <t>K orientativo</t>
        </is>
      </c>
      <c r="C9" s="2" t="n"/>
      <c r="D9" s="2" t="n"/>
    </row>
    <row r="10">
      <c r="A10" s="61" t="inlineStr">
        <is>
          <t>DVH 6+9+3+3 (el de obra, aluminio linea A30)</t>
        </is>
      </c>
      <c r="B10" s="73" t="n">
        <v>2.8</v>
      </c>
      <c r="C10" s="2" t="n"/>
      <c r="D10" s="2" t="n"/>
    </row>
    <row r="11">
      <c r="A11" s="61" t="inlineStr">
        <is>
          <t>Simple incoloro 3 mm</t>
        </is>
      </c>
      <c r="B11" s="73" t="n">
        <v>5.8</v>
      </c>
      <c r="C11" s="2" t="n"/>
      <c r="D11" s="2" t="n"/>
    </row>
    <row r="12">
      <c r="A12" s="61" t="inlineStr">
        <is>
          <t>Simple incoloro 6 mm</t>
        </is>
      </c>
      <c r="B12" s="73" t="n">
        <v>5.7</v>
      </c>
      <c r="C12" s="2" t="n"/>
      <c r="D12" s="2" t="n"/>
    </row>
    <row r="13">
      <c r="A13" s="61" t="inlineStr">
        <is>
          <t>DVH Incoloro ext; incoloro interior (3+12+3 mm)</t>
        </is>
      </c>
      <c r="B13" s="73" t="n">
        <v>2.8</v>
      </c>
      <c r="C13" s="2" t="n"/>
      <c r="D13" s="2" t="n"/>
    </row>
    <row r="14">
      <c r="A14" s="61" t="inlineStr">
        <is>
          <t>DVH Incoloro ext; incoloro interior (4+12+4 mm)</t>
        </is>
      </c>
      <c r="B14" s="73" t="n">
        <v>2.75</v>
      </c>
      <c r="C14" s="2" t="n"/>
      <c r="D14" s="2" t="n"/>
    </row>
    <row r="15">
      <c r="A15" s="61" t="inlineStr">
        <is>
          <t>DVH con lamina de baja emisividad (3+12+3 mm)</t>
        </is>
      </c>
      <c r="B15" s="73" t="n">
        <v>1.8</v>
      </c>
      <c r="C15" s="2" t="n"/>
      <c r="D15" s="2" t="n"/>
    </row>
    <row r="16">
      <c r="A16" s="61" t="inlineStr">
        <is>
          <t>DVH con camara de argon (4+16+4 mm)</t>
        </is>
      </c>
      <c r="B16" s="73" t="n">
        <v>1.6</v>
      </c>
      <c r="C16" s="2" t="n"/>
      <c r="D16" s="2" t="n"/>
    </row>
    <row r="17">
      <c r="A17" s="61" t="inlineStr">
        <is>
          <t>Vidrio laminado 3+3 mm</t>
        </is>
      </c>
      <c r="B17" s="73" t="n">
        <v>5.6</v>
      </c>
      <c r="C17" s="2" t="n"/>
      <c r="D17" s="2" t="n"/>
    </row>
    <row r="18">
      <c r="A18" s="2" t="n"/>
      <c r="B18" s="2" t="n"/>
      <c r="C18" s="2" t="n"/>
      <c r="D18" s="2" t="n"/>
    </row>
    <row r="19">
      <c r="A19" s="72" t="inlineStr">
        <is>
          <t>TIPOS DE PROTECCION</t>
        </is>
      </c>
      <c r="B19" s="2" t="n"/>
      <c r="C19" s="2" t="n"/>
      <c r="D19" s="2" t="n"/>
    </row>
    <row r="20">
      <c r="A20" s="59" t="inlineStr">
        <is>
          <t>descripcion</t>
        </is>
      </c>
      <c r="B20" s="60" t="inlineStr">
        <is>
          <t>FES orientativo</t>
        </is>
      </c>
      <c r="C20" s="2" t="n"/>
      <c r="D20" s="2" t="n"/>
    </row>
    <row r="21">
      <c r="A21" s="61" t="inlineStr">
        <is>
          <t>Sin Proteccion</t>
        </is>
      </c>
      <c r="B21" s="73" t="n">
        <v>0.88</v>
      </c>
      <c r="C21" s="2" t="n"/>
      <c r="D21" s="2" t="n"/>
    </row>
    <row r="22">
      <c r="A22" s="61" t="inlineStr">
        <is>
          <t>Parasol horizontal fijo 1:2</t>
        </is>
      </c>
      <c r="B22" s="73" t="n">
        <v>0.35</v>
      </c>
      <c r="C22" s="2" t="n"/>
      <c r="D22" s="2" t="n"/>
    </row>
    <row r="23">
      <c r="A23" s="61" t="inlineStr">
        <is>
          <t>Parasol horizontal fijo 1:1</t>
        </is>
      </c>
      <c r="B23" s="73" t="n">
        <v>0.5</v>
      </c>
      <c r="C23" s="2" t="n"/>
      <c r="D23" s="2" t="n"/>
    </row>
    <row r="24">
      <c r="A24" s="61" t="inlineStr">
        <is>
          <t>Alero</t>
        </is>
      </c>
      <c r="B24" s="73" t="n">
        <v>0.6</v>
      </c>
      <c r="C24" s="2" t="n"/>
      <c r="D24" s="2" t="n"/>
    </row>
    <row r="25">
      <c r="A25" s="61" t="inlineStr">
        <is>
          <t>Cortina de enrollar exterior</t>
        </is>
      </c>
      <c r="B25" s="73" t="n">
        <v>0.25</v>
      </c>
      <c r="C25" s="2" t="n"/>
      <c r="D25" s="2" t="n"/>
    </row>
    <row r="26">
      <c r="A26" s="61" t="inlineStr">
        <is>
          <t>Persiana de madera</t>
        </is>
      </c>
      <c r="B26" s="73" t="n">
        <v>0.3</v>
      </c>
      <c r="C26" s="2" t="n"/>
      <c r="D26" s="2" t="n"/>
    </row>
    <row r="27">
      <c r="A27" s="61" t="inlineStr">
        <is>
          <t>Toldo</t>
        </is>
      </c>
      <c r="B27" s="73" t="n">
        <v>0.2</v>
      </c>
      <c r="C27" s="2" t="n"/>
      <c r="D27" s="2" t="n"/>
    </row>
    <row r="28">
      <c r="A28" s="2" t="n"/>
      <c r="B28" s="2" t="n"/>
      <c r="C28" s="2" t="n"/>
      <c r="D28" s="2" t="n"/>
    </row>
    <row r="29">
      <c r="A29" s="72" t="inlineStr">
        <is>
          <t>SUPERFICIE VIDRIADA POR LOCAL  (de la planilla de iluminacion y ventilacion)</t>
        </is>
      </c>
      <c r="B29" s="2" t="n"/>
      <c r="C29" s="2" t="n"/>
      <c r="D29" s="2" t="n"/>
    </row>
    <row r="30">
      <c r="A30" s="59" t="inlineStr">
        <is>
          <t>local</t>
        </is>
      </c>
      <c r="B30" s="60" t="inlineStr">
        <is>
          <t>ilum. (m2)</t>
        </is>
      </c>
      <c r="C30" s="60" t="inlineStr">
        <is>
          <t>vent. (m2)</t>
        </is>
      </c>
      <c r="D30" s="2" t="n"/>
    </row>
    <row r="31">
      <c r="A31" s="61" t="inlineStr">
        <is>
          <t>01 - Cocina / comedor</t>
        </is>
      </c>
      <c r="B31" s="73" t="n">
        <v>16.95</v>
      </c>
      <c r="C31" s="73" t="n">
        <v>8.48</v>
      </c>
      <c r="D31" s="2" t="n"/>
    </row>
    <row r="32">
      <c r="A32" s="61" t="inlineStr">
        <is>
          <t>03 - Lavadero</t>
        </is>
      </c>
      <c r="B32" s="73" t="n">
        <v>10.5</v>
      </c>
      <c r="C32" s="73" t="n">
        <v>1.6</v>
      </c>
      <c r="D32" s="2" t="n"/>
    </row>
    <row r="33">
      <c r="A33" s="61" t="inlineStr">
        <is>
          <t>06 - Living / comedor</t>
        </is>
      </c>
      <c r="B33" s="73" t="n">
        <v>34.05</v>
      </c>
      <c r="C33" s="73" t="n">
        <v>15</v>
      </c>
      <c r="D33" s="2" t="n"/>
    </row>
    <row r="34">
      <c r="A34" s="61" t="inlineStr">
        <is>
          <t>07 - Hall / ingreso</t>
        </is>
      </c>
      <c r="B34" s="73" t="n">
        <v>10.5</v>
      </c>
      <c r="C34" s="73" t="n">
        <v>1.6</v>
      </c>
      <c r="D34" s="2" t="n"/>
    </row>
    <row r="35">
      <c r="A35" s="61" t="inlineStr">
        <is>
          <t>09 - Dormitorio suite</t>
        </is>
      </c>
      <c r="B35" s="73" t="n">
        <v>6</v>
      </c>
      <c r="C35" s="73" t="n">
        <v>3</v>
      </c>
      <c r="D35" s="2" t="n"/>
    </row>
    <row r="36">
      <c r="A36" s="61" t="inlineStr">
        <is>
          <t>13 - Dormitorio 1</t>
        </is>
      </c>
      <c r="B36" s="73" t="n">
        <v>8.75</v>
      </c>
      <c r="C36" s="73" t="n">
        <v>4.38</v>
      </c>
      <c r="D36" s="2" t="n"/>
    </row>
    <row r="37">
      <c r="A37" s="61" t="inlineStr">
        <is>
          <t>14 - Estar / Playroom</t>
        </is>
      </c>
      <c r="B37" s="73" t="n">
        <v>5</v>
      </c>
      <c r="C37" s="73" t="n">
        <v>5</v>
      </c>
      <c r="D37" s="2" t="n"/>
    </row>
    <row r="38">
      <c r="A38" s="61" t="inlineStr">
        <is>
          <t>15 - Dormitorio 2</t>
        </is>
      </c>
      <c r="B38" s="73" t="n">
        <v>3.75</v>
      </c>
      <c r="C38" s="73" t="n">
        <v>1.88</v>
      </c>
      <c r="D38" s="2" t="n"/>
    </row>
    <row r="39">
      <c r="A39" s="61" t="inlineStr">
        <is>
          <t>17 - Bano</t>
        </is>
      </c>
      <c r="B39" s="73" t="n">
        <v>1.875</v>
      </c>
      <c r="C39" s="73" t="n">
        <v>0.9399999999999999</v>
      </c>
      <c r="D39" s="2" t="n"/>
    </row>
    <row r="40">
      <c r="A40" s="63" t="inlineStr">
        <is>
          <t>TOTAL</t>
        </is>
      </c>
      <c r="B40" s="69" t="n">
        <v>97.38</v>
      </c>
      <c r="C40" s="2" t="n"/>
      <c r="D40" s="2" t="n"/>
    </row>
    <row r="41">
      <c r="A41" s="2" t="n"/>
      <c r="B41" s="2" t="n"/>
      <c r="C41" s="2" t="n"/>
      <c r="D41" s="2" t="n"/>
    </row>
    <row r="42">
      <c r="A42" s="38" t="inlineStr">
        <is>
          <t>La suma da 97.38 m2 de superficie vidriada. El total de vanos de los cuatro planos de la Planilla 3 deberia dar ese orden: sirve de control.</t>
        </is>
      </c>
      <c r="B42" s="2" t="n"/>
      <c r="C42" s="2" t="n"/>
      <c r="D42" s="2" t="n"/>
    </row>
    <row r="43">
      <c r="A43" s="2" t="n"/>
      <c r="B43" s="2" t="n"/>
      <c r="C43" s="2" t="n"/>
      <c r="D43" s="2" t="n"/>
    </row>
    <row r="44">
      <c r="A44" s="72" t="inlineStr">
        <is>
          <t>FACTOR DE EXPOSICION SOLAR MAXIMO ADMITIDO  (Ordenanza 8757/11)</t>
        </is>
      </c>
      <c r="B44" s="2" t="n"/>
      <c r="C44" s="2" t="n"/>
      <c r="D44" s="2" t="n"/>
    </row>
    <row r="45">
      <c r="A45" s="59" t="inlineStr">
        <is>
          <t>orientacion</t>
        </is>
      </c>
      <c r="B45" s="60" t="inlineStr">
        <is>
          <t>FES max</t>
        </is>
      </c>
      <c r="C45" s="60" t="inlineStr">
        <is>
          <t>cuadrante</t>
        </is>
      </c>
      <c r="D45" s="59" t="inlineStr">
        <is>
          <t>observacion</t>
        </is>
      </c>
    </row>
    <row r="46">
      <c r="A46" s="61" t="inlineStr">
        <is>
          <t>Norte</t>
        </is>
      </c>
      <c r="B46" s="73" t="n">
        <v>0.45</v>
      </c>
      <c r="C46" s="74" t="inlineStr">
        <is>
          <t>341 a 20 grados</t>
        </is>
      </c>
      <c r="D46" s="66" t="inlineStr">
        <is>
          <t>Cuadrante Norte (NNE-NNO).</t>
        </is>
      </c>
    </row>
    <row r="47">
      <c r="A47" s="61" t="inlineStr">
        <is>
          <t>Este</t>
        </is>
      </c>
      <c r="B47" s="73" t="n">
        <v>0.3</v>
      </c>
      <c r="C47" s="74" t="inlineStr">
        <is>
          <t>21 a 160 grados</t>
        </is>
      </c>
      <c r="D47" s="66" t="inlineStr">
        <is>
          <t>Modificado a 0,39 por decreto de 2021. Verificar vigencia.</t>
        </is>
      </c>
    </row>
    <row r="48">
      <c r="A48" s="61" t="inlineStr">
        <is>
          <t>Oeste</t>
        </is>
      </c>
      <c r="B48" s="73" t="n">
        <v>0.3</v>
      </c>
      <c r="C48" s="74" t="inlineStr">
        <is>
          <t>201 a 340 grados</t>
        </is>
      </c>
      <c r="D48" s="66" t="inlineStr">
        <is>
          <t>Modificado a 0,39 por decreto de 2021. Verificar vigencia.</t>
        </is>
      </c>
    </row>
    <row r="49">
      <c r="A49" s="61" t="inlineStr">
        <is>
          <t>Sur</t>
        </is>
      </c>
      <c r="B49" s="73" t="n">
        <v>0.9</v>
      </c>
      <c r="C49" s="74" t="inlineStr">
        <is>
          <t>161 a 200 grados</t>
        </is>
      </c>
      <c r="D49" s="66" t="inlineStr">
        <is>
          <t>Cuadrante Sur (SSE-SSO).</t>
        </is>
      </c>
    </row>
    <row r="50">
      <c r="A50" s="61" t="inlineStr">
        <is>
          <t>Noreste</t>
        </is>
      </c>
      <c r="B50" s="73" t="n">
        <v>0.3</v>
      </c>
      <c r="C50" s="74" t="inlineStr">
        <is>
          <t>cae en cuadrante Este</t>
        </is>
      </c>
      <c r="D50" s="66" t="inlineStr">
        <is>
          <t>45 grados: entra en el cuadrante Este (21 a 160).</t>
        </is>
      </c>
    </row>
    <row r="51">
      <c r="A51" s="61" t="inlineStr">
        <is>
          <t>Sudeste</t>
        </is>
      </c>
      <c r="B51" s="73" t="n">
        <v>0.3</v>
      </c>
      <c r="C51" s="74" t="inlineStr">
        <is>
          <t>cae en cuadrante Este</t>
        </is>
      </c>
      <c r="D51" s="66" t="inlineStr">
        <is>
          <t>135 grados: entra en el cuadrante Este (21 a 160).</t>
        </is>
      </c>
    </row>
    <row r="52">
      <c r="A52" s="61" t="inlineStr">
        <is>
          <t>Sudoeste</t>
        </is>
      </c>
      <c r="B52" s="73" t="n">
        <v>0.3</v>
      </c>
      <c r="C52" s="74" t="inlineStr">
        <is>
          <t>cae en cuadrante Oeste</t>
        </is>
      </c>
      <c r="D52" s="66" t="inlineStr">
        <is>
          <t>225 grados: entra en el cuadrante Oeste (201 a 340).</t>
        </is>
      </c>
    </row>
    <row r="53">
      <c r="A53" s="61" t="inlineStr">
        <is>
          <t>Noroeste</t>
        </is>
      </c>
      <c r="B53" s="73" t="n">
        <v>0.3</v>
      </c>
      <c r="C53" s="74" t="inlineStr">
        <is>
          <t>cae en cuadrante Oeste</t>
        </is>
      </c>
      <c r="D53" s="66" t="inlineStr">
        <is>
          <t>315 grados: entra en el cuadrante Oeste (201 a 340).</t>
        </is>
      </c>
    </row>
    <row r="54">
      <c r="A54" s="61" t="inlineStr">
        <is>
          <t>Horizontal</t>
        </is>
      </c>
      <c r="B54" s="73" t="n">
        <v>0.25</v>
      </c>
      <c r="C54" s="74" t="inlineStr">
        <is>
          <t>lucernarios</t>
        </is>
      </c>
      <c r="D54" s="66" t="inlineStr">
        <is>
          <t>Planos inclinados con angulo menor a 60 grados.</t>
        </is>
      </c>
    </row>
    <row r="55">
      <c r="A55" s="2" t="n"/>
      <c r="B55" s="2" t="n"/>
      <c r="C55" s="2" t="n"/>
      <c r="D55" s="2" t="n"/>
    </row>
    <row r="56">
      <c r="A56" s="38" t="inlineStr">
        <is>
          <t>La casa esta girada 45 grados respecto del norte, asi que NINGUNA de sus cuatro fachadas</t>
        </is>
      </c>
      <c r="B56" s="2" t="n"/>
      <c r="C56" s="2" t="n"/>
      <c r="D56" s="2" t="n"/>
    </row>
    <row r="57">
      <c r="A57" s="39" t="inlineStr">
        <is>
          <t>cae en el cuadrante Norte ni en el Sur: las cuatro entran en el cuadrante Este/Oeste, que es</t>
        </is>
      </c>
      <c r="B57" s="2" t="n"/>
      <c r="C57" s="2" t="n"/>
      <c r="D57" s="2" t="n"/>
    </row>
    <row r="58">
      <c r="A58" s="39" t="inlineStr">
        <is>
          <t>el mas exigente (0,30, o 0,39 segun la modificacion de 2021). Conviene confirmarlo en la</t>
        </is>
      </c>
      <c r="B58" s="2" t="n"/>
      <c r="C58" s="2" t="n"/>
      <c r="D58" s="2" t="n"/>
    </row>
    <row r="59">
      <c r="A59" s="39" t="inlineStr">
        <is>
          <t>Secretaria de Planeamiento antes de presentar: hay versiones distintas dando vueltas.</t>
        </is>
      </c>
      <c r="B59" s="2" t="n"/>
      <c r="C59" s="2" t="n"/>
      <c r="D59" s="2" t="n"/>
    </row>
    <row r="60">
      <c r="A60" s="2" t="n"/>
      <c r="B60" s="2" t="n"/>
      <c r="C60" s="2" t="n"/>
      <c r="D60" s="2" t="n"/>
    </row>
    <row r="61">
      <c r="A61" s="38" t="inlineStr">
        <is>
          <t>Si la abertura ocupa menos del 20% del lado expuesto del local, NO hay que verificar el FES</t>
        </is>
      </c>
      <c r="B61" s="2" t="n"/>
      <c r="C61" s="2" t="n"/>
      <c r="D61" s="2" t="n"/>
    </row>
    <row r="62">
      <c r="A62" s="39" t="inlineStr">
        <is>
          <t>(si la transmitancia). Fuente: preguntas frecuentes de la Secretaria de Planeamiento.</t>
        </is>
      </c>
      <c r="B62" s="2" t="n"/>
      <c r="C62" s="2" t="n"/>
      <c r="D6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5" t="inlineStr">
        <is>
          <t>MEMORIA - ILUMINACION Y VENTILACION</t>
        </is>
      </c>
      <c r="B1" s="76" t="inlineStr"/>
    </row>
    <row r="2">
      <c r="A2" s="76" t="inlineStr"/>
      <c r="B2" s="77" t="inlineStr"/>
    </row>
    <row r="3">
      <c r="A3" s="76" t="inlineStr">
        <is>
          <t>CRITERIO</t>
        </is>
      </c>
      <c r="B3" s="76" t="inlineStr">
        <is>
          <t>Area de iluminacion requerida = superficie del local / 9</t>
        </is>
      </c>
    </row>
    <row r="4">
      <c r="A4" s="76" t="inlineStr"/>
      <c r="B4" s="77" t="inlineStr">
        <is>
          <t>Area de ventilacion requerida = un tercio de la de iluminacion = superficie / 27</t>
        </is>
      </c>
    </row>
    <row r="5">
      <c r="A5" s="76" t="inlineStr"/>
      <c r="B5" s="77" t="inlineStr">
        <is>
          <t>Area proyectada: la vidriada de la carpinteria para iluminacion, y la parte que</t>
        </is>
      </c>
    </row>
    <row r="6">
      <c r="A6" s="76" t="inlineStr"/>
      <c r="B6" s="77" t="inlineStr">
        <is>
          <t>realmente abre para ventilacion.</t>
        </is>
      </c>
    </row>
    <row r="7">
      <c r="A7" s="76" t="inlineStr"/>
      <c r="B7" s="77" t="inlineStr"/>
    </row>
    <row r="8">
      <c r="A8" s="76" t="inlineStr">
        <is>
          <t>RESULTADO</t>
        </is>
      </c>
      <c r="B8" s="76" t="inlineStr">
        <is>
          <t>Los trece locales cumplen holgadamente iluminacion y ventilacion.</t>
        </is>
      </c>
    </row>
    <row r="9">
      <c r="A9" s="76" t="inlineStr"/>
      <c r="B9" s="77" t="inlineStr"/>
    </row>
    <row r="10">
      <c r="A10" s="76" t="inlineStr">
        <is>
          <t>CORRECCION</t>
        </is>
      </c>
      <c r="B10" s="76" t="inlineStr">
        <is>
          <t>Local 07, Hall / ingreso: la planilla original traia 0,66 y 0,22, que son los</t>
        </is>
      </c>
    </row>
    <row r="11">
      <c r="A11" s="76" t="inlineStr"/>
      <c r="B11" s="77" t="inlineStr">
        <is>
          <t>valores del local 03 (Lavadero, 6,0 m2). Con sus 3,50 x 2,15 = 7,53 m2 corresponden</t>
        </is>
      </c>
    </row>
    <row r="12">
      <c r="A12" s="76" t="inlineStr"/>
      <c r="B12" s="77" t="inlineStr">
        <is>
          <t>0,84 y 0,28. No cambia el resultado, pero el numero no cerraba con la superficie</t>
        </is>
      </c>
    </row>
    <row r="13">
      <c r="A13" s="76" t="inlineStr"/>
      <c r="B13" s="77" t="inlineStr">
        <is>
          <t>declarada y un verificador lo puede observar.</t>
        </is>
      </c>
    </row>
    <row r="14">
      <c r="A14" s="76" t="inlineStr"/>
      <c r="B14" s="77" t="inlineStr"/>
    </row>
    <row r="15">
      <c r="A15" s="76" t="inlineStr">
        <is>
          <t>A REVISAR</t>
        </is>
      </c>
      <c r="B15" s="76" t="inlineStr">
        <is>
          <t>Local 14, Estar / Playroom: declara 5,00 m2 de ventilacion sobre 5,00 m2 de</t>
        </is>
      </c>
    </row>
    <row r="16">
      <c r="A16" s="76" t="inlineStr"/>
      <c r="B16" s="77" t="inlineStr">
        <is>
          <t>iluminacion, es decir una carpinteria enteramente abrible. En los demas locales</t>
        </is>
      </c>
    </row>
    <row r="17">
      <c r="A17" s="76" t="inlineStr"/>
      <c r="B17" s="77" t="inlineStr">
        <is>
          <t>la relacion es del 50 por ciento. Conviene verificar la carpinteria real.</t>
        </is>
      </c>
    </row>
    <row r="18">
      <c r="A18" s="76" t="inlineStr"/>
      <c r="B18" s="77" t="inlineStr"/>
    </row>
    <row r="19">
      <c r="A19" s="76" t="inlineStr"/>
      <c r="B19" s="77" t="inlineStr">
        <is>
          <t>Local 02, Deposito: figura sin exigencia por no ser habitable. Son 11,8 m2</t>
        </is>
      </c>
    </row>
    <row r="20">
      <c r="A20" s="76" t="inlineStr"/>
      <c r="B20" s="77" t="inlineStr">
        <is>
          <t>cerrados: si se lo considera habitable hay que preverle conducto.</t>
        </is>
      </c>
    </row>
    <row r="21">
      <c r="A21" s="76" t="inlineStr"/>
      <c r="B21" s="77" t="inlineStr"/>
    </row>
    <row r="22">
      <c r="A22" s="76" t="inlineStr">
        <is>
          <t>REDONDEOS</t>
        </is>
      </c>
      <c r="B22" s="76" t="inlineStr">
        <is>
          <t>Diferencias menores que no afectan: local 03 da 5,95 m2 y figura 6,0;</t>
        </is>
      </c>
    </row>
    <row r="23">
      <c r="A23" s="76" t="inlineStr"/>
      <c r="B23" s="77"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VIGAS H°A°</t>
        </is>
      </c>
      <c r="B1" s="76" t="inlineStr"/>
    </row>
    <row r="2">
      <c r="A2" s="76" t="inlineStr"/>
      <c r="B2" s="77" t="inlineStr"/>
    </row>
    <row r="3">
      <c r="A3" s="76" t="inlineStr">
        <is>
          <t>NORMATIVA</t>
        </is>
      </c>
      <c r="B3" s="76" t="inlineStr">
        <is>
          <t>CIRSOC 201. Hormigon H-21 (f'c 210 kg/cm2). Acero 42/50 (fy 4200 kg/cm2).</t>
        </is>
      </c>
    </row>
    <row r="4">
      <c r="A4" s="76" t="inlineStr">
        <is>
          <t>UNIDADES</t>
        </is>
      </c>
      <c r="B4" s="76" t="inlineStr">
        <is>
          <t>Longitudes en m y cm. Cargas en kg/m. Momentos en kgm. Tensiones en kg/cm2.</t>
        </is>
      </c>
    </row>
    <row r="5">
      <c r="A5" s="76" t="inlineStr">
        <is>
          <t>DIMENSIONES</t>
        </is>
      </c>
      <c r="B5" s="76" t="inlineStr">
        <is>
          <t>b = ancho | h = altura util | d = altura total (igual criterio que la planilla de catedra).</t>
        </is>
      </c>
    </row>
    <row r="6">
      <c r="A6" s="76" t="inlineStr"/>
      <c r="B6" s="77" t="inlineStr"/>
    </row>
    <row r="7">
      <c r="A7" s="76" t="inlineStr">
        <is>
          <t>1. CARGAS</t>
        </is>
      </c>
      <c r="B7" s="76" t="inlineStr"/>
    </row>
    <row r="8">
      <c r="A8" s="76" t="inlineStr">
        <is>
          <t>Entrepiso PA</t>
        </is>
      </c>
      <c r="B8" s="77" t="inlineStr">
        <is>
          <t>Losa maciza 12 cm 300 + contrapiso 130 + carpeta 42 + piso 50 + cielorraso 20</t>
        </is>
      </c>
    </row>
    <row r="9">
      <c r="A9" s="76" t="inlineStr"/>
      <c r="B9" s="77" t="inlineStr">
        <is>
          <t>g = 550 kg/m2       q = 200 kg/m2 (vivienda)</t>
        </is>
      </c>
    </row>
    <row r="10">
      <c r="A10" s="76" t="inlineStr">
        <is>
          <t>Azotea</t>
        </is>
      </c>
      <c r="B10" s="77" t="inlineStr">
        <is>
          <t>Losa 300 + contrapiso de pendiente 140 + carpeta 42 + aislacion y membrana 50 + cielorraso 20</t>
        </is>
      </c>
    </row>
    <row r="11">
      <c r="A11" s="76" t="inlineStr"/>
      <c r="B11" s="77" t="inlineStr">
        <is>
          <t>g = 560 kg/m2       q = 100 kg/m2 (cubierta no accesible)</t>
        </is>
      </c>
    </row>
    <row r="12">
      <c r="A12" s="76" t="inlineStr">
        <is>
          <t>Mamposteria</t>
        </is>
      </c>
      <c r="B12" s="77" t="inlineStr">
        <is>
          <t>250 kg/m2. Altura 2,60 m en PA y 1,00 m de parapeto en azotea.</t>
        </is>
      </c>
    </row>
    <row r="13">
      <c r="A13" s="76" t="inlineStr">
        <is>
          <t>Peso propio</t>
        </is>
      </c>
      <c r="B13" s="77" t="inlineStr">
        <is>
          <t>2400 kg/m3 x b x d, viga por viga.</t>
        </is>
      </c>
    </row>
    <row r="14">
      <c r="A14" s="76" t="inlineStr">
        <is>
          <t>Carga de calculo</t>
        </is>
      </c>
      <c r="B14" s="77" t="inlineStr">
        <is>
          <t>p = 1,2 (g x B + peso propio + muro) + 1,6 (q x B)        B = ancho tributario</t>
        </is>
      </c>
    </row>
    <row r="15">
      <c r="A15" s="76" t="inlineStr"/>
      <c r="B15" s="77" t="inlineStr"/>
    </row>
    <row r="16">
      <c r="A16" s="76" t="inlineStr">
        <is>
          <t>2. SOLICITACIONES</t>
        </is>
      </c>
      <c r="B16" s="76" t="inlineStr">
        <is>
          <t>Coeficientes segun esquema (tabla en hoja Datos):</t>
        </is>
      </c>
    </row>
    <row r="17">
      <c r="A17" s="76" t="inlineStr"/>
      <c r="B17" s="77" t="inlineStr">
        <is>
          <t xml:space="preserve">  Simplemente apoyada   M = pL2/8                    R = 0,500 pL</t>
        </is>
      </c>
    </row>
    <row r="18">
      <c r="A18" s="76" t="inlineStr"/>
      <c r="B18" s="77" t="inlineStr">
        <is>
          <t xml:space="preserve">  Continua              M = pL2/14   Mapoyo = pL2/10  R = 0,575 pL</t>
        </is>
      </c>
    </row>
    <row r="19">
      <c r="A19" s="76" t="inlineStr"/>
      <c r="B19" s="77" t="inlineStr">
        <is>
          <t xml:space="preserve">  Empotrada-apoyada     M = 9pL2/128 Mapoyo = pL2/8   R = 0,625 pL</t>
        </is>
      </c>
    </row>
    <row r="20">
      <c r="A20" s="76" t="inlineStr"/>
      <c r="B20" s="77" t="inlineStr">
        <is>
          <t xml:space="preserve">  Biempotrada           M = pL2/24   Mapoyo = pL2/12  R = 0,500 pL</t>
        </is>
      </c>
    </row>
    <row r="21">
      <c r="A21" s="76" t="inlineStr"/>
      <c r="B21" s="77" t="inlineStr">
        <is>
          <t xml:space="preserve">  Voladizo                           Mapoyo = pL2/2   R = 1,000 pL</t>
        </is>
      </c>
    </row>
    <row r="22">
      <c r="A22" s="76" t="inlineStr"/>
      <c r="B22" s="77" t="inlineStr"/>
    </row>
    <row r="23">
      <c r="A23" s="76" t="inlineStr">
        <is>
          <t>3. FLEXION</t>
        </is>
      </c>
      <c r="B23" s="76" t="inlineStr">
        <is>
          <t>k = M / (phi b h2 f'c)      w = 1 - RAIZ(1 - 2k)      As = w b h f'c / fy</t>
        </is>
      </c>
    </row>
    <row r="24">
      <c r="A24" s="76" t="inlineStr"/>
      <c r="B24" s="77" t="inlineStr">
        <is>
          <t>As min = 0,0033 b h       As max = 0,0163 b h (0,75 de la cuantia balanceada)</t>
        </is>
      </c>
    </row>
    <row r="25">
      <c r="A25" s="76" t="inlineStr"/>
      <c r="B25" s="77" t="inlineStr">
        <is>
          <t>Si la armadura no entra en una capa se disponen dos y el recubrimiento pasa a 6 cm.</t>
        </is>
      </c>
    </row>
    <row r="26">
      <c r="A26" s="76" t="inlineStr"/>
      <c r="B26" s="77" t="inlineStr"/>
    </row>
    <row r="27">
      <c r="A27" s="76" t="inlineStr">
        <is>
          <t>4. CORTE</t>
        </is>
      </c>
      <c r="B27" s="76" t="inlineStr">
        <is>
          <t>T = R / (b x 0,85 h)       tension tangencial en el apoyo</t>
        </is>
      </c>
    </row>
    <row r="28">
      <c r="A28" s="76" t="inlineStr"/>
      <c r="B28" s="77" t="inlineStr">
        <is>
          <t>Vc = 0,53 RAIZ(f'c) b h        phi Vn = 0,75 (Vc + Av fy h / s)  &gt;=  R</t>
        </is>
      </c>
    </row>
    <row r="29">
      <c r="A29" s="76" t="inlineStr"/>
      <c r="B29" s="77" t="inlineStr">
        <is>
          <t>Av = 2 ramas. Se aumenta el diametro antes que cerrar la separacion por debajo de 10 cm.</t>
        </is>
      </c>
    </row>
    <row r="30">
      <c r="A30" s="76" t="inlineStr"/>
      <c r="B30" s="77" t="inlineStr"/>
    </row>
    <row r="31">
      <c r="A31" s="76" t="inlineStr">
        <is>
          <t>5. FLECHA</t>
        </is>
      </c>
      <c r="B31" s="76" t="inlineStr">
        <is>
          <t>Altura minima: simplemente apoyada L/16, un extremo continuo L/18,5,</t>
        </is>
      </c>
    </row>
    <row r="32">
      <c r="A32" s="76" t="inlineStr"/>
      <c r="B32" s="77" t="inlineStr">
        <is>
          <t>ambos extremos continuos L/21, voladizo L/8.</t>
        </is>
      </c>
    </row>
    <row r="33">
      <c r="A33" s="76" t="inlineStr"/>
      <c r="B33" s="77" t="inlineStr"/>
    </row>
    <row r="34">
      <c r="A34" s="76" t="inlineStr">
        <is>
          <t>6. VIGAS INVERTIDAS</t>
        </is>
      </c>
      <c r="B34" s="76" t="inlineStr">
        <is>
          <t>Las vigas de BORDE son invertidas: sobresalen 70 cm por encima del fondo de</t>
        </is>
      </c>
    </row>
    <row r="35">
      <c r="A35" s="76" t="inlineStr"/>
      <c r="B35" s="77" t="inlineStr">
        <is>
          <t>losa (cotas N.F.L +3,50 / N.S.V +4,20 y N.F.L +6,80 / N.S.V +7,50 del plano).</t>
        </is>
      </c>
    </row>
    <row r="36">
      <c r="A36" s="76" t="inlineStr"/>
      <c r="B36" s="77" t="inlineStr">
        <is>
          <t>losa. Lo confirman las cotas del plano y el hecho de que el cielorraso sea de</t>
        </is>
      </c>
    </row>
    <row r="37">
      <c r="A37" s="76" t="inlineStr"/>
      <c r="B37" s="77" t="inlineStr">
        <is>
          <t>VI 06 mide 14,00 m en total y es el cuarto borde de L07. Sobre su eje hay cuatro</t>
        </is>
      </c>
    </row>
    <row r="38">
      <c r="A38" s="76" t="inlineStr"/>
      <c r="B38" s="77" t="inlineStr">
        <is>
          <t>columnas, de modo que trabaja como viga continua de tres tramos de 4,10, 4,32 y</t>
        </is>
      </c>
    </row>
    <row r="39">
      <c r="A39" s="76" t="inlineStr"/>
      <c r="B39" s="77" t="inlineStr">
        <is>
          <t>6,53 m. Se calcula con el mayor, 6,53 m, que es el que gobierna.</t>
        </is>
      </c>
    </row>
    <row r="40">
      <c r="A40" s="76" t="inlineStr"/>
      <c r="B40" s="77" t="inlineStr">
        <is>
          <t>hormigon visto: una viga colgante quedaria a la vista. El computo metrico las</t>
        </is>
      </c>
    </row>
    <row r="41">
      <c r="A41" s="76" t="inlineStr"/>
      <c r="B41" s="77" t="inlineStr">
        <is>
          <t>agrupa a las 28 bajo el rubro Vigas invertidas 15x70.</t>
        </is>
      </c>
    </row>
    <row r="42">
      <c r="A42" s="76" t="inlineStr"/>
      <c r="B42" s="77" t="inlineStr">
        <is>
          <t>Esto define donde la losa aporta ala comprimida:</t>
        </is>
      </c>
    </row>
    <row r="43">
      <c r="A43" s="76" t="inlineStr"/>
      <c r="B43" s="77" t="inlineStr">
        <is>
          <t xml:space="preserve">  viga COLGANTE  -&gt; la losa esta arriba  -&gt; ala util en el TRAMO (momento positivo)</t>
        </is>
      </c>
    </row>
    <row r="44">
      <c r="A44" s="76" t="inlineStr"/>
      <c r="B44" s="77" t="inlineStr">
        <is>
          <t xml:space="preserve">  viga INVERTIDA -&gt; la losa esta abajo   -&gt; ala util en el APOYO (momento negativo)</t>
        </is>
      </c>
    </row>
    <row r="45">
      <c r="A45" s="76" t="inlineStr"/>
      <c r="B45" s="77" t="inlineStr">
        <is>
          <t>En la zona con ala se adopta b efectivo = min(L/4 ; b + 16 hf); en la otra, la</t>
        </is>
      </c>
    </row>
    <row r="46">
      <c r="A46" s="76" t="inlineStr"/>
      <c r="B46" s="77" t="inlineStr">
        <is>
          <t>seccion es rectangular de ancho b. Las columnas b ef tramo y b ef apoyo lo muestran.</t>
        </is>
      </c>
    </row>
    <row r="47">
      <c r="A47" s="76" t="inlineStr"/>
      <c r="B47" s="77" t="inlineStr">
        <is>
          <t>PENDIENTE: las invertidas de BORDE (VI 01a, 01b, 07a, 07b, 07c, 11a, 11b, 11c,</t>
        </is>
      </c>
    </row>
    <row r="48">
      <c r="A48" s="76" t="inlineStr"/>
      <c r="B48" s="77" t="inlineStr">
        <is>
          <t>15a y 15b) reciben la reaccion de la losa de un solo lado, excentrica respecto</t>
        </is>
      </c>
    </row>
    <row r="49">
      <c r="A49" s="76" t="inlineStr"/>
      <c r="B49" s="77" t="inlineStr">
        <is>
          <t>de su eje, y quedan sometidas a TORSION. Esta planilla no la verifica.</t>
        </is>
      </c>
    </row>
    <row r="50">
      <c r="A50" s="76" t="inlineStr"/>
      <c r="B50" s="77" t="inlineStr"/>
    </row>
    <row r="51">
      <c r="A51" s="76" t="inlineStr">
        <is>
          <t>7. RESULTADO</t>
        </is>
      </c>
      <c r="B51" s="76" t="inlineStr">
        <is>
          <t>30 vigas: 21 del entrepiso PA y 9 de la losa de techo. 28 verifican.</t>
        </is>
      </c>
    </row>
    <row r="52">
      <c r="A52" s="76" t="inlineStr"/>
      <c r="B52" s="77" t="inlineStr">
        <is>
          <t>VI 02 (15x60, 9,88 m): recibe L02 y L03, B = 2,88 m. La armadura de apoyo</t>
        </is>
      </c>
    </row>
    <row r="53">
      <c r="A53" s="76" t="inlineStr"/>
      <c r="B53" s="77" t="inlineStr">
        <is>
          <t xml:space="preserve">   necesaria ronda los 25 cm2 y supera la cuantia maxima. Los apoyos estan</t>
        </is>
      </c>
    </row>
    <row r="54">
      <c r="A54" s="76" t="inlineStr"/>
      <c r="B54" s="77" t="inlineStr">
        <is>
          <t xml:space="preserve">   confirmados en obra: tabique T07 perpendicular arriba y COL 02 abajo, sin apoyo</t>
        </is>
      </c>
    </row>
    <row r="55">
      <c r="A55" s="76" t="inlineStr"/>
      <c r="B55" s="77" t="inlineStr">
        <is>
          <t xml:space="preserve">   intermedio. Para esta carga la seccion necesaria es 15x75.</t>
        </is>
      </c>
    </row>
    <row r="56">
      <c r="A56" s="76" t="inlineStr"/>
      <c r="B56" s="77" t="inlineStr">
        <is>
          <t>VCH 03a (40x13, 3,83 m). Recibe L03, B = 2,08 m, y no</t>
        </is>
      </c>
    </row>
    <row r="57">
      <c r="A57" s="76" t="inlineStr"/>
      <c r="B57" s="77" t="inlineStr">
        <is>
          <t xml:space="preserve">   verifica: haria falta mas espesor. Tampoco verifica con B = 0,60 m, asi</t>
        </is>
      </c>
    </row>
    <row r="58">
      <c r="A58" s="76" t="inlineStr"/>
      <c r="B58" s="77" t="inlineStr">
        <is>
          <t xml:space="preserve">   que el problema no es la hipotesis de carga sino la relacion luz/espesor. Una viga</t>
        </is>
      </c>
    </row>
    <row r="59">
      <c r="A59" s="76" t="inlineStr"/>
      <c r="B59" s="77" t="inlineStr">
        <is>
          <t xml:space="preserve">   chata del mismo espesor que la losa no puede ser apoyo lineal de un pano de 4,15 m.</t>
        </is>
      </c>
    </row>
    <row r="60">
      <c r="A60" s="76" t="inlineStr"/>
      <c r="B60" s="77" t="inlineStr">
        <is>
          <t xml:space="preserve">   Revisar si tiene un muro debajo que acorte su luz libre.</t>
        </is>
      </c>
    </row>
    <row r="61">
      <c r="A61" s="76" t="inlineStr"/>
      <c r="B61" s="77" t="inlineStr">
        <is>
          <t>VCH 03a (40x13, 3,71 m): excede la cuantia maxima y no llega a la altura minima por</t>
        </is>
      </c>
    </row>
    <row r="62">
      <c r="A62" s="76" t="inlineStr"/>
      <c r="B62" s="77" t="inlineStr">
        <is>
          <t xml:space="preserve">   flecha. Revisar el ancho tributario: si solo recibe el muro y no losa, baja mucho.</t>
        </is>
      </c>
    </row>
    <row r="63">
      <c r="A63" s="76" t="inlineStr"/>
      <c r="B63" s="77" t="inlineStr"/>
    </row>
    <row r="64">
      <c r="A64" s="76" t="inlineStr">
        <is>
          <t>8. ALCANCE</t>
        </is>
      </c>
      <c r="B64" s="77" t="inlineStr">
        <is>
          <t>No se incluyen las 31 vigas de fundacion (VF01 a VF18c): su calculo depende de las</t>
        </is>
      </c>
    </row>
    <row r="65">
      <c r="A65" s="76" t="inlineStr"/>
      <c r="B65" s="77" t="inlineStr">
        <is>
          <t>cargas que bajan por las columnas y corresponde hacerlo despues. Tampoco losas ni columnas.</t>
        </is>
      </c>
    </row>
    <row r="66">
      <c r="A66" s="76" t="inlineStr"/>
      <c r="B66" s="77" t="inlineStr"/>
    </row>
    <row r="67">
      <c r="A67" s="76" t="inlineStr">
        <is>
          <t>LIMITACIONES</t>
        </is>
      </c>
      <c r="B67" s="76" t="inlineStr">
        <is>
          <t>El ancho tributario B esta relevado solo en</t>
        </is>
      </c>
    </row>
    <row r="68">
      <c r="A68" s="76" t="inlineStr"/>
      <c r="B68" s="77" t="inlineStr">
        <is>
          <t>VI 02 (0,80 m) y VCH 03a (2,08 m). En las demas sigue adoptado en 2,00 m, a falta</t>
        </is>
      </c>
    </row>
    <row r="69">
      <c r="A69" s="76" t="inlineStr"/>
      <c r="B69" s="77" t="inlineStr">
        <is>
          <t>hipotesis mas influyente del calculo: ajustarla viga por viga en la columna B trib.</t>
        </is>
      </c>
    </row>
    <row r="70">
      <c r="A70" s="76" t="inlineStr"/>
      <c r="B70" s="77" t="inlineStr">
        <is>
          <t>El esquema se asigno por criterio: continua si integra una serie a-b-c o si supera 5,5 m.</t>
        </is>
      </c>
    </row>
    <row r="71">
      <c r="A71" s="76" t="inlineStr"/>
      <c r="B71" s="77"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5" t="inlineStr">
        <is>
          <t>MEMORIA DE CALCULO - LOSAS</t>
        </is>
      </c>
      <c r="B1" s="76" t="inlineStr"/>
    </row>
    <row r="2">
      <c r="A2" s="76" t="inlineStr"/>
      <c r="B2" s="77" t="inlineStr"/>
    </row>
    <row r="3">
      <c r="A3" s="76" t="inlineStr">
        <is>
          <t>METODO</t>
        </is>
      </c>
      <c r="B3" s="76" t="inlineStr">
        <is>
          <t>Tensiones admisibles, igual criterio que la planilla modelo de la catedra.</t>
        </is>
      </c>
    </row>
    <row r="4">
      <c r="A4" s="76" t="inlineStr"/>
      <c r="B4" s="77" t="inlineStr">
        <is>
          <t>Se verifico contra la fila de ejemplo: momentos y reacciones coinciden exactamente.</t>
        </is>
      </c>
    </row>
    <row r="5">
      <c r="A5" s="76" t="inlineStr">
        <is>
          <t>MATERIALES</t>
        </is>
      </c>
      <c r="B5" s="76" t="inlineStr">
        <is>
          <t>H-21 (f'c 210 kg/cm2). Acero 42/50 (fy 4200). Tension admisible 2400 kg/cm2.</t>
        </is>
      </c>
    </row>
    <row r="6">
      <c r="A6" s="76" t="inlineStr">
        <is>
          <t>DIMENSIONES</t>
        </is>
      </c>
      <c r="B6" s="76" t="inlineStr">
        <is>
          <t>h = altura util | d = espesor total. Recubrimiento 1,5 cm.</t>
        </is>
      </c>
    </row>
    <row r="7">
      <c r="A7" s="76" t="inlineStr"/>
      <c r="B7" s="77" t="inlineStr"/>
    </row>
    <row r="8">
      <c r="A8" s="76" t="inlineStr">
        <is>
          <t>1. CARGAS</t>
        </is>
      </c>
      <c r="B8" s="76" t="inlineStr">
        <is>
          <t>p = peso propio + terminaciones + q      (cargas de servicio, sin mayorar)</t>
        </is>
      </c>
    </row>
    <row r="9">
      <c r="A9" s="76" t="inlineStr"/>
      <c r="B9" s="77" t="inlineStr">
        <is>
          <t>Peso propio = 2400 x d / 100, calculado con el espesor propio de cada losa.</t>
        </is>
      </c>
    </row>
    <row r="10">
      <c r="A10" s="76" t="inlineStr">
        <is>
          <t>S/PB</t>
        </is>
      </c>
      <c r="B10" s="77" t="inlineStr">
        <is>
          <t>Terminaciones 242 kg/m2 (contrapiso 130 + carpeta 42 + piso 50 + cielorraso 20)</t>
        </is>
      </c>
    </row>
    <row r="11">
      <c r="A11" s="76" t="inlineStr"/>
      <c r="B11" s="77" t="inlineStr">
        <is>
          <t>q = 200 kg/m2 (vivienda)</t>
        </is>
      </c>
    </row>
    <row r="12">
      <c r="A12" s="76" t="inlineStr">
        <is>
          <t>S/PA</t>
        </is>
      </c>
      <c r="B12" s="77" t="inlineStr">
        <is>
          <t>Terminaciones 252 kg/m2 (contrapiso pendiente 140 + carpeta 42 + aislacion 50 +</t>
        </is>
      </c>
    </row>
    <row r="13">
      <c r="A13" s="76" t="inlineStr"/>
      <c r="B13" s="77" t="inlineStr">
        <is>
          <t>cielorraso 20).  q = 100 kg/m2 (azotea no accesible)</t>
        </is>
      </c>
    </row>
    <row r="14">
      <c r="A14" s="76" t="inlineStr"/>
      <c r="B14" s="77" t="inlineStr"/>
    </row>
    <row r="15">
      <c r="A15" s="76" t="inlineStr">
        <is>
          <t>2. SOLICITACIONES</t>
        </is>
      </c>
      <c r="B15" s="76" t="inlineStr">
        <is>
          <t>M = coeficiente x p x L2, segun el grado de empotramiento:</t>
        </is>
      </c>
    </row>
    <row r="16">
      <c r="A16" s="76" t="inlineStr"/>
      <c r="B16" s="77" t="inlineStr">
        <is>
          <t xml:space="preserve">  1/8 simplemente apoyada    1/10 y 1/14 continua    1/12 biempotrada    1/2 voladizo</t>
        </is>
      </c>
    </row>
    <row r="17">
      <c r="A17" s="76" t="inlineStr"/>
      <c r="B17" s="77" t="inlineStr">
        <is>
          <t>R = coeficiente x p x L. En voladizo Rx = p x L y Ry no corresponde.</t>
        </is>
      </c>
    </row>
    <row r="18">
      <c r="A18" s="76" t="inlineStr"/>
      <c r="B18" s="77" t="inlineStr"/>
    </row>
    <row r="19">
      <c r="A19" s="76" t="inlineStr">
        <is>
          <t>3. ARMADURA</t>
        </is>
      </c>
      <c r="B19" s="76" t="inlineStr">
        <is>
          <t>As = M x 100 / (2400 x 0,9 x h)        [cm2/m]</t>
        </is>
      </c>
    </row>
    <row r="20">
      <c r="A20" s="76" t="inlineStr"/>
      <c r="B20" s="77" t="inlineStr">
        <is>
          <t>separacion = 100 x area de la barra / As, redondeada, con maximo 20 cm</t>
        </is>
      </c>
    </row>
    <row r="21">
      <c r="A21" s="76" t="inlineStr"/>
      <c r="B21" s="77" t="inlineStr">
        <is>
          <t>Armadura de reparticion = As / 5, con un minimo de 0,30 cm2/m</t>
        </is>
      </c>
    </row>
    <row r="22">
      <c r="A22" s="76" t="inlineStr"/>
      <c r="B22" s="77" t="inlineStr"/>
    </row>
    <row r="23">
      <c r="A23" s="76" t="inlineStr">
        <is>
          <t>4. ESPESORES</t>
        </is>
      </c>
      <c r="B23" s="76" t="inlineStr">
        <is>
          <t>Los espesores d se leyeron del plano: estan escritos debajo del rotulo de cada losa.</t>
        </is>
      </c>
    </row>
    <row r="24">
      <c r="A24" s="76" t="inlineStr"/>
      <c r="B24" s="77" t="inlineStr">
        <is>
          <t>S/PB:  L01 11 | L02 9 | L03 13 | L04 11 | L05 11 | L06 8 | L07 12 | L08 10</t>
        </is>
      </c>
    </row>
    <row r="25">
      <c r="A25" s="76" t="inlineStr"/>
      <c r="B25" s="77" t="inlineStr">
        <is>
          <t>S/PA:  L09 13 | L10 12</t>
        </is>
      </c>
    </row>
    <row r="26">
      <c r="A26" s="76" t="inlineStr"/>
      <c r="B26" s="77" t="inlineStr"/>
    </row>
    <row r="27">
      <c r="A27" s="76" t="inlineStr">
        <is>
          <t>5. LUCES</t>
        </is>
      </c>
      <c r="B27" s="76" t="inlineStr">
        <is>
          <t>Relevadas en obra y aportadas por el proyectista. Dos losas son voladizo</t>
        </is>
      </c>
    </row>
    <row r="28">
      <c r="A28" s="76" t="inlineStr"/>
      <c r="B28" s="77" t="inlineStr">
        <is>
          <t>(L02 de 0,80 m y L08 de 0,75 m) y se calculan con M = p L2 / 2.</t>
        </is>
      </c>
    </row>
    <row r="29">
      <c r="A29" s="76" t="inlineStr"/>
      <c r="B29" s="77" t="inlineStr"/>
    </row>
    <row r="30">
      <c r="A30" s="76" t="inlineStr">
        <is>
          <t>6. LOSAS CRUZADAS</t>
        </is>
      </c>
      <c r="B30" s="77" t="inlineStr">
        <is>
          <t>L07 (4,85 x 5,60) y L10 (4,85 x 6,00) apoyan en los cuatro bordes y su relacion</t>
        </is>
      </c>
    </row>
    <row r="31">
      <c r="A31" s="76" t="inlineStr"/>
      <c r="B31" s="77" t="inlineStr">
        <is>
          <t>de lados es menor que 2, por lo que trabajan en las dos direcciones.</t>
        </is>
      </c>
    </row>
    <row r="32">
      <c r="A32" s="76" t="inlineStr"/>
      <c r="B32" s="77" t="inlineStr">
        <is>
          <t>Se reparte la carga por el metodo de Marcus:   kx = ly4 / (lx4 + ly4)</t>
        </is>
      </c>
    </row>
    <row r="33">
      <c r="A33" s="76" t="inlineStr"/>
      <c r="B33" s="77" t="inlineStr">
        <is>
          <t xml:space="preserve">  L07: ly/lx = 1,15  -&gt;  64% en la direccion corta, 36% en la larga</t>
        </is>
      </c>
    </row>
    <row r="34">
      <c r="A34" s="76" t="inlineStr"/>
      <c r="B34" s="77" t="inlineStr">
        <is>
          <t xml:space="preserve">  L10: ly/lx = 1,24  -&gt;  70% en la direccion corta, 30% en la larga</t>
        </is>
      </c>
    </row>
    <row r="35">
      <c r="A35" s="76" t="inlineStr"/>
      <c r="B35" s="77" t="inlineStr">
        <is>
          <t>Cada una ocupa dos renglones, uno por direccion, con la fraccion de carga que</t>
        </is>
      </c>
    </row>
    <row r="36">
      <c r="A36" s="76" t="inlineStr"/>
      <c r="B36" s="77" t="inlineStr">
        <is>
          <t>le toca ya aplicada en la columna CARGAS. Las dos armaduras se cruzan en obra:</t>
        </is>
      </c>
    </row>
    <row r="37">
      <c r="A37" s="76" t="inlineStr"/>
      <c r="B37" s="77" t="inlineStr">
        <is>
          <t>la de la direccion corta va abajo, la de la larga arriba de aquella.</t>
        </is>
      </c>
    </row>
    <row r="38">
      <c r="A38" s="76" t="inlineStr"/>
      <c r="B38" s="77" t="inlineStr">
        <is>
          <t>La columna auxiliar luz transv. es la que dispara el reparto: si se borra, la</t>
        </is>
      </c>
    </row>
    <row r="39">
      <c r="A39" s="76" t="inlineStr"/>
      <c r="B39" s="77" t="inlineStr">
        <is>
          <t>fila vuelve a calcularse como losa armada en una direccion.</t>
        </is>
      </c>
    </row>
    <row r="40">
      <c r="A40" s="76" t="inlineStr"/>
      <c r="B40" s="77" t="inlineStr"/>
    </row>
    <row r="41">
      <c r="A41" s="76" t="inlineStr">
        <is>
          <t>LIMITACIONES</t>
        </is>
      </c>
      <c r="B41" s="76" t="inlineStr">
        <is>
          <t>El grado de empotramiento esta cargado en 1/8 salvo los dos voladizos (1/2). Si</t>
        </is>
      </c>
    </row>
    <row r="42">
      <c r="A42" s="76" t="inlineStr"/>
      <c r="B42" s="77" t="inlineStr">
        <is>
          <t>alguna losa es continua sobre una viga corresponde 1/10 o 1/14: corregir en la columna.</t>
        </is>
      </c>
    </row>
    <row r="43">
      <c r="A43" s="76" t="inlineStr"/>
      <c r="B43" s="77" t="inlineStr">
        <is>
          <t>El diagrama de cargas es una imagen fija: si cambias el grado, cambialo a mano.</t>
        </is>
      </c>
    </row>
    <row r="44">
      <c r="A44" s="76" t="inlineStr"/>
      <c r="B44" s="77"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COLUMNAS</t>
        </is>
      </c>
      <c r="B1" s="76" t="inlineStr"/>
    </row>
    <row r="2">
      <c r="A2" s="76" t="inlineStr"/>
      <c r="B2" s="77" t="inlineStr"/>
    </row>
    <row r="3">
      <c r="A3" s="76" t="inlineStr">
        <is>
          <t>MATERIALES</t>
        </is>
      </c>
      <c r="B3" s="76" t="inlineStr">
        <is>
          <t>H-21 (f'c 210 kg/cm2). Acero 42/50 (fy 4200). phi compresion 0,65.</t>
        </is>
      </c>
    </row>
    <row r="4">
      <c r="A4" s="76" t="inlineStr"/>
      <c r="B4" s="77" t="inlineStr"/>
    </row>
    <row r="5">
      <c r="A5" s="76" t="inlineStr">
        <is>
          <t>1. RELEVAMIENTO</t>
        </is>
      </c>
      <c r="B5" s="76" t="inlineStr">
        <is>
          <t>Las columnas se identificaron en el plano cruzando el rotulo COL con un rectangulo</t>
        </is>
      </c>
    </row>
    <row r="6">
      <c r="A6" s="76" t="inlineStr"/>
      <c r="B6" s="77" t="inlineStr">
        <is>
          <t>de la misma seccion a menos de 26 pt. Resultaron 9 en PB y 4 en PA.</t>
        </is>
      </c>
    </row>
    <row r="7">
      <c r="A7" s="76" t="inlineStr"/>
      <c r="B7" s="77" t="inlineStr">
        <is>
          <t>Las 4 de PA caen exactamente sobre C6, C7, C8 y C9 de PB, y ademas tienen la misma</t>
        </is>
      </c>
    </row>
    <row r="8">
      <c r="A8" s="76" t="inlineStr"/>
      <c r="B8" s="77" t="inlineStr">
        <is>
          <t>seccion, lo que confirma que la correspondencia entre plantas es correcta.</t>
        </is>
      </c>
    </row>
    <row r="9">
      <c r="A9" s="76" t="inlineStr"/>
      <c r="B9" s="77" t="inlineStr">
        <is>
          <t>La C01 de 10x10 esta confirmada por el proyectista aunque el computo metrico no</t>
        </is>
      </c>
    </row>
    <row r="10">
      <c r="A10" s="76" t="inlineStr"/>
      <c r="B10" s="77" t="inlineStr">
        <is>
          <t>la incluya en su item 4.1.3: ese computo esta incompleto en ese punto.</t>
        </is>
      </c>
    </row>
    <row r="11">
      <c r="A11" s="76" t="inlineStr"/>
      <c r="B11" s="77" t="inlineStr"/>
    </row>
    <row r="12">
      <c r="A12" s="76" t="inlineStr">
        <is>
          <t>2. ALTURAS</t>
        </is>
      </c>
      <c r="B12" s="76" t="inlineStr">
        <is>
          <t>PB 3,15 m y PA 3,22 m, los mismos valores de la planilla de la catedra, coherentes</t>
        </is>
      </c>
    </row>
    <row r="13">
      <c r="A13" s="76" t="inlineStr"/>
      <c r="B13" s="77" t="inlineStr">
        <is>
          <t>con los niveles del plano (N.F.L +3,50 del entrepiso y +6,80 del techo).</t>
        </is>
      </c>
    </row>
    <row r="14">
      <c r="A14" s="76" t="inlineStr"/>
      <c r="B14" s="77" t="inlineStr"/>
    </row>
    <row r="15">
      <c r="A15" s="76" t="inlineStr">
        <is>
          <t>3. ARMADURA</t>
        </is>
      </c>
      <c r="B15" s="76" t="inlineStr">
        <is>
          <t>As = 0,008 x area (cuantia minima, el mismo criterio de la planilla modelo).</t>
        </is>
      </c>
    </row>
    <row r="16">
      <c r="A16" s="76" t="inlineStr"/>
      <c r="B16" s="77" t="inlineStr">
        <is>
          <t>Se adoptan 4 barras del 12 en todas: 4,52 cm2, que cubre la minima en toda seccion.</t>
        </is>
      </c>
    </row>
    <row r="17">
      <c r="A17" s="76" t="inlineStr"/>
      <c r="B17" s="77" t="inlineStr">
        <is>
          <t>Separacion de estribos = min(12 x diam. long. ; 48 x diam. estribo ; lado menor),</t>
        </is>
      </c>
    </row>
    <row r="18">
      <c r="A18" s="76" t="inlineStr"/>
      <c r="B18" s="77" t="inlineStr">
        <is>
          <t>redondeada hacia abajo a multiplo de 5. Para 4d12 con estribo d6 da 10 cm.</t>
        </is>
      </c>
    </row>
    <row r="19">
      <c r="A19" s="76" t="inlineStr"/>
      <c r="B19" s="77" t="inlineStr">
        <is>
          <t>La planilla de la catedra adopta 20 cm: ese valor supera el limite reglamentario.</t>
        </is>
      </c>
    </row>
    <row r="20">
      <c r="A20" s="76" t="inlineStr"/>
      <c r="B20" s="77" t="inlineStr"/>
    </row>
    <row r="21">
      <c r="A21" s="76" t="inlineStr">
        <is>
          <t>4. CAPACIDAD</t>
        </is>
      </c>
      <c r="B21" s="76" t="inlineStr">
        <is>
          <t>phi Pn = 0,65 x 0,80 x [0,85 f'c (Ag - As) + fy As]     (columna zunchada con estribos)</t>
        </is>
      </c>
    </row>
    <row r="22">
      <c r="A22" s="76" t="inlineStr"/>
      <c r="B22" s="77" t="inlineStr">
        <is>
          <t xml:space="preserve">  15x30 con 4d12 -&gt; 51,2 t        20x20 con 4d12 -&gt; 46,6 t</t>
        </is>
      </c>
    </row>
    <row r="23">
      <c r="A23" s="76" t="inlineStr"/>
      <c r="B23" s="77" t="inlineStr"/>
    </row>
    <row r="24">
      <c r="A24" s="76" t="inlineStr">
        <is>
          <t>5. CARGAS</t>
        </is>
      </c>
      <c r="B24" s="76" t="inlineStr">
        <is>
          <t>La columna CARGA (t) viene cargada con una bajada automatica: suma de las</t>
        </is>
      </c>
    </row>
    <row r="25">
      <c r="A25" s="76" t="inlineStr"/>
      <c r="B25" s="77" t="inlineStr">
        <is>
          <t>reacciones de las vigas que apoyan en cada columna (tomadas de la planilla de</t>
        </is>
      </c>
    </row>
    <row r="26">
      <c r="A26" s="76" t="inlineStr"/>
      <c r="B26" s="77" t="inlineStr">
        <is>
          <t>vigas), mas el peso propio, mas lo que baja de la columna del nivel superior.</t>
        </is>
      </c>
    </row>
    <row r="27">
      <c r="A27" s="76" t="inlineStr"/>
      <c r="B27" s="77" t="inlineStr">
        <is>
          <t>ES UNA CARGA PROVISORIA Y ES UN PISO, NO EL VALOR REAL: 20 de los 60 extremos</t>
        </is>
      </c>
    </row>
    <row r="28">
      <c r="A28" s="76" t="inlineStr"/>
      <c r="B28" s="77" t="inlineStr">
        <is>
          <t>de viga no pudieron asignarse a ninguna columna porque apoyan en otra viga, en</t>
        </is>
      </c>
    </row>
    <row r="29">
      <c r="A29" s="76" t="inlineStr"/>
      <c r="B29" s="77" t="inlineStr">
        <is>
          <t>un tabique o en la medianera, y esas reacciones no estan sumadas.</t>
        </is>
      </c>
    </row>
    <row r="30">
      <c r="A30" s="76" t="inlineStr"/>
      <c r="B30" s="77" t="inlineStr">
        <is>
          <t>Para cerrarla hay que indicar, para cada uno de esos 20 extremos, en que apoya.</t>
        </is>
      </c>
    </row>
    <row r="31">
      <c r="A31" s="76" t="inlineStr"/>
      <c r="B31" s="77" t="inlineStr">
        <is>
          <t>Mientras tanto la columna es editable: al corregir un valor todo recalcula.</t>
        </is>
      </c>
    </row>
    <row r="32">
      <c r="A32" s="76" t="inlineStr"/>
      <c r="B32" s="77" t="inlineStr">
        <is>
          <t>Ademas son cargas MAYORADAS, coherentes con la planilla de vigas. Si la catedra</t>
        </is>
      </c>
    </row>
    <row r="33">
      <c r="A33" s="76" t="inlineStr"/>
      <c r="B33" s="77" t="inlineStr">
        <is>
          <t>pide cargas de servicio, dividir por el coeficiente que corresponda.</t>
        </is>
      </c>
    </row>
    <row r="34">
      <c r="A34" s="76" t="inlineStr"/>
      <c r="B34" s="77" t="inlineStr"/>
    </row>
    <row r="35">
      <c r="A35" s="76" t="inlineStr">
        <is>
          <t>6. ESBELTEZ</t>
        </is>
      </c>
      <c r="B35" s="76" t="inlineStr">
        <is>
          <t>Todas las columnas son esbeltas: con lado menor de 15 cm y 3,15 m de altura,</t>
        </is>
      </c>
    </row>
    <row r="36">
      <c r="A36" s="76" t="inlineStr"/>
      <c r="B36" s="77" t="inlineStr">
        <is>
          <t>k lu / r = 70, muy por encima del limite de 34 por debajo del cual se puede</t>
        </is>
      </c>
    </row>
    <row r="37">
      <c r="A37" s="76" t="inlineStr"/>
      <c r="B37" s="77" t="inlineStr">
        <is>
          <t>despreciar el pandeo. En la practica el llenado de mamposteria las arriostra, pero</t>
        </is>
      </c>
    </row>
    <row r="38">
      <c r="A38" s="76" t="inlineStr"/>
      <c r="B38" s="77" t="inlineStr">
        <is>
          <t>si la catedra lo pide hay que verificar segundo orden. La planilla lo marca.</t>
        </is>
      </c>
    </row>
    <row r="39">
      <c r="A39" s="76" t="inlineStr"/>
      <c r="B39" s="77" t="inlineStr"/>
    </row>
    <row r="40">
      <c r="A40" s="76" t="inlineStr">
        <is>
          <t>7. LA DE 10x10</t>
        </is>
      </c>
      <c r="B40" s="76" t="inlineStr">
        <is>
          <t>Existe, confirmada por el proyectista, y el computo metrico la omite. Con 10 cm</t>
        </is>
      </c>
    </row>
    <row r="41">
      <c r="A41" s="76" t="inlineStr"/>
      <c r="B41" s="77" t="inlineStr">
        <is>
          <t>de lado y 3,15 m de altura su esbeltez es k lu / r = 105, tres veces el limite</t>
        </is>
      </c>
    </row>
    <row r="42">
      <c r="A42" s="76" t="inlineStr"/>
      <c r="B42" s="77" t="inlineStr">
        <is>
          <t>por debajo del cual se puede despreciar el pandeo, y su capacidad es de 18,7 t</t>
        </is>
      </c>
    </row>
    <row r="43">
      <c r="A43" s="76" t="inlineStr"/>
      <c r="B43" s="77" t="inlineStr">
        <is>
          <t>contra los 51 de una 15x30. Es el punto mas delicado del conjunto: conviene</t>
        </is>
      </c>
    </row>
    <row r="44">
      <c r="A44" s="76" t="inlineStr"/>
      <c r="B44" s="77" t="inlineStr">
        <is>
          <t>verificarla a segundo orden en serio, no con la formula de compresion simple.</t>
        </is>
      </c>
    </row>
    <row r="45">
      <c r="A45" s="76" t="inlineStr"/>
      <c r="B45" s="77" t="inlineStr"/>
    </row>
    <row r="46">
      <c r="A46" s="76" t="inlineStr">
        <is>
          <t>LIMITACIONES</t>
        </is>
      </c>
      <c r="B46" s="76" t="inlineStr">
        <is>
          <t>Trabajo academico. Requiere verificacion y firma de profesional matriculado.</t>
        </is>
      </c>
    </row>
    <row r="47">
      <c r="A47" s="76" t="inlineStr"/>
      <c r="B47" s="77" t="inlineStr">
        <is>
          <t>No se verifica flexion compuesta: las columnas de borde reciben momento de las</t>
        </is>
      </c>
    </row>
    <row r="48">
      <c r="A48" s="76" t="inlineStr"/>
      <c r="B48" s="77"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8"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2" t="inlineStr">
        <is>
          <t>VF01 (1)</t>
        </is>
      </c>
      <c r="B4" s="11" t="n">
        <v>20</v>
      </c>
      <c r="C4" s="11" t="n">
        <v>35</v>
      </c>
      <c r="D4" s="11" t="n">
        <v>77</v>
      </c>
      <c r="E4" s="7" t="n"/>
    </row>
    <row r="5">
      <c r="A5" s="42" t="inlineStr">
        <is>
          <t>VF01 (2)</t>
        </is>
      </c>
      <c r="B5" s="11" t="n">
        <v>20</v>
      </c>
      <c r="C5" s="11" t="n">
        <v>35</v>
      </c>
      <c r="D5" s="11" t="n">
        <v>77</v>
      </c>
      <c r="E5" s="7" t="n"/>
    </row>
    <row r="6">
      <c r="A6" s="42" t="inlineStr">
        <is>
          <t>VF01 (3)</t>
        </is>
      </c>
      <c r="B6" s="11" t="n">
        <v>20</v>
      </c>
      <c r="C6" s="11" t="n">
        <v>35</v>
      </c>
      <c r="D6" s="11" t="n">
        <v>77</v>
      </c>
      <c r="E6" s="7" t="n"/>
    </row>
    <row r="7">
      <c r="A7" s="42" t="inlineStr">
        <is>
          <t>VF02</t>
        </is>
      </c>
      <c r="B7" s="11" t="n">
        <v>25</v>
      </c>
      <c r="C7" s="11" t="n">
        <v>35</v>
      </c>
      <c r="D7" s="11" t="n">
        <v>328</v>
      </c>
      <c r="E7" s="7" t="n"/>
    </row>
    <row r="8">
      <c r="A8" s="42" t="inlineStr">
        <is>
          <t>VF03</t>
        </is>
      </c>
      <c r="B8" s="11" t="n">
        <v>22</v>
      </c>
      <c r="C8" s="11" t="n">
        <v>25</v>
      </c>
      <c r="D8" s="11" t="n">
        <v>928</v>
      </c>
      <c r="E8" s="7" t="n"/>
    </row>
    <row r="9">
      <c r="A9" s="42" t="inlineStr">
        <is>
          <t>VF04a</t>
        </is>
      </c>
      <c r="B9" s="11" t="n"/>
      <c r="C9" s="11" t="n">
        <v>35</v>
      </c>
      <c r="D9" s="11" t="n">
        <v>533</v>
      </c>
      <c r="E9" s="79" t="inlineStr">
        <is>
          <t>Ancho cortado en el PDF: confirmar 20 o 22 cm</t>
        </is>
      </c>
    </row>
    <row r="10">
      <c r="A10" s="42" t="inlineStr">
        <is>
          <t>VF04b</t>
        </is>
      </c>
      <c r="B10" s="11" t="n">
        <v>20</v>
      </c>
      <c r="C10" s="11" t="n">
        <v>25</v>
      </c>
      <c r="D10" s="11" t="n">
        <v>330</v>
      </c>
      <c r="E10" s="7" t="n"/>
    </row>
    <row r="11">
      <c r="A11" s="42" t="inlineStr">
        <is>
          <t>VF04c</t>
        </is>
      </c>
      <c r="B11" s="11" t="n">
        <v>20</v>
      </c>
      <c r="C11" s="11" t="n">
        <v>25</v>
      </c>
      <c r="D11" s="11" t="n">
        <v>308</v>
      </c>
      <c r="E11" s="7" t="n"/>
    </row>
    <row r="12">
      <c r="A12" s="42" t="inlineStr">
        <is>
          <t>VF05</t>
        </is>
      </c>
      <c r="B12" s="11" t="n">
        <v>15</v>
      </c>
      <c r="C12" s="11" t="n">
        <v>25</v>
      </c>
      <c r="D12" s="11" t="n">
        <v>226</v>
      </c>
      <c r="E12" s="7" t="n"/>
    </row>
    <row r="13">
      <c r="A13" s="42" t="inlineStr">
        <is>
          <t>VF06a</t>
        </is>
      </c>
      <c r="B13" s="11" t="n"/>
      <c r="C13" s="11" t="n"/>
      <c r="D13" s="11" t="n"/>
      <c r="E13" s="79" t="inlineStr">
        <is>
          <t>Cota no legible: completar</t>
        </is>
      </c>
    </row>
    <row r="14">
      <c r="A14" s="42" t="inlineStr">
        <is>
          <t>VF06b</t>
        </is>
      </c>
      <c r="B14" s="11" t="n"/>
      <c r="C14" s="11" t="n"/>
      <c r="D14" s="11" t="n"/>
      <c r="E14" s="79" t="inlineStr">
        <is>
          <t>Cota no legible: completar</t>
        </is>
      </c>
    </row>
    <row r="15">
      <c r="A15" s="42" t="inlineStr">
        <is>
          <t>VF06c</t>
        </is>
      </c>
      <c r="B15" s="11" t="n">
        <v>20</v>
      </c>
      <c r="C15" s="11" t="n">
        <v>25</v>
      </c>
      <c r="D15" s="11" t="n">
        <v>330</v>
      </c>
      <c r="E15" s="7" t="n"/>
    </row>
    <row r="16">
      <c r="A16" s="42" t="inlineStr">
        <is>
          <t>VF06d</t>
        </is>
      </c>
      <c r="B16" s="11" t="n">
        <v>22</v>
      </c>
      <c r="C16" s="11" t="n">
        <v>25</v>
      </c>
      <c r="D16" s="11" t="n">
        <v>303</v>
      </c>
      <c r="E16" s="7" t="n"/>
    </row>
    <row r="17">
      <c r="A17" s="42" t="inlineStr">
        <is>
          <t>VF07</t>
        </is>
      </c>
      <c r="B17" s="11" t="n">
        <v>20</v>
      </c>
      <c r="C17" s="11" t="n">
        <v>25</v>
      </c>
      <c r="D17" s="11" t="n">
        <v>350</v>
      </c>
      <c r="E17" s="7" t="n"/>
    </row>
    <row r="18">
      <c r="A18" s="42" t="inlineStr">
        <is>
          <t>VF08</t>
        </is>
      </c>
      <c r="B18" s="11" t="n">
        <v>25</v>
      </c>
      <c r="C18" s="11" t="n">
        <v>35</v>
      </c>
      <c r="D18" s="11" t="n">
        <v>350</v>
      </c>
      <c r="E18" s="7" t="n"/>
    </row>
    <row r="19">
      <c r="A19" s="42" t="inlineStr">
        <is>
          <t>VF09 (1)</t>
        </is>
      </c>
      <c r="B19" s="11" t="n">
        <v>20</v>
      </c>
      <c r="C19" s="11" t="n">
        <v>35</v>
      </c>
      <c r="D19" s="11" t="n">
        <v>70</v>
      </c>
      <c r="E19" s="7" t="n"/>
    </row>
    <row r="20">
      <c r="A20" s="42" t="inlineStr">
        <is>
          <t>VF09 (2)</t>
        </is>
      </c>
      <c r="B20" s="11" t="n">
        <v>20</v>
      </c>
      <c r="C20" s="11" t="n">
        <v>35</v>
      </c>
      <c r="D20" s="11" t="n">
        <v>70</v>
      </c>
      <c r="E20" s="7" t="n"/>
    </row>
    <row r="21">
      <c r="A21" s="42" t="inlineStr">
        <is>
          <t>VF10a</t>
        </is>
      </c>
      <c r="B21" s="11" t="n">
        <v>20</v>
      </c>
      <c r="C21" s="11" t="n">
        <v>35</v>
      </c>
      <c r="D21" s="11" t="n">
        <v>336</v>
      </c>
      <c r="E21" s="7" t="n"/>
    </row>
    <row r="22">
      <c r="A22" s="42" t="inlineStr">
        <is>
          <t>VF10b</t>
        </is>
      </c>
      <c r="B22" s="11" t="n">
        <v>22</v>
      </c>
      <c r="C22" s="11" t="n">
        <v>35</v>
      </c>
      <c r="D22" s="11" t="n">
        <v>236</v>
      </c>
      <c r="E22" s="7" t="n"/>
    </row>
    <row r="23">
      <c r="A23" s="42" t="inlineStr">
        <is>
          <t>VF10c</t>
        </is>
      </c>
      <c r="B23" s="11" t="n">
        <v>25</v>
      </c>
      <c r="C23" s="11" t="n">
        <v>35</v>
      </c>
      <c r="D23" s="11" t="n">
        <v>803</v>
      </c>
      <c r="E23" s="7" t="n"/>
    </row>
    <row r="24">
      <c r="A24" s="42" t="inlineStr">
        <is>
          <t>VF11</t>
        </is>
      </c>
      <c r="B24" s="11" t="n">
        <v>20</v>
      </c>
      <c r="C24" s="11" t="n">
        <v>25</v>
      </c>
      <c r="D24" s="11" t="n">
        <v>403</v>
      </c>
      <c r="E24" s="7" t="n"/>
    </row>
    <row r="25">
      <c r="A25" s="42" t="inlineStr">
        <is>
          <t>VF12</t>
        </is>
      </c>
      <c r="B25" s="11" t="n">
        <v>15</v>
      </c>
      <c r="C25" s="11" t="n">
        <v>25</v>
      </c>
      <c r="D25" s="11" t="n">
        <v>149</v>
      </c>
      <c r="E25" s="7" t="n"/>
    </row>
    <row r="26">
      <c r="A26" s="42" t="inlineStr">
        <is>
          <t>VF13</t>
        </is>
      </c>
      <c r="B26" s="11" t="n"/>
      <c r="C26" s="11" t="n"/>
      <c r="D26" s="11" t="n"/>
      <c r="E26" s="79" t="inlineStr">
        <is>
          <t>Cota no legible: completar</t>
        </is>
      </c>
    </row>
    <row r="27">
      <c r="A27" s="42" t="inlineStr">
        <is>
          <t>VF14</t>
        </is>
      </c>
      <c r="B27" s="11" t="n">
        <v>25</v>
      </c>
      <c r="C27" s="11" t="n">
        <v>40</v>
      </c>
      <c r="D27" s="11" t="n">
        <v>875</v>
      </c>
      <c r="E27" s="7" t="n"/>
    </row>
    <row r="28">
      <c r="A28" s="42" t="inlineStr">
        <is>
          <t>VF15</t>
        </is>
      </c>
      <c r="B28" s="11" t="n">
        <v>20</v>
      </c>
      <c r="C28" s="11" t="n">
        <v>25</v>
      </c>
      <c r="D28" s="11" t="n">
        <v>239</v>
      </c>
      <c r="E28" s="7" t="n"/>
    </row>
    <row r="29">
      <c r="A29" s="42" t="inlineStr">
        <is>
          <t>VF16a</t>
        </is>
      </c>
      <c r="B29" s="11" t="n">
        <v>20</v>
      </c>
      <c r="C29" s="11" t="n">
        <v>35</v>
      </c>
      <c r="D29" s="11" t="n">
        <v>696</v>
      </c>
      <c r="E29" s="7" t="n"/>
    </row>
    <row r="30">
      <c r="A30" s="42" t="inlineStr">
        <is>
          <t>VF16b</t>
        </is>
      </c>
      <c r="B30" s="11" t="n">
        <v>20</v>
      </c>
      <c r="C30" s="11" t="n">
        <v>25</v>
      </c>
      <c r="D30" s="11" t="n">
        <v>313</v>
      </c>
      <c r="E30" s="7" t="n"/>
    </row>
    <row r="31">
      <c r="A31" s="42" t="inlineStr">
        <is>
          <t>VF17</t>
        </is>
      </c>
      <c r="B31" s="11" t="n">
        <v>20</v>
      </c>
      <c r="C31" s="11" t="n">
        <v>25</v>
      </c>
      <c r="D31" s="11" t="n">
        <v>353</v>
      </c>
      <c r="E31" s="7" t="n"/>
    </row>
    <row r="32">
      <c r="A32" s="42" t="inlineStr">
        <is>
          <t>VF18a</t>
        </is>
      </c>
      <c r="B32" s="11" t="n">
        <v>25</v>
      </c>
      <c r="C32" s="11" t="n">
        <v>35</v>
      </c>
      <c r="D32" s="11" t="n">
        <v>748</v>
      </c>
      <c r="E32" s="7" t="n"/>
    </row>
    <row r="33">
      <c r="A33" s="42" t="inlineStr">
        <is>
          <t>VF18b</t>
        </is>
      </c>
      <c r="B33" s="11" t="n">
        <v>20</v>
      </c>
      <c r="C33" s="11" t="n">
        <v>25</v>
      </c>
      <c r="D33" s="11" t="n">
        <v>305</v>
      </c>
      <c r="E33" s="7" t="n"/>
    </row>
    <row r="34">
      <c r="A34" s="42" t="inlineStr">
        <is>
          <t>VF18c</t>
        </is>
      </c>
      <c r="B34" s="11" t="n">
        <v>20</v>
      </c>
      <c r="C34" s="11" t="n">
        <v>35</v>
      </c>
      <c r="D34" s="11" t="n">
        <v>482</v>
      </c>
      <c r="E34" s="7" t="n"/>
    </row>
    <row r="35">
      <c r="A35" s="2" t="n"/>
      <c r="B35" s="2" t="n"/>
      <c r="C35" s="2" t="n"/>
      <c r="D35" s="2" t="n"/>
      <c r="E35" s="2" t="n"/>
    </row>
    <row r="36">
      <c r="A36" s="38"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2026-10-23T21:52:03Z</dcterms:created>
  <dcterms:modified xmlns:dcterms="http://purl.org/dc/terms/" xmlns:xsi="http://www.w3.org/2001/XMLSchema-instance" xsi:type="dcterms:W3CDTF">2026-10-23T21:52:04Z</dcterms:modified>
</cp:coreProperties>
</file>