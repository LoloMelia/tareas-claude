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11" customWidth="1" min="30" max="30"/>
    <col width="8" customWidth="1" min="31" max="31"/>
    <col width="8" customWidth="1" min="32" max="32"/>
    <col width="8" customWidth="1" min="33" max="33"/>
    <col width="7" customWidth="1" min="34" max="34"/>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46" customHeight="1">
      <c r="A4" s="22" t="inlineStr">
        <is>
          <t>PA</t>
        </is>
      </c>
      <c r="B4" s="23" t="inlineStr">
        <is>
          <t>VI 01a</t>
        </is>
      </c>
      <c r="C4" s="8" t="n">
        <v>9.9</v>
      </c>
      <c r="D4" s="24">
        <f>(Datos_vigas!$B$10*(VLOOKUP($A$4,Datos_vigas!$A$14:$E$15,2,0)*AF4+Datos_vigas!$B$7*J4*L4/10000+Datos_vigas!$B$16*AG4)+Datos_vigas!$B$11*VLOOKUP($A$4,Datos_vigas!$A$14:$E$15,3,0)*AF4)</f>
        <v/>
      </c>
      <c r="E4" s="11" t="n"/>
      <c r="F4" s="24">
        <f>VLOOKUP(Y4,Datos_vigas!$A$19:$E$23,4,0)*D4*C4+IF(OR(AD4="",AE4=""),0,AD4*MAX(AE4,C4-AE4)/C4)</f>
        <v/>
      </c>
      <c r="G4" s="24">
        <f>F4</f>
        <v/>
      </c>
      <c r="H4" s="24">
        <f>VLOOKUP(Y4,Datos_vigas!$A$19:$E$23,2,0)*D4*C4^2+0.75*1000*IF(OR(AD4="",AE4=""),0,AD4*AE4*(C4-AE4)/C4/1000)</f>
        <v/>
      </c>
      <c r="I4" s="24">
        <f>IF(VLOOKUP(Y4,Datos_vigas!$A$19:$E$23,3,0)=0,"---",VLOOKUP(Y4,Datos_vigas!$A$19:$E$23,3,0)*D4*C4^2+0.50*1000*IF(OR(AD4="",AE4=""),0,AD4*AE4*(C4-AE4)/C4/1000))</f>
        <v/>
      </c>
      <c r="J4" s="10" t="n">
        <v>15</v>
      </c>
      <c r="K4" s="11">
        <f>L4-AH4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c r="AE4" s="10" t="n"/>
      <c r="AF4" s="10" t="n">
        <v>0</v>
      </c>
      <c r="AG4" s="10" t="n">
        <v>2.6</v>
      </c>
      <c r="AH4" s="10" t="n">
        <v>3</v>
      </c>
    </row>
    <row r="5" ht="46" customHeight="1">
      <c r="A5" s="26" t="n"/>
      <c r="B5" s="23" t="inlineStr">
        <is>
          <t>VI 01b</t>
        </is>
      </c>
      <c r="C5" s="8" t="n">
        <v>3.95</v>
      </c>
      <c r="D5" s="24">
        <f>(Datos_vigas!$B$10*(VLOOKUP($A$4,Datos_vigas!$A$14:$E$15,2,0)*AF5+Datos_vigas!$B$7*J5*L5/10000+Datos_vigas!$B$16*AG5)+Datos_vigas!$B$11*VLOOKUP($A$4,Datos_vigas!$A$14:$E$15,3,0)*AF5)</f>
        <v/>
      </c>
      <c r="E5" s="11" t="n"/>
      <c r="F5" s="24">
        <f>VLOOKUP(Y5,Datos_vigas!$A$19:$E$23,4,0)*D5*C5+IF(OR(AD5="",AE5=""),0,AD5*MAX(AE5,C5-AE5)/C5)</f>
        <v/>
      </c>
      <c r="G5" s="24">
        <f>F5</f>
        <v/>
      </c>
      <c r="H5" s="24">
        <f>VLOOKUP(Y5,Datos_vigas!$A$19:$E$23,2,0)*D5*C5^2+0.75*1000*IF(OR(AD5="",AE5=""),0,AD5*AE5*(C5-AE5)/C5/1000)</f>
        <v/>
      </c>
      <c r="I5" s="24">
        <f>IF(VLOOKUP(Y5,Datos_vigas!$A$19:$E$23,3,0)=0,"---",VLOOKUP(Y5,Datos_vigas!$A$19:$E$23,3,0)*D5*C5^2+0.50*1000*IF(OR(AD5="",AE5=""),0,AD5*AE5*(C5-AE5)/C5/1000))</f>
        <v/>
      </c>
      <c r="J5" s="10" t="n">
        <v>15</v>
      </c>
      <c r="K5" s="11">
        <f>L5-AH5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c r="AE5" s="10" t="n"/>
      <c r="AF5" s="10" t="n">
        <v>0</v>
      </c>
      <c r="AG5" s="10" t="n">
        <v>2.6</v>
      </c>
      <c r="AH5" s="10" t="n">
        <v>3</v>
      </c>
    </row>
    <row r="6" ht="46" customHeight="1">
      <c r="A6" s="26" t="n"/>
      <c r="B6" s="23" t="inlineStr">
        <is>
          <t>VI 02</t>
        </is>
      </c>
      <c r="C6" s="8" t="n">
        <v>9.880000000000001</v>
      </c>
      <c r="D6" s="24">
        <f>(Datos_vigas!$B$10*(VLOOKUP($A$4,Datos_vigas!$A$14:$E$15,2,0)*AF6+Datos_vigas!$B$7*J6*L6/10000+Datos_vigas!$B$16*AG6)+Datos_vigas!$B$11*VLOOKUP($A$4,Datos_vigas!$A$14:$E$15,3,0)*AF6)</f>
        <v/>
      </c>
      <c r="E6" s="11" t="n"/>
      <c r="F6" s="24">
        <f>VLOOKUP(Y6,Datos_vigas!$A$19:$E$23,4,0)*D6*C6+IF(OR(AD6="",AE6=""),0,AD6*MAX(AE6,C6-AE6)/C6)</f>
        <v/>
      </c>
      <c r="G6" s="24">
        <f>F6</f>
        <v/>
      </c>
      <c r="H6" s="24">
        <f>VLOOKUP(Y6,Datos_vigas!$A$19:$E$23,2,0)*D6*C6^2+0.75*1000*IF(OR(AD6="",AE6=""),0,AD6*AE6*(C6-AE6)/C6/1000)</f>
        <v/>
      </c>
      <c r="I6" s="24">
        <f>IF(VLOOKUP(Y6,Datos_vigas!$A$19:$E$23,3,0)=0,"---",VLOOKUP(Y6,Datos_vigas!$A$19:$E$23,3,0)*D6*C6^2+0.50*1000*IF(OR(AD6="",AE6=""),0,AD6*AE6*(C6-AE6)/C6/1000))</f>
        <v/>
      </c>
      <c r="J6" s="10" t="n">
        <v>15</v>
      </c>
      <c r="K6" s="11">
        <f>L6-AH6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c r="AE6" s="10" t="n"/>
      <c r="AF6" s="10" t="n">
        <v>2.689</v>
      </c>
      <c r="AG6" s="10" t="n">
        <v>2.6</v>
      </c>
      <c r="AH6" s="10" t="n">
        <v>6</v>
      </c>
    </row>
    <row r="7" ht="46" customHeight="1">
      <c r="A7" s="26" t="n"/>
      <c r="B7" s="23" t="inlineStr">
        <is>
          <t>VI 03c</t>
        </is>
      </c>
      <c r="C7" s="8" t="n">
        <v>3.75</v>
      </c>
      <c r="D7" s="24">
        <f>(Datos_vigas!$B$10*(VLOOKUP($A$4,Datos_vigas!$A$14:$E$15,2,0)*AF7+Datos_vigas!$B$7*J7*L7/10000+Datos_vigas!$B$16*AG7)+Datos_vigas!$B$11*VLOOKUP($A$4,Datos_vigas!$A$14:$E$15,3,0)*AF7)</f>
        <v/>
      </c>
      <c r="E7" s="11" t="n"/>
      <c r="F7" s="24">
        <f>VLOOKUP(Y7,Datos_vigas!$A$19:$E$23,4,0)*D7*C7+IF(OR(AD7="",AE7=""),0,AD7*MAX(AE7,C7-AE7)/C7)</f>
        <v/>
      </c>
      <c r="G7" s="24">
        <f>F7</f>
        <v/>
      </c>
      <c r="H7" s="24">
        <f>VLOOKUP(Y7,Datos_vigas!$A$19:$E$23,2,0)*D7*C7^2+0.75*1000*IF(OR(AD7="",AE7=""),0,AD7*AE7*(C7-AE7)/C7/1000)</f>
        <v/>
      </c>
      <c r="I7" s="24">
        <f>IF(VLOOKUP(Y7,Datos_vigas!$A$19:$E$23,3,0)=0,"---",VLOOKUP(Y7,Datos_vigas!$A$19:$E$23,3,0)*D7*C7^2+0.50*1000*IF(OR(AD7="",AE7=""),0,AD7*AE7*(C7-AE7)/C7/1000))</f>
        <v/>
      </c>
      <c r="J7" s="10" t="n">
        <v>15</v>
      </c>
      <c r="K7" s="11">
        <f>L7-AH7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c r="AE7" s="10" t="n"/>
      <c r="AF7" s="10" t="n">
        <v>2.1</v>
      </c>
      <c r="AG7" s="10" t="n">
        <v>2.6</v>
      </c>
      <c r="AH7" s="10" t="n">
        <v>3</v>
      </c>
    </row>
    <row r="8" ht="46" customHeight="1">
      <c r="A8" s="26" t="n"/>
      <c r="B8" s="23" t="inlineStr">
        <is>
          <t>VI 04a</t>
        </is>
      </c>
      <c r="C8" s="8" t="n">
        <v>3.75</v>
      </c>
      <c r="D8" s="24">
        <f>(Datos_vigas!$B$10*(VLOOKUP($A$4,Datos_vigas!$A$14:$E$15,2,0)*AF8+Datos_vigas!$B$7*J8*L8/10000+Datos_vigas!$B$16*AG8)+Datos_vigas!$B$11*VLOOKUP($A$4,Datos_vigas!$A$14:$E$15,3,0)*AF8)</f>
        <v/>
      </c>
      <c r="E8" s="11" t="n"/>
      <c r="F8" s="24">
        <f>VLOOKUP(Y8,Datos_vigas!$A$19:$E$23,4,0)*D8*C8+IF(OR(AD8="",AE8=""),0,AD8*MAX(AE8,C8-AE8)/C8)</f>
        <v/>
      </c>
      <c r="G8" s="24">
        <f>F8</f>
        <v/>
      </c>
      <c r="H8" s="24">
        <f>VLOOKUP(Y8,Datos_vigas!$A$19:$E$23,2,0)*D8*C8^2+0.75*1000*IF(OR(AD8="",AE8=""),0,AD8*AE8*(C8-AE8)/C8/1000)</f>
        <v/>
      </c>
      <c r="I8" s="24">
        <f>IF(VLOOKUP(Y8,Datos_vigas!$A$19:$E$23,3,0)=0,"---",VLOOKUP(Y8,Datos_vigas!$A$19:$E$23,3,0)*D8*C8^2+0.50*1000*IF(OR(AD8="",AE8=""),0,AD8*AE8*(C8-AE8)/C8/1000))</f>
        <v/>
      </c>
      <c r="J8" s="10" t="n">
        <v>15</v>
      </c>
      <c r="K8" s="11">
        <f>L8-AH8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3"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1">
        <f>IF(Z8="Colgante",MIN(C8*100/4,J8+16*AA8),J8)</f>
        <v/>
      </c>
      <c r="AC8" s="11">
        <f>IF(Z8="Invertida",MIN(C8*100/4,J8+16*AA8),J8)</f>
        <v/>
      </c>
      <c r="AD8" s="10" t="n">
        <v>6332</v>
      </c>
      <c r="AE8" s="10" t="n">
        <v>1.8</v>
      </c>
      <c r="AF8" s="10" t="n">
        <v>0</v>
      </c>
      <c r="AG8" s="10" t="n">
        <v>2.6</v>
      </c>
      <c r="AH8" s="10" t="n">
        <v>3</v>
      </c>
    </row>
    <row r="9" ht="46" customHeight="1">
      <c r="A9" s="26" t="n"/>
      <c r="B9" s="23" t="inlineStr">
        <is>
          <t>VI 04b</t>
        </is>
      </c>
      <c r="C9" s="8" t="n">
        <v>3.8</v>
      </c>
      <c r="D9" s="24">
        <f>(Datos_vigas!$B$10*(VLOOKUP($A$4,Datos_vigas!$A$14:$E$15,2,0)*AF9+Datos_vigas!$B$7*J9*L9/10000+Datos_vigas!$B$16*AG9)+Datos_vigas!$B$11*VLOOKUP($A$4,Datos_vigas!$A$14:$E$15,3,0)*AF9)</f>
        <v/>
      </c>
      <c r="E9" s="11" t="n"/>
      <c r="F9" s="24">
        <f>VLOOKUP(Y9,Datos_vigas!$A$19:$E$23,4,0)*D9*C9+IF(OR(AD9="",AE9=""),0,AD9*MAX(AE9,C9-AE9)/C9)</f>
        <v/>
      </c>
      <c r="G9" s="24">
        <f>F9</f>
        <v/>
      </c>
      <c r="H9" s="24">
        <f>VLOOKUP(Y9,Datos_vigas!$A$19:$E$23,2,0)*D9*C9^2+0.75*1000*IF(OR(AD9="",AE9=""),0,AD9*AE9*(C9-AE9)/C9/1000)</f>
        <v/>
      </c>
      <c r="I9" s="24">
        <f>IF(VLOOKUP(Y9,Datos_vigas!$A$19:$E$23,3,0)=0,"---",VLOOKUP(Y9,Datos_vigas!$A$19:$E$23,3,0)*D9*C9^2+0.50*1000*IF(OR(AD9="",AE9=""),0,AD9*AE9*(C9-AE9)/C9/1000))</f>
        <v/>
      </c>
      <c r="J9" s="10" t="n">
        <v>15</v>
      </c>
      <c r="K9" s="11">
        <f>L9-AH9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c r="AE9" s="10" t="n"/>
      <c r="AF9" s="10" t="n">
        <v>1.549</v>
      </c>
      <c r="AG9" s="10" t="n">
        <v>2.6</v>
      </c>
      <c r="AH9" s="10" t="n">
        <v>3</v>
      </c>
    </row>
    <row r="10" ht="46" customHeight="1">
      <c r="A10" s="26" t="n"/>
      <c r="B10" s="23" t="inlineStr">
        <is>
          <t>VI 06</t>
        </is>
      </c>
      <c r="C10" s="8" t="n">
        <v>6.53</v>
      </c>
      <c r="D10" s="24">
        <f>(Datos_vigas!$B$10*(VLOOKUP($A$4,Datos_vigas!$A$14:$E$15,2,0)*AF10+Datos_vigas!$B$7*J10*L10/10000+Datos_vigas!$B$16*AG10)+Datos_vigas!$B$11*VLOOKUP($A$4,Datos_vigas!$A$14:$E$15,3,0)*AF10)</f>
        <v/>
      </c>
      <c r="E10" s="11" t="n"/>
      <c r="F10" s="24">
        <f>VLOOKUP(Y10,Datos_vigas!$A$19:$E$23,4,0)*D10*C10+IF(OR(AD10="",AE10=""),0,AD10*MAX(AE10,C10-AE10)/C10)</f>
        <v/>
      </c>
      <c r="G10" s="24">
        <f>F10</f>
        <v/>
      </c>
      <c r="H10" s="24">
        <f>VLOOKUP(Y10,Datos_vigas!$A$19:$E$23,2,0)*D10*C10^2+0.75*1000*IF(OR(AD10="",AE10=""),0,AD10*AE10*(C10-AE10)/C10/1000)</f>
        <v/>
      </c>
      <c r="I10" s="24">
        <f>IF(VLOOKUP(Y10,Datos_vigas!$A$19:$E$23,3,0)=0,"---",VLOOKUP(Y10,Datos_vigas!$A$19:$E$23,3,0)*D10*C10^2+0.50*1000*IF(OR(AD10="",AE10=""),0,AD10*AE10*(C10-AE10)/C10/1000))</f>
        <v/>
      </c>
      <c r="J10" s="10" t="n">
        <v>15</v>
      </c>
      <c r="K10" s="11">
        <f>L10-AH10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PENDIENTE: recibe las puntuales de VI 09 (6,3 t) y VI 08b (6,0 t) y todavia no estan cargadas, porque falta saber en que tramo y a que distancia caen. Con ambas al medio del tramo mayor el momento de tramo pasaria de 7.920 a 22.963 kgm.</t>
        </is>
      </c>
      <c r="Y10" s="10" t="inlineStr">
        <is>
          <t>Continua</t>
        </is>
      </c>
      <c r="Z10" s="10" t="inlineStr">
        <is>
          <t>Invertida</t>
        </is>
      </c>
      <c r="AA10" s="10" t="n">
        <v>12</v>
      </c>
      <c r="AB10" s="11">
        <f>IF(Z10="Colgante",MIN(C10*100/4,J10+16*AA10),J10)</f>
        <v/>
      </c>
      <c r="AC10" s="11">
        <f>IF(Z10="Invertida",MIN(C10*100/4,J10+16*AA10),J10)</f>
        <v/>
      </c>
      <c r="AD10" s="10" t="n"/>
      <c r="AE10" s="10" t="n"/>
      <c r="AF10" s="10" t="n">
        <v>1.549</v>
      </c>
      <c r="AG10" s="10" t="n">
        <v>2.6</v>
      </c>
      <c r="AH10" s="10" t="n">
        <v>3</v>
      </c>
    </row>
    <row r="11" ht="46" customHeight="1">
      <c r="A11" s="26" t="n"/>
      <c r="B11" s="23" t="inlineStr">
        <is>
          <t>VI 07a</t>
        </is>
      </c>
      <c r="C11" s="8" t="n">
        <v>3.37</v>
      </c>
      <c r="D11" s="24">
        <f>(Datos_vigas!$B$10*(VLOOKUP($A$4,Datos_vigas!$A$14:$E$15,2,0)*AF11+Datos_vigas!$B$7*J11*L11/10000+Datos_vigas!$B$16*AG11)+Datos_vigas!$B$11*VLOOKUP($A$4,Datos_vigas!$A$14:$E$15,3,0)*AF11)</f>
        <v/>
      </c>
      <c r="E11" s="11" t="n"/>
      <c r="F11" s="24">
        <f>VLOOKUP(Y11,Datos_vigas!$A$19:$E$23,4,0)*D11*C11+IF(OR(AD11="",AE11=""),0,AD11*MAX(AE11,C11-AE11)/C11)</f>
        <v/>
      </c>
      <c r="G11" s="24">
        <f>F11</f>
        <v/>
      </c>
      <c r="H11" s="24">
        <f>VLOOKUP(Y11,Datos_vigas!$A$19:$E$23,2,0)*D11*C11^2+0.75*1000*IF(OR(AD11="",AE11=""),0,AD11*AE11*(C11-AE11)/C11/1000)</f>
        <v/>
      </c>
      <c r="I11" s="24">
        <f>IF(VLOOKUP(Y11,Datos_vigas!$A$19:$E$23,3,0)=0,"---",VLOOKUP(Y11,Datos_vigas!$A$19:$E$23,3,0)*D11*C11^2+0.50*1000*IF(OR(AD11="",AE11=""),0,AD11*AE11*(C11-AE11)/C11/1000))</f>
        <v/>
      </c>
      <c r="J11" s="10" t="n">
        <v>15</v>
      </c>
      <c r="K11" s="11">
        <f>L11-AH11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c r="AE11" s="10" t="n"/>
      <c r="AF11" s="10" t="n">
        <v>0.78</v>
      </c>
      <c r="AG11" s="10" t="n">
        <v>2.6</v>
      </c>
      <c r="AH11" s="10" t="n">
        <v>3</v>
      </c>
    </row>
    <row r="12" ht="46" customHeight="1">
      <c r="A12" s="26" t="n"/>
      <c r="B12" s="23" t="inlineStr">
        <is>
          <t>VI 07b</t>
        </is>
      </c>
      <c r="C12" s="8" t="n">
        <v>4.03</v>
      </c>
      <c r="D12" s="24">
        <f>(Datos_vigas!$B$10*(VLOOKUP($A$4,Datos_vigas!$A$14:$E$15,2,0)*AF12+Datos_vigas!$B$7*J12*L12/10000+Datos_vigas!$B$16*AG12)+Datos_vigas!$B$11*VLOOKUP($A$4,Datos_vigas!$A$14:$E$15,3,0)*AF12)</f>
        <v/>
      </c>
      <c r="E12" s="11" t="n"/>
      <c r="F12" s="24">
        <f>VLOOKUP(Y12,Datos_vigas!$A$19:$E$23,4,0)*D12*C12+IF(OR(AD12="",AE12=""),0,AD12*MAX(AE12,C12-AE12)/C12)</f>
        <v/>
      </c>
      <c r="G12" s="24">
        <f>F12</f>
        <v/>
      </c>
      <c r="H12" s="24">
        <f>VLOOKUP(Y12,Datos_vigas!$A$19:$E$23,2,0)*D12*C12^2+0.75*1000*IF(OR(AD12="",AE12=""),0,AD12*AE12*(C12-AE12)/C12/1000)</f>
        <v/>
      </c>
      <c r="I12" s="24">
        <f>IF(VLOOKUP(Y12,Datos_vigas!$A$19:$E$23,3,0)=0,"---",VLOOKUP(Y12,Datos_vigas!$A$19:$E$23,3,0)*D12*C12^2+0.50*1000*IF(OR(AD12="",AE12=""),0,AD12*AE12*(C12-AE12)/C12/1000))</f>
        <v/>
      </c>
      <c r="J12" s="10" t="n">
        <v>15</v>
      </c>
      <c r="K12" s="11">
        <f>L12-AH12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c r="AE12" s="10" t="n"/>
      <c r="AF12" s="10" t="n">
        <v>0</v>
      </c>
      <c r="AG12" s="10" t="n">
        <v>2.6</v>
      </c>
      <c r="AH12" s="10" t="n">
        <v>3</v>
      </c>
    </row>
    <row r="13" ht="46" customHeight="1">
      <c r="A13" s="26" t="n"/>
      <c r="B13" s="23" t="inlineStr">
        <is>
          <t>VI 07c</t>
        </is>
      </c>
      <c r="C13" s="8" t="n">
        <v>8.6</v>
      </c>
      <c r="D13" s="24">
        <f>(Datos_vigas!$B$10*(VLOOKUP($A$4,Datos_vigas!$A$14:$E$15,2,0)*AF13+Datos_vigas!$B$7*J13*L13/10000+Datos_vigas!$B$16*AG13)+Datos_vigas!$B$11*VLOOKUP($A$4,Datos_vigas!$A$14:$E$15,3,0)*AF13)</f>
        <v/>
      </c>
      <c r="E13" s="11" t="n"/>
      <c r="F13" s="24">
        <f>VLOOKUP(Y13,Datos_vigas!$A$19:$E$23,4,0)*D13*C13+IF(OR(AD13="",AE13=""),0,AD13*MAX(AE13,C13-AE13)/C13)</f>
        <v/>
      </c>
      <c r="G13" s="24">
        <f>F13</f>
        <v/>
      </c>
      <c r="H13" s="24">
        <f>VLOOKUP(Y13,Datos_vigas!$A$19:$E$23,2,0)*D13*C13^2+0.75*1000*IF(OR(AD13="",AE13=""),0,AD13*AE13*(C13-AE13)/C13/1000)</f>
        <v/>
      </c>
      <c r="I13" s="24">
        <f>IF(VLOOKUP(Y13,Datos_vigas!$A$19:$E$23,3,0)=0,"---",VLOOKUP(Y13,Datos_vigas!$A$19:$E$23,3,0)*D13*C13^2+0.50*1000*IF(OR(AD13="",AE13=""),0,AD13*AE13*(C13-AE13)/C13/1000))</f>
        <v/>
      </c>
      <c r="J13" s="10" t="n">
        <v>15</v>
      </c>
      <c r="K13" s="11">
        <f>L13-AH13</f>
        <v/>
      </c>
      <c r="L13" s="10" t="n">
        <v>70</v>
      </c>
      <c r="M13" s="25">
        <f>IF(NOT(ISNUMBER(H13)),"---",IF(H13&lt;=0,"---",IF(H13*100/(Datos_vigas!$B$8*AB13*K13^2*Datos_vigas!$B$5)&gt;=0.5,"REVISAR",MAX((1-SQRT(1-2*H13*100/(Datos_vigas!$B$8*AB13*K13^2*Datos_vigas!$B$5)))*AB13*K13*Datos_vigas!$B$5/Datos_vigas!$B$6,0.0033*J13*K13))))</f>
        <v/>
      </c>
      <c r="N13" s="10" t="n">
        <v>3</v>
      </c>
      <c r="O13" s="10" t="n">
        <v>25</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10</v>
      </c>
      <c r="V13" s="10" t="n">
        <v>15</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1735</v>
      </c>
      <c r="AE13" s="10" t="n">
        <v>3.6</v>
      </c>
      <c r="AF13" s="10" t="n">
        <v>3.71</v>
      </c>
      <c r="AG13" s="10" t="n">
        <v>2.6</v>
      </c>
      <c r="AH13" s="10" t="n">
        <v>6</v>
      </c>
    </row>
    <row r="14" ht="46" customHeight="1">
      <c r="A14" s="26" t="n"/>
      <c r="B14" s="23" t="inlineStr">
        <is>
          <t>VI 08a</t>
        </is>
      </c>
      <c r="C14" s="8" t="n">
        <v>3.65</v>
      </c>
      <c r="D14" s="24">
        <f>(Datos_vigas!$B$10*(VLOOKUP($A$4,Datos_vigas!$A$14:$E$15,2,0)*AF14+Datos_vigas!$B$7*J14*L14/10000+Datos_vigas!$B$16*AG14)+Datos_vigas!$B$11*VLOOKUP($A$4,Datos_vigas!$A$14:$E$15,3,0)*AF14)</f>
        <v/>
      </c>
      <c r="E14" s="11" t="n"/>
      <c r="F14" s="24">
        <f>VLOOKUP(Y14,Datos_vigas!$A$19:$E$23,4,0)*D14*C14+IF(OR(AD14="",AE14=""),0,AD14*MAX(AE14,C14-AE14)/C14)</f>
        <v/>
      </c>
      <c r="G14" s="24">
        <f>F14</f>
        <v/>
      </c>
      <c r="H14" s="24">
        <f>VLOOKUP(Y14,Datos_vigas!$A$19:$E$23,2,0)*D14*C14^2+0.75*1000*IF(OR(AD14="",AE14=""),0,AD14*AE14*(C14-AE14)/C14/1000)</f>
        <v/>
      </c>
      <c r="I14" s="24">
        <f>IF(VLOOKUP(Y14,Datos_vigas!$A$19:$E$23,3,0)=0,"---",VLOOKUP(Y14,Datos_vigas!$A$19:$E$23,3,0)*D14*C14^2+0.50*1000*IF(OR(AD14="",AE14=""),0,AD14*AE14*(C14-AE14)/C14/1000))</f>
        <v/>
      </c>
      <c r="J14" s="10" t="n">
        <v>15</v>
      </c>
      <c r="K14" s="11">
        <f>L14-AH14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c r="AE14" s="10" t="n"/>
      <c r="AF14" s="10" t="n">
        <v>1.065</v>
      </c>
      <c r="AG14" s="10" t="n">
        <v>2.6</v>
      </c>
      <c r="AH14" s="10" t="n">
        <v>3</v>
      </c>
    </row>
    <row r="15" ht="46" customHeight="1">
      <c r="A15" s="26" t="n"/>
      <c r="B15" s="23" t="inlineStr">
        <is>
          <t>VI 08b</t>
        </is>
      </c>
      <c r="C15" s="8" t="n">
        <v>4.87</v>
      </c>
      <c r="D15" s="24">
        <f>(Datos_vigas!$B$10*(VLOOKUP($A$4,Datos_vigas!$A$14:$E$15,2,0)*AF15+Datos_vigas!$B$7*J15*L15/10000+Datos_vigas!$B$16*AG15)+Datos_vigas!$B$11*VLOOKUP($A$4,Datos_vigas!$A$14:$E$15,3,0)*AF15)</f>
        <v/>
      </c>
      <c r="E15" s="11" t="n"/>
      <c r="F15" s="24">
        <f>VLOOKUP(Y15,Datos_vigas!$A$19:$E$23,4,0)*D15*C15+IF(OR(AD15="",AE15=""),0,AD15*MAX(AE15,C15-AE15)/C15)</f>
        <v/>
      </c>
      <c r="G15" s="24">
        <f>F15</f>
        <v/>
      </c>
      <c r="H15" s="24">
        <f>VLOOKUP(Y15,Datos_vigas!$A$19:$E$23,2,0)*D15*C15^2+0.75*1000*IF(OR(AD15="",AE15=""),0,AD15*AE15*(C15-AE15)/C15/1000)</f>
        <v/>
      </c>
      <c r="I15" s="24">
        <f>IF(VLOOKUP(Y15,Datos_vigas!$A$19:$E$23,3,0)=0,"---",VLOOKUP(Y15,Datos_vigas!$A$19:$E$23,3,0)*D15*C15^2+0.50*1000*IF(OR(AD15="",AE15=""),0,AD15*AE15*(C15-AE15)/C15/1000))</f>
        <v/>
      </c>
      <c r="J15" s="10" t="n">
        <v>15</v>
      </c>
      <c r="K15" s="11">
        <f>L15-AH15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3" t="inlineStr">
        <is>
          <t>Descarga en la COL 04 de 20x20 y en VI 06.</t>
        </is>
      </c>
      <c r="Y15" s="10" t="inlineStr">
        <is>
          <t>Continua</t>
        </is>
      </c>
      <c r="Z15" s="10" t="inlineStr">
        <is>
          <t>Invertida</t>
        </is>
      </c>
      <c r="AA15" s="10" t="n">
        <v>12</v>
      </c>
      <c r="AB15" s="11">
        <f>IF(Z15="Colgante",MIN(C15*100/4,J15+16*AA15),J15)</f>
        <v/>
      </c>
      <c r="AC15" s="11">
        <f>IF(Z15="Invertida",MIN(C15*100/4,J15+16*AA15),J15)</f>
        <v/>
      </c>
      <c r="AD15" s="10" t="n"/>
      <c r="AE15" s="10" t="n"/>
      <c r="AF15" s="10" t="n">
        <v>1.065</v>
      </c>
      <c r="AG15" s="10" t="n">
        <v>2.6</v>
      </c>
      <c r="AH15" s="10" t="n">
        <v>3</v>
      </c>
    </row>
    <row r="16" ht="46" customHeight="1">
      <c r="A16" s="26" t="n"/>
      <c r="B16" s="23" t="inlineStr">
        <is>
          <t>VI 09</t>
        </is>
      </c>
      <c r="C16" s="8" t="n">
        <v>4.87</v>
      </c>
      <c r="D16" s="24">
        <f>(Datos_vigas!$B$10*(VLOOKUP($A$4,Datos_vigas!$A$14:$E$15,2,0)*AF16+Datos_vigas!$B$7*J16*L16/10000+Datos_vigas!$B$16*AG16)+Datos_vigas!$B$11*VLOOKUP($A$4,Datos_vigas!$A$14:$E$15,3,0)*AF16)</f>
        <v/>
      </c>
      <c r="E16" s="11" t="n"/>
      <c r="F16" s="24">
        <f>VLOOKUP(Y16,Datos_vigas!$A$19:$E$23,4,0)*D16*C16+IF(OR(AD16="",AE16=""),0,AD16*MAX(AE16,C16-AE16)/C16)</f>
        <v/>
      </c>
      <c r="G16" s="24">
        <f>F16</f>
        <v/>
      </c>
      <c r="H16" s="24">
        <f>VLOOKUP(Y16,Datos_vigas!$A$19:$E$23,2,0)*D16*C16^2+0.75*1000*IF(OR(AD16="",AE16=""),0,AD16*AE16*(C16-AE16)/C16/1000)</f>
        <v/>
      </c>
      <c r="I16" s="24">
        <f>IF(VLOOKUP(Y16,Datos_vigas!$A$19:$E$23,3,0)=0,"---",VLOOKUP(Y16,Datos_vigas!$A$19:$E$23,3,0)*D16*C16^2+0.50*1000*IF(OR(AD16="",AE16=""),0,AD16*AE16*(C16-AE16)/C16/1000))</f>
        <v/>
      </c>
      <c r="J16" s="10" t="n">
        <v>15</v>
      </c>
      <c r="K16" s="11">
        <f>L16-AH16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3" t="inlineStr">
        <is>
          <t>Viga secundaria: sus dos extremos descargan en otras vigas, VI 04a y VI 06, no en columnas ni tabiques.</t>
        </is>
      </c>
      <c r="Y16" s="10" t="inlineStr">
        <is>
          <t>Simplemente apoyada</t>
        </is>
      </c>
      <c r="Z16" s="10" t="inlineStr">
        <is>
          <t>Invertida</t>
        </is>
      </c>
      <c r="AA16" s="10" t="n">
        <v>12</v>
      </c>
      <c r="AB16" s="11">
        <f>IF(Z16="Colgante",MIN(C16*100/4,J16+16*AA16),J16)</f>
        <v/>
      </c>
      <c r="AC16" s="11">
        <f>IF(Z16="Invertida",MIN(C16*100/4,J16+16*AA16),J16)</f>
        <v/>
      </c>
      <c r="AD16" s="10" t="n"/>
      <c r="AE16" s="10" t="n"/>
      <c r="AF16" s="10" t="n">
        <v>1.549</v>
      </c>
      <c r="AG16" s="10" t="n">
        <v>2.6</v>
      </c>
      <c r="AH16" s="10" t="n">
        <v>3</v>
      </c>
    </row>
    <row r="17" ht="46" customHeight="1">
      <c r="A17" s="26" t="n"/>
      <c r="B17" s="23" t="inlineStr">
        <is>
          <t>VI 10a</t>
        </is>
      </c>
      <c r="C17" s="8" t="n">
        <v>2.55</v>
      </c>
      <c r="D17" s="24">
        <f>(Datos_vigas!$B$10*(VLOOKUP($A$4,Datos_vigas!$A$14:$E$15,2,0)*AF17+Datos_vigas!$B$7*J17*L17/10000+Datos_vigas!$B$16*AG17)+Datos_vigas!$B$11*VLOOKUP($A$4,Datos_vigas!$A$14:$E$15,3,0)*AF17)</f>
        <v/>
      </c>
      <c r="E17" s="11" t="n"/>
      <c r="F17" s="24">
        <f>VLOOKUP(Y17,Datos_vigas!$A$19:$E$23,4,0)*D17*C17+IF(OR(AD17="",AE17=""),0,AD17*MAX(AE17,C17-AE17)/C17)</f>
        <v/>
      </c>
      <c r="G17" s="24">
        <f>F17</f>
        <v/>
      </c>
      <c r="H17" s="24">
        <f>VLOOKUP(Y17,Datos_vigas!$A$19:$E$23,2,0)*D17*C17^2+0.75*1000*IF(OR(AD17="",AE17=""),0,AD17*AE17*(C17-AE17)/C17/1000)</f>
        <v/>
      </c>
      <c r="I17" s="24">
        <f>IF(VLOOKUP(Y17,Datos_vigas!$A$19:$E$23,3,0)=0,"---",VLOOKUP(Y17,Datos_vigas!$A$19:$E$23,3,0)*D17*C17^2+0.50*1000*IF(OR(AD17="",AE17=""),0,AD17*AE17*(C17-AE17)/C17/1000))</f>
        <v/>
      </c>
      <c r="J17" s="10" t="n">
        <v>15</v>
      </c>
      <c r="K17" s="11">
        <f>L17-AH17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c r="AE17" s="10" t="n"/>
      <c r="AF17" s="10" t="n">
        <v>0</v>
      </c>
      <c r="AG17" s="10" t="n">
        <v>2.6</v>
      </c>
      <c r="AH17" s="10" t="n">
        <v>3</v>
      </c>
    </row>
    <row r="18" ht="46" customHeight="1">
      <c r="A18" s="26" t="n"/>
      <c r="B18" s="23" t="inlineStr">
        <is>
          <t>VI 10b</t>
        </is>
      </c>
      <c r="C18" s="8" t="n">
        <v>4</v>
      </c>
      <c r="D18" s="24">
        <f>(Datos_vigas!$B$10*(VLOOKUP($A$4,Datos_vigas!$A$14:$E$15,2,0)*AF18+Datos_vigas!$B$7*J18*L18/10000+Datos_vigas!$B$16*AG18)+Datos_vigas!$B$11*VLOOKUP($A$4,Datos_vigas!$A$14:$E$15,3,0)*AF18)</f>
        <v/>
      </c>
      <c r="E18" s="11" t="n"/>
      <c r="F18" s="24">
        <f>VLOOKUP(Y18,Datos_vigas!$A$19:$E$23,4,0)*D18*C18+IF(OR(AD18="",AE18=""),0,AD18*MAX(AE18,C18-AE18)/C18)</f>
        <v/>
      </c>
      <c r="G18" s="24">
        <f>F18</f>
        <v/>
      </c>
      <c r="H18" s="24">
        <f>VLOOKUP(Y18,Datos_vigas!$A$19:$E$23,2,0)*D18*C18^2+0.75*1000*IF(OR(AD18="",AE18=""),0,AD18*AE18*(C18-AE18)/C18/1000)</f>
        <v/>
      </c>
      <c r="I18" s="24">
        <f>IF(VLOOKUP(Y18,Datos_vigas!$A$19:$E$23,3,0)=0,"---",VLOOKUP(Y18,Datos_vigas!$A$19:$E$23,3,0)*D18*C18^2+0.50*1000*IF(OR(AD18="",AE18=""),0,AD18*AE18*(C18-AE18)/C18/1000))</f>
        <v/>
      </c>
      <c r="J18" s="10" t="n">
        <v>15</v>
      </c>
      <c r="K18" s="11">
        <f>L18-AH18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c r="AE18" s="10" t="n"/>
      <c r="AF18" s="10" t="n">
        <v>1.825</v>
      </c>
      <c r="AG18" s="10" t="n">
        <v>2.6</v>
      </c>
      <c r="AH18" s="10" t="n">
        <v>3</v>
      </c>
    </row>
    <row r="19" ht="46" customHeight="1">
      <c r="A19" s="26" t="n"/>
      <c r="B19" s="23" t="inlineStr">
        <is>
          <t>VI 10c</t>
        </is>
      </c>
      <c r="C19" s="8" t="n">
        <v>3.6</v>
      </c>
      <c r="D19" s="24">
        <f>(Datos_vigas!$B$10*(VLOOKUP($A$4,Datos_vigas!$A$14:$E$15,2,0)*AF19+Datos_vigas!$B$7*J19*L19/10000+Datos_vigas!$B$16*AG19)+Datos_vigas!$B$11*VLOOKUP($A$4,Datos_vigas!$A$14:$E$15,3,0)*AF19)</f>
        <v/>
      </c>
      <c r="E19" s="11" t="n"/>
      <c r="F19" s="24">
        <f>VLOOKUP(Y19,Datos_vigas!$A$19:$E$23,4,0)*D19*C19+IF(OR(AD19="",AE19=""),0,AD19*MAX(AE19,C19-AE19)/C19)</f>
        <v/>
      </c>
      <c r="G19" s="24">
        <f>F19</f>
        <v/>
      </c>
      <c r="H19" s="24">
        <f>VLOOKUP(Y19,Datos_vigas!$A$19:$E$23,2,0)*D19*C19^2+0.75*1000*IF(OR(AD19="",AE19=""),0,AD19*AE19*(C19-AE19)/C19/1000)</f>
        <v/>
      </c>
      <c r="I19" s="24">
        <f>IF(VLOOKUP(Y19,Datos_vigas!$A$19:$E$23,3,0)=0,"---",VLOOKUP(Y19,Datos_vigas!$A$19:$E$23,3,0)*D19*C19^2+0.50*1000*IF(OR(AD19="",AE19=""),0,AD19*AE19*(C19-AE19)/C19/1000))</f>
        <v/>
      </c>
      <c r="J19" s="10" t="n">
        <v>15</v>
      </c>
      <c r="K19" s="11">
        <f>L19-AH19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c r="AE19" s="10" t="n"/>
      <c r="AF19" s="10" t="n">
        <v>0</v>
      </c>
      <c r="AG19" s="10" t="n">
        <v>2.6</v>
      </c>
      <c r="AH19" s="10" t="n">
        <v>3</v>
      </c>
    </row>
    <row r="20" ht="46" customHeight="1">
      <c r="A20" s="26" t="n"/>
      <c r="B20" s="23" t="inlineStr">
        <is>
          <t>VI 11a</t>
        </is>
      </c>
      <c r="C20" s="8" t="n">
        <v>7.68</v>
      </c>
      <c r="D20" s="24">
        <f>(Datos_vigas!$B$10*(VLOOKUP($A$4,Datos_vigas!$A$14:$E$15,2,0)*AF20+Datos_vigas!$B$7*J20*L20/10000+Datos_vigas!$B$16*AG20)+Datos_vigas!$B$11*VLOOKUP($A$4,Datos_vigas!$A$14:$E$15,3,0)*AF20)</f>
        <v/>
      </c>
      <c r="E20" s="11" t="n"/>
      <c r="F20" s="24">
        <f>VLOOKUP(Y20,Datos_vigas!$A$19:$E$23,4,0)*D20*C20+IF(OR(AD20="",AE20=""),0,AD20*MAX(AE20,C20-AE20)/C20)</f>
        <v/>
      </c>
      <c r="G20" s="24">
        <f>F20</f>
        <v/>
      </c>
      <c r="H20" s="24">
        <f>VLOOKUP(Y20,Datos_vigas!$A$19:$E$23,2,0)*D20*C20^2+0.75*1000*IF(OR(AD20="",AE20=""),0,AD20*AE20*(C20-AE20)/C20/1000)</f>
        <v/>
      </c>
      <c r="I20" s="24">
        <f>IF(VLOOKUP(Y20,Datos_vigas!$A$19:$E$23,3,0)=0,"---",VLOOKUP(Y20,Datos_vigas!$A$19:$E$23,3,0)*D20*C20^2+0.50*1000*IF(OR(AD20="",AE20=""),0,AD20*AE20*(C20-AE20)/C20/1000))</f>
        <v/>
      </c>
      <c r="J20" s="10" t="n">
        <v>15</v>
      </c>
      <c r="K20" s="11">
        <f>L20-AH20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c r="AE20" s="10" t="n"/>
      <c r="AF20" s="10" t="n">
        <v>1.825</v>
      </c>
      <c r="AG20" s="10" t="n">
        <v>2.6</v>
      </c>
      <c r="AH20" s="10" t="n">
        <v>3</v>
      </c>
    </row>
    <row r="21" ht="46" customHeight="1">
      <c r="A21" s="26" t="n"/>
      <c r="B21" s="23" t="inlineStr">
        <is>
          <t>VI 11b</t>
        </is>
      </c>
      <c r="C21" s="8" t="n">
        <v>3.45</v>
      </c>
      <c r="D21" s="24">
        <f>(Datos_vigas!$B$10*(VLOOKUP($A$4,Datos_vigas!$A$14:$E$15,2,0)*AF21+Datos_vigas!$B$7*J21*L21/10000+Datos_vigas!$B$16*AG21)+Datos_vigas!$B$11*VLOOKUP($A$4,Datos_vigas!$A$14:$E$15,3,0)*AF21)</f>
        <v/>
      </c>
      <c r="E21" s="11" t="n"/>
      <c r="F21" s="24">
        <f>VLOOKUP(Y21,Datos_vigas!$A$19:$E$23,4,0)*D21*C21+IF(OR(AD21="",AE21=""),0,AD21*MAX(AE21,C21-AE21)/C21)</f>
        <v/>
      </c>
      <c r="G21" s="24">
        <f>F21</f>
        <v/>
      </c>
      <c r="H21" s="24">
        <f>VLOOKUP(Y21,Datos_vigas!$A$19:$E$23,2,0)*D21*C21^2+0.75*1000*IF(OR(AD21="",AE21=""),0,AD21*AE21*(C21-AE21)/C21/1000)</f>
        <v/>
      </c>
      <c r="I21" s="24">
        <f>IF(VLOOKUP(Y21,Datos_vigas!$A$19:$E$23,3,0)=0,"---",VLOOKUP(Y21,Datos_vigas!$A$19:$E$23,3,0)*D21*C21^2+0.50*1000*IF(OR(AD21="",AE21=""),0,AD21*AE21*(C21-AE21)/C21/1000))</f>
        <v/>
      </c>
      <c r="J21" s="10" t="n">
        <v>15</v>
      </c>
      <c r="K21" s="11">
        <f>L21-AH21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c r="AE21" s="10" t="n"/>
      <c r="AF21" s="10" t="n">
        <v>0</v>
      </c>
      <c r="AG21" s="10" t="n">
        <v>2.6</v>
      </c>
      <c r="AH21" s="10" t="n">
        <v>3</v>
      </c>
    </row>
    <row r="22" ht="46" customHeight="1">
      <c r="A22" s="26" t="n"/>
      <c r="B22" s="23" t="inlineStr">
        <is>
          <t>VI 11c</t>
        </is>
      </c>
      <c r="C22" s="8" t="n">
        <v>5.02</v>
      </c>
      <c r="D22" s="24">
        <f>(Datos_vigas!$B$10*(VLOOKUP($A$4,Datos_vigas!$A$14:$E$15,2,0)*AF22+Datos_vigas!$B$7*J22*L22/10000+Datos_vigas!$B$16*AG22)+Datos_vigas!$B$11*VLOOKUP($A$4,Datos_vigas!$A$14:$E$15,3,0)*AF22)</f>
        <v/>
      </c>
      <c r="E22" s="11" t="n"/>
      <c r="F22" s="24">
        <f>VLOOKUP(Y22,Datos_vigas!$A$19:$E$23,4,0)*D22*C22+IF(OR(AD22="",AE22=""),0,AD22*MAX(AE22,C22-AE22)/C22)</f>
        <v/>
      </c>
      <c r="G22" s="24">
        <f>F22</f>
        <v/>
      </c>
      <c r="H22" s="24">
        <f>VLOOKUP(Y22,Datos_vigas!$A$19:$E$23,2,0)*D22*C22^2+0.75*1000*IF(OR(AD22="",AE22=""),0,AD22*AE22*(C22-AE22)/C22/1000)</f>
        <v/>
      </c>
      <c r="I22" s="24">
        <f>IF(VLOOKUP(Y22,Datos_vigas!$A$19:$E$23,3,0)=0,"---",VLOOKUP(Y22,Datos_vigas!$A$19:$E$23,3,0)*D22*C22^2+0.50*1000*IF(OR(AD22="",AE22=""),0,AD22*AE22*(C22-AE22)/C22/1000))</f>
        <v/>
      </c>
      <c r="J22" s="10" t="n">
        <v>15</v>
      </c>
      <c r="K22" s="11">
        <f>L22-AH22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c r="AE22" s="10" t="n"/>
      <c r="AF22" s="10" t="n">
        <v>1.549</v>
      </c>
      <c r="AG22" s="10" t="n">
        <v>2.6</v>
      </c>
      <c r="AH22" s="10" t="n">
        <v>3</v>
      </c>
    </row>
    <row r="23" ht="46" customHeight="1">
      <c r="A23" s="26" t="n"/>
      <c r="B23" s="23" t="inlineStr">
        <is>
          <t>VCH 03a</t>
        </is>
      </c>
      <c r="C23" s="8" t="n">
        <v>3.71</v>
      </c>
      <c r="D23" s="24">
        <f>(Datos_vigas!$B$10*(VLOOKUP($A$4,Datos_vigas!$A$14:$E$15,2,0)*AF23+Datos_vigas!$B$7*J23*L23/10000+Datos_vigas!$B$16*AG23)+Datos_vigas!$B$11*VLOOKUP($A$4,Datos_vigas!$A$14:$E$15,3,0)*AF23)</f>
        <v/>
      </c>
      <c r="E23" s="11" t="n"/>
      <c r="F23" s="24">
        <f>VLOOKUP(Y23,Datos_vigas!$A$19:$E$23,4,0)*D23*C23+IF(OR(AD23="",AE23=""),0,AD23*MAX(AE23,C23-AE23)/C23)</f>
        <v/>
      </c>
      <c r="G23" s="24">
        <f>F23</f>
        <v/>
      </c>
      <c r="H23" s="24">
        <f>VLOOKUP(Y23,Datos_vigas!$A$19:$E$23,2,0)*D23*C23^2+0.75*1000*IF(OR(AD23="",AE23=""),0,AD23*AE23*(C23-AE23)/C23/1000)</f>
        <v/>
      </c>
      <c r="I23" s="24">
        <f>IF(VLOOKUP(Y23,Datos_vigas!$A$19:$E$23,3,0)=0,"---",VLOOKUP(Y23,Datos_vigas!$A$19:$E$23,3,0)*D23*C23^2+0.50*1000*IF(OR(AD23="",AE23=""),0,AD23*AE23*(C23-AE23)/C23/1000))</f>
        <v/>
      </c>
      <c r="J23" s="10" t="n">
        <v>40</v>
      </c>
      <c r="K23" s="11">
        <f>L23-AH23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c r="AE23" s="10" t="n"/>
      <c r="AF23" s="10" t="n">
        <v>2.1</v>
      </c>
      <c r="AG23" s="10" t="n">
        <v>2.6</v>
      </c>
      <c r="AH23" s="10" t="n">
        <v>3</v>
      </c>
    </row>
    <row r="24" ht="46" customHeight="1">
      <c r="A24" s="26" t="n"/>
      <c r="B24" s="23" t="inlineStr">
        <is>
          <t>VCH 03b</t>
        </is>
      </c>
      <c r="C24" s="8" t="n">
        <v>2.13</v>
      </c>
      <c r="D24" s="24">
        <f>(Datos_vigas!$B$10*(VLOOKUP($A$4,Datos_vigas!$A$14:$E$15,2,0)*AF24+Datos_vigas!$B$7*J24*L24/10000+Datos_vigas!$B$16*AG24)+Datos_vigas!$B$11*VLOOKUP($A$4,Datos_vigas!$A$14:$E$15,3,0)*AF24)</f>
        <v/>
      </c>
      <c r="E24" s="11" t="n"/>
      <c r="F24" s="24">
        <f>VLOOKUP(Y24,Datos_vigas!$A$19:$E$23,4,0)*D24*C24+IF(OR(AD24="",AE24=""),0,AD24*MAX(AE24,C24-AE24)/C24)</f>
        <v/>
      </c>
      <c r="G24" s="24">
        <f>F24</f>
        <v/>
      </c>
      <c r="H24" s="24">
        <f>VLOOKUP(Y24,Datos_vigas!$A$19:$E$23,2,0)*D24*C24^2+0.75*1000*IF(OR(AD24="",AE24=""),0,AD24*AE24*(C24-AE24)/C24/1000)</f>
        <v/>
      </c>
      <c r="I24" s="24">
        <f>IF(VLOOKUP(Y24,Datos_vigas!$A$19:$E$23,3,0)=0,"---",VLOOKUP(Y24,Datos_vigas!$A$19:$E$23,3,0)*D24*C24^2+0.50*1000*IF(OR(AD24="",AE24=""),0,AD24*AE24*(C24-AE24)/C24/1000))</f>
        <v/>
      </c>
      <c r="J24" s="10" t="n">
        <v>40</v>
      </c>
      <c r="K24" s="11">
        <f>L24-AH24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c r="AE24" s="10" t="n"/>
      <c r="AF24" s="10" t="n">
        <v>2.1</v>
      </c>
      <c r="AG24" s="10" t="n">
        <v>2.6</v>
      </c>
      <c r="AH24" s="10" t="n">
        <v>3</v>
      </c>
    </row>
    <row r="25" ht="46" customHeight="1">
      <c r="A25" s="27" t="n"/>
      <c r="B25" s="28" t="inlineStr">
        <is>
          <t>VCH 05</t>
        </is>
      </c>
      <c r="C25" s="15" t="n">
        <v>3.71</v>
      </c>
      <c r="D25" s="29">
        <f>(Datos_vigas!$B$10*(VLOOKUP($A$4,Datos_vigas!$A$14:$E$15,2,0)*AF25+Datos_vigas!$B$7*J25*L25/10000+Datos_vigas!$B$16*AG25)+Datos_vigas!$B$11*VLOOKUP($A$4,Datos_vigas!$A$14:$E$15,3,0)*AF25)</f>
        <v/>
      </c>
      <c r="E25" s="18"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7" t="n">
        <v>12</v>
      </c>
      <c r="K25" s="18">
        <f>L25-AH25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c r="AE25" s="17" t="n"/>
      <c r="AF25" s="17" t="n">
        <v>0</v>
      </c>
      <c r="AG25" s="17" t="n">
        <v>2.6</v>
      </c>
      <c r="AH25" s="17" t="n">
        <v>3</v>
      </c>
    </row>
    <row r="26" ht="46" customHeight="1">
      <c r="A26" s="22" t="inlineStr">
        <is>
          <t>TECHO</t>
        </is>
      </c>
      <c r="B26" s="23" t="inlineStr">
        <is>
          <t>VI 12</t>
        </is>
      </c>
      <c r="C26" s="8" t="n">
        <v>9.9</v>
      </c>
      <c r="D26" s="24">
        <f>(Datos_vigas!$B$10*(VLOOKUP($A$26,Datos_vigas!$A$14:$E$15,2,0)*AF26+Datos_vigas!$B$7*J26*L26/10000+Datos_vigas!$B$16*AG26)+Datos_vigas!$B$11*VLOOKUP($A$26,Datos_vigas!$A$14:$E$15,3,0)*AF26)</f>
        <v/>
      </c>
      <c r="E26" s="11" t="n"/>
      <c r="F26" s="24">
        <f>VLOOKUP(Y26,Datos_vigas!$A$19:$E$23,4,0)*D26*C26+IF(OR(AD26="",AE26=""),0,AD26*MAX(AE26,C26-AE26)/C26)</f>
        <v/>
      </c>
      <c r="G26" s="24">
        <f>F26</f>
        <v/>
      </c>
      <c r="H26" s="24">
        <f>VLOOKUP(Y26,Datos_vigas!$A$19:$E$23,2,0)*D26*C26^2+0.75*1000*IF(OR(AD26="",AE26=""),0,AD26*AE26*(C26-AE26)/C26/1000)</f>
        <v/>
      </c>
      <c r="I26" s="24">
        <f>IF(VLOOKUP(Y26,Datos_vigas!$A$19:$E$23,3,0)=0,"---",VLOOKUP(Y26,Datos_vigas!$A$19:$E$23,3,0)*D26*C26^2+0.50*1000*IF(OR(AD26="",AE26=""),0,AD26*AE26*(C26-AE26)/C26/1000))</f>
        <v/>
      </c>
      <c r="J26" s="10" t="n">
        <v>15</v>
      </c>
      <c r="K26" s="11">
        <f>L26-AH26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c r="AE26" s="10" t="n"/>
      <c r="AF26" s="10" t="n">
        <v>2.1</v>
      </c>
      <c r="AG26" s="10" t="n">
        <v>1</v>
      </c>
      <c r="AH26" s="10" t="n">
        <v>3</v>
      </c>
    </row>
    <row r="27" ht="46" customHeight="1">
      <c r="A27" s="26" t="n"/>
      <c r="B27" s="23" t="inlineStr">
        <is>
          <t>VI 13a</t>
        </is>
      </c>
      <c r="C27" s="8" t="n">
        <v>6</v>
      </c>
      <c r="D27" s="24">
        <f>(Datos_vigas!$B$10*(VLOOKUP($A$26,Datos_vigas!$A$14:$E$15,2,0)*AF27+Datos_vigas!$B$7*J27*L27/10000+Datos_vigas!$B$16*AG27)+Datos_vigas!$B$11*VLOOKUP($A$26,Datos_vigas!$A$14:$E$15,3,0)*AF27)</f>
        <v/>
      </c>
      <c r="E27" s="11" t="n"/>
      <c r="F27" s="24">
        <f>VLOOKUP(Y27,Datos_vigas!$A$19:$E$23,4,0)*D27*C27+IF(OR(AD27="",AE27=""),0,AD27*MAX(AE27,C27-AE27)/C27)</f>
        <v/>
      </c>
      <c r="G27" s="24">
        <f>F27</f>
        <v/>
      </c>
      <c r="H27" s="24">
        <f>VLOOKUP(Y27,Datos_vigas!$A$19:$E$23,2,0)*D27*C27^2+0.75*1000*IF(OR(AD27="",AE27=""),0,AD27*AE27*(C27-AE27)/C27/1000)</f>
        <v/>
      </c>
      <c r="I27" s="24">
        <f>IF(VLOOKUP(Y27,Datos_vigas!$A$19:$E$23,3,0)=0,"---",VLOOKUP(Y27,Datos_vigas!$A$19:$E$23,3,0)*D27*C27^2+0.50*1000*IF(OR(AD27="",AE27=""),0,AD27*AE27*(C27-AE27)/C27/1000))</f>
        <v/>
      </c>
      <c r="J27" s="10" t="n">
        <v>15</v>
      </c>
      <c r="K27" s="11">
        <f>L27-AH27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c r="AE27" s="10" t="n"/>
      <c r="AF27" s="10" t="n">
        <v>3.799</v>
      </c>
      <c r="AG27" s="10" t="n">
        <v>1</v>
      </c>
      <c r="AH27" s="10" t="n">
        <v>3</v>
      </c>
    </row>
    <row r="28" ht="46" customHeight="1">
      <c r="A28" s="26" t="n"/>
      <c r="B28" s="23" t="inlineStr">
        <is>
          <t>VI 13b</t>
        </is>
      </c>
      <c r="C28" s="8" t="n">
        <v>3.75</v>
      </c>
      <c r="D28" s="24">
        <f>(Datos_vigas!$B$10*(VLOOKUP($A$26,Datos_vigas!$A$14:$E$15,2,0)*AF28+Datos_vigas!$B$7*J28*L28/10000+Datos_vigas!$B$16*AG28)+Datos_vigas!$B$11*VLOOKUP($A$26,Datos_vigas!$A$14:$E$15,3,0)*AF28)</f>
        <v/>
      </c>
      <c r="E28" s="11" t="n"/>
      <c r="F28" s="24">
        <f>VLOOKUP(Y28,Datos_vigas!$A$19:$E$23,4,0)*D28*C28+IF(OR(AD28="",AE28=""),0,AD28*MAX(AE28,C28-AE28)/C28)</f>
        <v/>
      </c>
      <c r="G28" s="24">
        <f>F28</f>
        <v/>
      </c>
      <c r="H28" s="24">
        <f>VLOOKUP(Y28,Datos_vigas!$A$19:$E$23,2,0)*D28*C28^2+0.75*1000*IF(OR(AD28="",AE28=""),0,AD28*AE28*(C28-AE28)/C28/1000)</f>
        <v/>
      </c>
      <c r="I28" s="24">
        <f>IF(VLOOKUP(Y28,Datos_vigas!$A$19:$E$23,3,0)=0,"---",VLOOKUP(Y28,Datos_vigas!$A$19:$E$23,3,0)*D28*C28^2+0.50*1000*IF(OR(AD28="",AE28=""),0,AD28*AE28*(C28-AE28)/C28/1000))</f>
        <v/>
      </c>
      <c r="J28" s="10" t="n">
        <v>15</v>
      </c>
      <c r="K28" s="11">
        <f>L28-AH28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c r="AE28" s="10" t="n"/>
      <c r="AF28" s="10" t="n">
        <v>2.1</v>
      </c>
      <c r="AG28" s="10" t="n">
        <v>1</v>
      </c>
      <c r="AH28" s="10" t="n">
        <v>3</v>
      </c>
    </row>
    <row r="29" ht="46" customHeight="1">
      <c r="A29" s="26" t="n"/>
      <c r="B29" s="23" t="inlineStr">
        <is>
          <t>VI 14</t>
        </is>
      </c>
      <c r="C29" s="8" t="n">
        <v>6</v>
      </c>
      <c r="D29" s="24">
        <f>(Datos_vigas!$B$10*(VLOOKUP($A$26,Datos_vigas!$A$14:$E$15,2,0)*AF29+Datos_vigas!$B$7*J29*L29/10000+Datos_vigas!$B$16*AG29)+Datos_vigas!$B$11*VLOOKUP($A$26,Datos_vigas!$A$14:$E$15,3,0)*AF29)</f>
        <v/>
      </c>
      <c r="E29" s="11" t="n"/>
      <c r="F29" s="24">
        <f>VLOOKUP(Y29,Datos_vigas!$A$19:$E$23,4,0)*D29*C29+IF(OR(AD29="",AE29=""),0,AD29*MAX(AE29,C29-AE29)/C29)</f>
        <v/>
      </c>
      <c r="G29" s="24">
        <f>F29</f>
        <v/>
      </c>
      <c r="H29" s="24">
        <f>VLOOKUP(Y29,Datos_vigas!$A$19:$E$23,2,0)*D29*C29^2+0.75*1000*IF(OR(AD29="",AE29=""),0,AD29*AE29*(C29-AE29)/C29/1000)</f>
        <v/>
      </c>
      <c r="I29" s="24">
        <f>IF(VLOOKUP(Y29,Datos_vigas!$A$19:$E$23,3,0)=0,"---",VLOOKUP(Y29,Datos_vigas!$A$19:$E$23,3,0)*D29*C29^2+0.50*1000*IF(OR(AD29="",AE29=""),0,AD29*AE29*(C29-AE29)/C29/1000))</f>
        <v/>
      </c>
      <c r="J29" s="10" t="n">
        <v>15</v>
      </c>
      <c r="K29" s="11">
        <f>L29-AH29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c r="AE29" s="10" t="n"/>
      <c r="AF29" s="10" t="n">
        <v>1.699</v>
      </c>
      <c r="AG29" s="10" t="n">
        <v>1</v>
      </c>
      <c r="AH29" s="10" t="n">
        <v>3</v>
      </c>
    </row>
    <row r="30" ht="46" customHeight="1">
      <c r="A30" s="26" t="n"/>
      <c r="B30" s="23" t="inlineStr">
        <is>
          <t>VI 15a</t>
        </is>
      </c>
      <c r="C30" s="8" t="n">
        <v>4.03</v>
      </c>
      <c r="D30" s="24">
        <f>(Datos_vigas!$B$10*(VLOOKUP($A$26,Datos_vigas!$A$14:$E$15,2,0)*AF30+Datos_vigas!$B$7*J30*L30/10000+Datos_vigas!$B$16*AG30)+Datos_vigas!$B$11*VLOOKUP($A$26,Datos_vigas!$A$14:$E$15,3,0)*AF30)</f>
        <v/>
      </c>
      <c r="E30" s="11" t="n"/>
      <c r="F30" s="24">
        <f>VLOOKUP(Y30,Datos_vigas!$A$19:$E$23,4,0)*D30*C30+IF(OR(AD30="",AE30=""),0,AD30*MAX(AE30,C30-AE30)/C30)</f>
        <v/>
      </c>
      <c r="G30" s="24">
        <f>F30</f>
        <v/>
      </c>
      <c r="H30" s="24">
        <f>VLOOKUP(Y30,Datos_vigas!$A$19:$E$23,2,0)*D30*C30^2+0.75*1000*IF(OR(AD30="",AE30=""),0,AD30*AE30*(C30-AE30)/C30/1000)</f>
        <v/>
      </c>
      <c r="I30" s="24">
        <f>IF(VLOOKUP(Y30,Datos_vigas!$A$19:$E$23,3,0)=0,"---",VLOOKUP(Y30,Datos_vigas!$A$19:$E$23,3,0)*D30*C30^2+0.50*1000*IF(OR(AD30="",AE30=""),0,AD30*AE30*(C30-AE30)/C30/1000))</f>
        <v/>
      </c>
      <c r="J30" s="10" t="n">
        <v>15</v>
      </c>
      <c r="K30" s="11">
        <f>L30-AH30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c r="AE30" s="10" t="n"/>
      <c r="AF30" s="10" t="n">
        <v>0</v>
      </c>
      <c r="AG30" s="10" t="n">
        <v>1</v>
      </c>
      <c r="AH30" s="10" t="n">
        <v>3</v>
      </c>
    </row>
    <row r="31" ht="46" customHeight="1">
      <c r="A31" s="26" t="n"/>
      <c r="B31" s="23" t="inlineStr">
        <is>
          <t>VI 15b</t>
        </is>
      </c>
      <c r="C31" s="8" t="n">
        <v>4.85</v>
      </c>
      <c r="D31" s="24">
        <f>(Datos_vigas!$B$10*(VLOOKUP($A$26,Datos_vigas!$A$14:$E$15,2,0)*AF31+Datos_vigas!$B$7*J31*L31/10000+Datos_vigas!$B$16*AG31)+Datos_vigas!$B$11*VLOOKUP($A$26,Datos_vigas!$A$14:$E$15,3,0)*AF31)</f>
        <v/>
      </c>
      <c r="E31" s="11" t="n"/>
      <c r="F31" s="24">
        <f>VLOOKUP(Y31,Datos_vigas!$A$19:$E$23,4,0)*D31*C31+IF(OR(AD31="",AE31=""),0,AD31*MAX(AE31,C31-AE31)/C31)</f>
        <v/>
      </c>
      <c r="G31" s="24">
        <f>F31</f>
        <v/>
      </c>
      <c r="H31" s="24">
        <f>VLOOKUP(Y31,Datos_vigas!$A$19:$E$23,2,0)*D31*C31^2+0.75*1000*IF(OR(AD31="",AE31=""),0,AD31*AE31*(C31-AE31)/C31/1000)</f>
        <v/>
      </c>
      <c r="I31" s="24">
        <f>IF(VLOOKUP(Y31,Datos_vigas!$A$19:$E$23,3,0)=0,"---",VLOOKUP(Y31,Datos_vigas!$A$19:$E$23,3,0)*D31*C31^2+0.50*1000*IF(OR(AD31="",AE31=""),0,AD31*AE31*(C31-AE31)/C31/1000))</f>
        <v/>
      </c>
      <c r="J31" s="10" t="n">
        <v>15</v>
      </c>
      <c r="K31" s="11">
        <f>L31-AH31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c r="AE31" s="10" t="n"/>
      <c r="AF31" s="10" t="n">
        <v>1.699</v>
      </c>
      <c r="AG31" s="10" t="n">
        <v>1</v>
      </c>
      <c r="AH31" s="10" t="n">
        <v>3</v>
      </c>
    </row>
    <row r="32" ht="46" customHeight="1">
      <c r="A32" s="26" t="n"/>
      <c r="B32" s="23" t="inlineStr">
        <is>
          <t>VI 16a</t>
        </is>
      </c>
      <c r="C32" s="8" t="n">
        <v>3.58</v>
      </c>
      <c r="D32" s="24">
        <f>(Datos_vigas!$B$10*(VLOOKUP($A$26,Datos_vigas!$A$14:$E$15,2,0)*AF32+Datos_vigas!$B$7*J32*L32/10000+Datos_vigas!$B$16*AG32)+Datos_vigas!$B$11*VLOOKUP($A$26,Datos_vigas!$A$14:$E$15,3,0)*AF32)</f>
        <v/>
      </c>
      <c r="E32" s="11" t="n"/>
      <c r="F32" s="24">
        <f>VLOOKUP(Y32,Datos_vigas!$A$19:$E$23,4,0)*D32*C32+IF(OR(AD32="",AE32=""),0,AD32*MAX(AE32,C32-AE32)/C32)</f>
        <v/>
      </c>
      <c r="G32" s="24">
        <f>F32</f>
        <v/>
      </c>
      <c r="H32" s="24">
        <f>VLOOKUP(Y32,Datos_vigas!$A$19:$E$23,2,0)*D32*C32^2+0.75*1000*IF(OR(AD32="",AE32=""),0,AD32*AE32*(C32-AE32)/C32/1000)</f>
        <v/>
      </c>
      <c r="I32" s="24">
        <f>IF(VLOOKUP(Y32,Datos_vigas!$A$19:$E$23,3,0)=0,"---",VLOOKUP(Y32,Datos_vigas!$A$19:$E$23,3,0)*D32*C32^2+0.50*1000*IF(OR(AD32="",AE32=""),0,AD32*AE32*(C32-AE32)/C32/1000))</f>
        <v/>
      </c>
      <c r="J32" s="10" t="n">
        <v>15</v>
      </c>
      <c r="K32" s="11">
        <f>L32-AH32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c r="AE32" s="10" t="n"/>
      <c r="AF32" s="10" t="n">
        <v>1.699</v>
      </c>
      <c r="AG32" s="10" t="n">
        <v>1</v>
      </c>
      <c r="AH32" s="10" t="n">
        <v>3</v>
      </c>
    </row>
    <row r="33" ht="46" customHeight="1">
      <c r="A33" s="26" t="n"/>
      <c r="B33" s="23" t="inlineStr">
        <is>
          <t>VI 16b</t>
        </is>
      </c>
      <c r="C33" s="8" t="n">
        <v>1.12</v>
      </c>
      <c r="D33" s="24">
        <f>(Datos_vigas!$B$10*(VLOOKUP($A$26,Datos_vigas!$A$14:$E$15,2,0)*AF33+Datos_vigas!$B$7*J33*L33/10000+Datos_vigas!$B$16*AG33)+Datos_vigas!$B$11*VLOOKUP($A$26,Datos_vigas!$A$14:$E$15,3,0)*AF33)</f>
        <v/>
      </c>
      <c r="E33" s="11" t="n"/>
      <c r="F33" s="24">
        <f>VLOOKUP(Y33,Datos_vigas!$A$19:$E$23,4,0)*D33*C33+IF(OR(AD33="",AE33=""),0,AD33*MAX(AE33,C33-AE33)/C33)</f>
        <v/>
      </c>
      <c r="G33" s="24">
        <f>F33</f>
        <v/>
      </c>
      <c r="H33" s="24">
        <f>VLOOKUP(Y33,Datos_vigas!$A$19:$E$23,2,0)*D33*C33^2+0.75*1000*IF(OR(AD33="",AE33=""),0,AD33*AE33*(C33-AE33)/C33/1000)</f>
        <v/>
      </c>
      <c r="I33" s="24">
        <f>IF(VLOOKUP(Y33,Datos_vigas!$A$19:$E$23,3,0)=0,"---",VLOOKUP(Y33,Datos_vigas!$A$19:$E$23,3,0)*D33*C33^2+0.50*1000*IF(OR(AD33="",AE33=""),0,AD33*AE33*(C33-AE33)/C33/1000))</f>
        <v/>
      </c>
      <c r="J33" s="10" t="n">
        <v>15</v>
      </c>
      <c r="K33" s="11">
        <f>L33-AH33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c r="AE33" s="10" t="n"/>
      <c r="AF33" s="10" t="n">
        <v>1.699</v>
      </c>
      <c r="AG33" s="10" t="n">
        <v>1</v>
      </c>
      <c r="AH33" s="10" t="n">
        <v>3</v>
      </c>
    </row>
    <row r="34" ht="46" customHeight="1">
      <c r="A34" s="27" t="n"/>
      <c r="B34" s="28" t="inlineStr">
        <is>
          <t>VI 17</t>
        </is>
      </c>
      <c r="C34" s="15" t="n">
        <v>4.35</v>
      </c>
      <c r="D34" s="29">
        <f>(Datos_vigas!$B$10*(VLOOKUP($A$26,Datos_vigas!$A$14:$E$15,2,0)*AF34+Datos_vigas!$B$7*J34*L34/10000+Datos_vigas!$B$16*AG34)+Datos_vigas!$B$11*VLOOKUP($A$26,Datos_vigas!$A$14:$E$15,3,0)*AF34)</f>
        <v/>
      </c>
      <c r="E34" s="18"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7" t="n">
        <v>15</v>
      </c>
      <c r="K34" s="18">
        <f>L34-AH34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c r="AE34" s="17" t="n"/>
      <c r="AF34" s="17" t="n">
        <v>0</v>
      </c>
      <c r="AG34" s="17" t="n">
        <v>1</v>
      </c>
      <c r="AH34" s="17"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13.89</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13.89</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35.39</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35.39</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55.94</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3</v>
      </c>
      <c r="J9" s="10" t="n">
        <v>30</v>
      </c>
      <c r="K9" s="8" t="n">
        <v>4.5</v>
      </c>
      <c r="L9" s="25">
        <f>IF(H9="","",H9/I9)</f>
        <v/>
      </c>
      <c r="M9" s="8">
        <f>Datos_pilotes!$B$4</f>
        <v/>
      </c>
      <c r="N9" s="11">
        <f>IF(L9="","FALTA CARGA",IF(L9&lt;=M9,"VERIFICA","NO VERIFICA"))</f>
        <v/>
      </c>
      <c r="O9"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3</v>
      </c>
      <c r="J11" s="10" t="n">
        <v>30</v>
      </c>
      <c r="K11" s="8" t="n">
        <v>4.5</v>
      </c>
      <c r="L11" s="25">
        <f>IF(H11="","",H11/I11)</f>
        <v/>
      </c>
      <c r="M11" s="8">
        <f>Datos_pilotes!$B$4</f>
        <v/>
      </c>
      <c r="N11" s="11">
        <f>IF(L11="","FALTA CARGA",IF(L11&lt;=M11,"VERIFICA","NO VERIFICA"))</f>
        <v/>
      </c>
      <c r="O11" s="13"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18.74</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3" t="inlineStr">
        <is>
          <t>9,00 t de la planilla de la catedra mas las reacciones de VI 01a (6,16 t) y VI 07a (3,58 t), que apoyan aqui. Se suman por la misma razon que en T6.</t>
        </is>
      </c>
    </row>
    <row r="5" ht="17" customHeight="1">
      <c r="A5" s="26" t="n"/>
      <c r="B5" s="23" t="inlineStr">
        <is>
          <t>T2</t>
        </is>
      </c>
      <c r="C5" s="8" t="n">
        <v>8.5</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3" t="inlineStr">
        <is>
          <t>6,00 t de la planilla de la catedra mas la reaccion de VI 01b (2,5 t), que apoya aqui y en la COL 01 de 10x10. Se suman por la misma razon que en T6.</t>
        </is>
      </c>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14.1</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3"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17" customHeight="1">
      <c r="A10" s="26" t="n"/>
      <c r="B10" s="23" t="inlineStr">
        <is>
          <t>T7</t>
        </is>
      </c>
      <c r="C10" s="8" t="n">
        <v>24.03</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Recibe los extremos de VI 02 (21,12 t), VI 17 (1,31 t) y VI 10a (1,60 t), esta ultima alineada con el tabique, que es su continuacion. Cargas MAYORADAS, no comparables sin mas con las de T1 a T6. Es el tabique mas exigido del conjunto: 98 cm de largo tomando 24 t.</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5.62</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el extremo de VI 15b. VI 17 no descarga aqui sino en T07. T12 acompana a VI 17 en toda su longitud por debajo, de modo que esa viga esta mas sostenida de lo que supone el calculo: queda del lado seguro.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c r="A21"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c r="A22" s="42"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c r="A23" s="42"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c r="A24" s="42"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40"/>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c r="F1" s="2" t="n"/>
    </row>
    <row r="2">
      <c r="A2" s="2" t="n"/>
      <c r="B2" s="2" t="n"/>
      <c r="C2" s="2" t="n"/>
      <c r="D2" s="2" t="n"/>
      <c r="E2" s="2" t="n"/>
      <c r="F2" s="2" t="n"/>
    </row>
    <row r="3">
      <c r="A3" s="44" t="inlineStr">
        <is>
          <t>PARAMETRO</t>
        </is>
      </c>
      <c r="B3" s="45" t="inlineStr">
        <is>
          <t>valor</t>
        </is>
      </c>
      <c r="C3" s="45" t="inlineStr">
        <is>
          <t>unidad</t>
        </is>
      </c>
      <c r="D3" s="44" t="inlineStr">
        <is>
          <t>origen</t>
        </is>
      </c>
      <c r="E3" s="2" t="n"/>
      <c r="F3" s="2" t="n"/>
    </row>
    <row r="4">
      <c r="A4" s="46" t="inlineStr">
        <is>
          <t>Carga admisible por pilote</t>
        </is>
      </c>
      <c r="B4" s="47" t="n">
        <v>12</v>
      </c>
      <c r="C4" s="11" t="inlineStr">
        <is>
          <t>t</t>
        </is>
      </c>
      <c r="D4" s="51" t="inlineStr">
        <is>
          <t>ESTIMADA. Falta el estudio de suelos: cambiar aca y recalcula todo.</t>
        </is>
      </c>
      <c r="E4" s="2" t="n"/>
      <c r="F4" s="2" t="n"/>
    </row>
    <row r="5">
      <c r="A5" s="46" t="inlineStr">
        <is>
          <t>Tension admisible del terreno</t>
        </is>
      </c>
      <c r="B5" s="47" t="n">
        <v>2</v>
      </c>
      <c r="C5" s="11" t="inlineStr">
        <is>
          <t>kg/cm2</t>
        </is>
      </c>
      <c r="D5" s="51" t="inlineStr">
        <is>
          <t>Dato real, tomado del encabezado del calculo de bases.</t>
        </is>
      </c>
      <c r="E5" s="2" t="n"/>
      <c r="F5" s="2" t="n"/>
    </row>
    <row r="6">
      <c r="A6" s="46" t="inlineStr">
        <is>
          <t>Diametro del pilote</t>
        </is>
      </c>
      <c r="B6" s="47" t="n">
        <v>30</v>
      </c>
      <c r="C6" s="11" t="inlineStr">
        <is>
          <t>cm</t>
        </is>
      </c>
      <c r="D6" s="51" t="inlineStr">
        <is>
          <t>Nota del plano: todos los pilotes son O30.</t>
        </is>
      </c>
      <c r="E6" s="2" t="n"/>
      <c r="F6" s="2" t="n"/>
    </row>
    <row r="7">
      <c r="A7" s="46" t="inlineStr">
        <is>
          <t>Profundidad</t>
        </is>
      </c>
      <c r="B7" s="47" t="n">
        <v>-4.5</v>
      </c>
      <c r="C7" s="11" t="inlineStr">
        <is>
          <t>m</t>
        </is>
      </c>
      <c r="D7" s="51" t="inlineStr">
        <is>
          <t>Nota del plano: h = -4,50 m desde la cota +-0,00 de vereda.</t>
        </is>
      </c>
      <c r="E7" s="2" t="n"/>
      <c r="F7" s="2" t="n"/>
    </row>
    <row r="8">
      <c r="A8" s="46" t="inlineStr">
        <is>
          <t>Coef. de mayoracion adoptado</t>
        </is>
      </c>
      <c r="B8" s="47" t="n">
        <v>1.4</v>
      </c>
      <c r="C8" s="11" t="inlineStr">
        <is>
          <t>-</t>
        </is>
      </c>
      <c r="D8" s="51" t="inlineStr">
        <is>
          <t>Para pasar de carga mayorada a carga de servicio.</t>
        </is>
      </c>
      <c r="E8" s="2" t="n"/>
      <c r="F8" s="2" t="n"/>
    </row>
    <row r="9">
      <c r="A9" s="57" t="inlineStr">
        <is>
          <t>ARMADURA DEL PILOTE  (planilla del Ing. Caggiano, 23-03-22)</t>
        </is>
      </c>
      <c r="B9" s="2" t="n"/>
      <c r="C9" s="42" t="inlineStr">
        <is>
          <t>5 barras del 12 longitudinales, mas espiral o6 c/15 de 20 cm de diametro, 27 vueltas, longitud teorica 16,95 m. SIN BULBO.</t>
        </is>
      </c>
      <c r="D9" s="2" t="n"/>
      <c r="E9" s="2" t="n"/>
      <c r="F9" s="2" t="n"/>
    </row>
    <row r="10">
      <c r="A10" s="57" t="inlineStr">
        <is>
          <t>TIPOS DE PILOTE  (nota general del plano: CANTIDAD 33 PILOTES)</t>
        </is>
      </c>
      <c r="B10" s="2" t="n"/>
      <c r="C10" s="2" t="n"/>
      <c r="D10" s="2" t="n"/>
      <c r="E10" s="2" t="n"/>
      <c r="F10" s="2" t="n"/>
    </row>
    <row r="11">
      <c r="A11" s="45" t="inlineStr">
        <is>
          <t>tipo</t>
        </is>
      </c>
      <c r="B11" s="45" t="inlineStr">
        <is>
          <t>cantidad</t>
        </is>
      </c>
      <c r="C11" s="45" t="inlineStr">
        <is>
          <t>cota fundacion</t>
        </is>
      </c>
      <c r="D11" s="45" t="inlineStr">
        <is>
          <t>nivel llenado</t>
        </is>
      </c>
      <c r="E11" s="45" t="inlineStr">
        <is>
          <t>long. hormigon</t>
        </is>
      </c>
      <c r="F11" s="2" t="n"/>
    </row>
    <row r="12">
      <c r="A12" s="46" t="inlineStr">
        <is>
          <t>Pilote tipo "A"</t>
        </is>
      </c>
      <c r="B12" s="58" t="n">
        <v>8</v>
      </c>
      <c r="C12" s="58" t="n">
        <v>-4.5</v>
      </c>
      <c r="D12" s="58" t="n">
        <v>-0.4</v>
      </c>
      <c r="E12" s="58" t="n">
        <v>4.6</v>
      </c>
      <c r="F12" s="51" t="inlineStr">
        <is>
          <t>bajo cabezales de 70 cm (CBZ02 y CBZ03)</t>
        </is>
      </c>
    </row>
    <row r="13">
      <c r="A13" s="46" t="inlineStr">
        <is>
          <t>Pilote tipo "B"</t>
        </is>
      </c>
      <c r="B13" s="58" t="n">
        <v>5</v>
      </c>
      <c r="C13" s="58" t="n">
        <v>-4.5</v>
      </c>
      <c r="D13" s="58" t="n">
        <v>-0.35</v>
      </c>
      <c r="E13" s="58" t="n">
        <v>4.5</v>
      </c>
      <c r="F13" s="51" t="inlineStr">
        <is>
          <t>bajo cabezales de 65 cm (CBZ01)</t>
        </is>
      </c>
    </row>
    <row r="14">
      <c r="A14" s="46" t="inlineStr">
        <is>
          <t>Pilote tipo "C"</t>
        </is>
      </c>
      <c r="B14" s="58" t="n">
        <v>16</v>
      </c>
      <c r="C14" s="58" t="n">
        <v>-4.5</v>
      </c>
      <c r="D14" s="58" t="n">
        <v>-0.05</v>
      </c>
      <c r="E14" s="58" t="n">
        <v>4.35</v>
      </c>
      <c r="F14" s="51" t="inlineStr">
        <is>
          <t>bajo VF de 25x35 y 20x35</t>
        </is>
      </c>
    </row>
    <row r="15">
      <c r="A15" s="46" t="inlineStr">
        <is>
          <t>Pilote tipo "D"</t>
        </is>
      </c>
      <c r="B15" s="58" t="n">
        <v>4</v>
      </c>
      <c r="C15" s="58" t="n">
        <v>-4.5</v>
      </c>
      <c r="D15" s="58" t="n">
        <v>-0.1</v>
      </c>
      <c r="E15" s="58" t="n">
        <v>4.4</v>
      </c>
      <c r="F15" s="51" t="inlineStr">
        <is>
          <t>bajo VF de 25x40</t>
        </is>
      </c>
    </row>
    <row r="16">
      <c r="A16" s="2" t="n"/>
      <c r="B16" s="2" t="n"/>
      <c r="C16" s="2" t="n"/>
      <c r="D16" s="2" t="n"/>
      <c r="E16" s="2" t="n"/>
      <c r="F16" s="2" t="n"/>
    </row>
    <row r="17">
      <c r="A17" s="42" t="inlineStr">
        <is>
          <t>Los cuatro tipos se funden a -4,50 m; se diferencian en el nivel de llenado de hormigon, o sea en la longitud real del fuste.</t>
        </is>
      </c>
      <c r="B17" s="2" t="n"/>
      <c r="C17" s="2" t="n"/>
      <c r="D17" s="2" t="n"/>
      <c r="E17" s="2" t="n"/>
      <c r="F17" s="2" t="n"/>
    </row>
    <row r="18">
      <c r="A18" s="41"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c r="A20" s="57" t="inlineStr">
        <is>
          <t>COMO SE ESTIMO LA CARGA ADMISIBLE</t>
        </is>
      </c>
      <c r="B20" s="2" t="n"/>
      <c r="C20" s="2" t="n"/>
      <c r="D20" s="2" t="n"/>
      <c r="E20" s="2" t="n"/>
      <c r="F20" s="2" t="n"/>
    </row>
    <row r="21">
      <c r="A21" s="42" t="inlineStr">
        <is>
          <t>Pilote O30: area de punta 0,0707 m2. Punta  0,0707 x 20 t/m2 = 1,4 t.</t>
        </is>
      </c>
      <c r="B21" s="2" t="n"/>
      <c r="C21" s="2" t="n"/>
      <c r="D21" s="2" t="n"/>
      <c r="E21" s="2" t="n"/>
      <c r="F21" s="2" t="n"/>
    </row>
    <row r="22">
      <c r="A22" s="42" t="inlineStr">
        <is>
          <t>Area lateral segun el tipo: 3,86 m2 el A, 3,91 el B, 4,19 el C y 4,15 el D.</t>
        </is>
      </c>
      <c r="B22" s="2" t="n"/>
      <c r="C22" s="2" t="n"/>
      <c r="D22" s="2" t="n"/>
      <c r="E22" s="2" t="n"/>
      <c r="F22" s="2" t="n"/>
    </row>
    <row r="23">
      <c r="A23" s="42" t="inlineStr">
        <is>
          <t>Con una adherencia de 2,5 t/m2 la capacidad va de 11,1 t el tipo A a 11,9 t el C:</t>
        </is>
      </c>
      <c r="B23" s="2" t="n"/>
      <c r="C23" s="2" t="n"/>
      <c r="D23" s="2" t="n"/>
      <c r="E23" s="2" t="n"/>
      <c r="F23" s="2" t="n"/>
    </row>
    <row r="24">
      <c r="A24" s="42" t="inlineStr">
        <is>
          <t>la diferencia entre tipos es menor al 8 por ciento, por eso se adopta un unico</t>
        </is>
      </c>
      <c r="B24" s="2" t="n"/>
      <c r="C24" s="2" t="n"/>
      <c r="D24" s="2" t="n"/>
      <c r="E24" s="2" t="n"/>
      <c r="F24" s="2" t="n"/>
    </row>
    <row r="25">
      <c r="A25" s="42" t="inlineStr">
        <is>
          <t>valor de 12 t para todos, en lugar de uno por tipo.</t>
        </is>
      </c>
      <c r="B25" s="2" t="n"/>
      <c r="C25" s="2" t="n"/>
      <c r="D25" s="2" t="n"/>
      <c r="E25" s="2" t="n"/>
      <c r="F25" s="2" t="n"/>
    </row>
    <row r="26">
      <c r="A26" s="42" t="inlineStr"/>
      <c r="B26" s="2" t="n"/>
      <c r="C26" s="2" t="n"/>
      <c r="D26" s="2" t="n"/>
      <c r="E26" s="2" t="n"/>
      <c r="F26" s="2" t="n"/>
    </row>
    <row r="27">
      <c r="A27" s="41" t="inlineStr">
        <is>
          <t>LECTURA INVERSA, que es la util mientras no haya estudio de suelos:</t>
        </is>
      </c>
      <c r="B27" s="2" t="n"/>
      <c r="C27" s="2" t="n"/>
      <c r="D27" s="2" t="n"/>
      <c r="E27" s="2" t="n"/>
      <c r="F27" s="2" t="n"/>
    </row>
    <row r="28">
      <c r="A28" s="42" t="inlineStr">
        <is>
          <t>con las cargas de esta planilla, para que el esquema funcione cada pilote</t>
        </is>
      </c>
      <c r="B28" s="2" t="n"/>
      <c r="C28" s="2" t="n"/>
      <c r="D28" s="2" t="n"/>
      <c r="E28" s="2" t="n"/>
      <c r="F28" s="2" t="n"/>
    </row>
    <row r="29">
      <c r="A29" s="42" t="inlineStr">
        <is>
          <t>tiene que admitir del orden de 20 t. Si el estudio de suelos da menos,</t>
        </is>
      </c>
      <c r="B29" s="2" t="n"/>
      <c r="C29" s="2" t="n"/>
      <c r="D29" s="2" t="n"/>
      <c r="E29" s="2" t="n"/>
      <c r="F29" s="2" t="n"/>
    </row>
    <row r="30">
      <c r="A30" s="42" t="inlineStr">
        <is>
          <t>faltan pilotes; si da mas, el diseno esta holgado.</t>
        </is>
      </c>
      <c r="B30" s="2" t="n"/>
      <c r="C30" s="2" t="n"/>
      <c r="D30" s="2" t="n"/>
      <c r="E30" s="2" t="n"/>
      <c r="F30" s="2" t="n"/>
    </row>
    <row r="31">
      <c r="A31" s="42" t="inlineStr"/>
      <c r="B31" s="2" t="n"/>
      <c r="C31" s="2" t="n"/>
      <c r="D31" s="2" t="n"/>
      <c r="E31" s="2" t="n"/>
      <c r="F31" s="2" t="n"/>
    </row>
    <row r="32">
      <c r="A32" s="42" t="inlineStr">
        <is>
          <t>Capacidad ESTRUCTURAL del pilote: con 5d12 (5,65 cm2) en 707 cm2, cuantia 0,8%,</t>
        </is>
      </c>
      <c r="B32" s="2" t="n"/>
      <c r="C32" s="2" t="n"/>
      <c r="D32" s="2" t="n"/>
      <c r="E32" s="2" t="n"/>
      <c r="F32" s="2" t="n"/>
    </row>
    <row r="33">
      <c r="A33" s="42" t="inlineStr">
        <is>
          <t>fi Pn = 77,4 t. La seccion de hormigon no es el limite: manda el suelo.</t>
        </is>
      </c>
      <c r="B33" s="2" t="n"/>
      <c r="C33" s="2" t="n"/>
      <c r="D33" s="2" t="n"/>
      <c r="E33" s="2" t="n"/>
      <c r="F33" s="2" t="n"/>
    </row>
    <row r="34">
      <c r="A34" s="42" t="inlineStr"/>
      <c r="B34" s="2" t="n"/>
      <c r="C34" s="2" t="n"/>
      <c r="D34" s="2" t="n"/>
      <c r="E34" s="2" t="n"/>
      <c r="F34" s="2" t="n"/>
    </row>
    <row r="35">
      <c r="A35" s="42" t="inlineStr">
        <is>
          <t>FALTA todavia la capacidad geotecnica. Las planillas de armadura de pilotes no</t>
        </is>
      </c>
      <c r="B35" s="2" t="n"/>
      <c r="C35" s="2" t="n"/>
      <c r="D35" s="2" t="n"/>
      <c r="E35" s="2" t="n"/>
      <c r="F35" s="2" t="n"/>
    </row>
    <row r="36">
      <c r="A36" s="42" t="inlineStr">
        <is>
          <t>la traen: son planillas de doblado de hierro. Ese dato esta en el estudio de suelos.</t>
        </is>
      </c>
      <c r="B36" s="2" t="n"/>
      <c r="C36" s="2" t="n"/>
      <c r="D36" s="2" t="n"/>
      <c r="E36" s="2" t="n"/>
      <c r="F36" s="2" t="n"/>
    </row>
    <row r="37">
      <c r="A37" s="42" t="inlineStr"/>
      <c r="B37" s="2" t="n"/>
      <c r="C37" s="2" t="n"/>
      <c r="D37" s="2" t="n"/>
      <c r="E37" s="2" t="n"/>
      <c r="F37" s="2" t="n"/>
    </row>
    <row r="38">
      <c r="A38" s="42" t="inlineStr">
        <is>
          <t>La tension de 2 kg/cm2 que trae el calculo de bases es la del estrato</t>
        </is>
      </c>
      <c r="B38" s="2" t="n"/>
      <c r="C38" s="2" t="n"/>
      <c r="D38" s="2" t="n"/>
      <c r="E38" s="2" t="n"/>
      <c r="F38" s="2" t="n"/>
    </row>
    <row r="39">
      <c r="A39" s="42" t="inlineStr">
        <is>
          <t>superficial, donde apoyaban las bases. Los pilotes llegan a -4,50 m y</t>
        </is>
      </c>
      <c r="B39" s="2" t="n"/>
      <c r="C39" s="2" t="n"/>
      <c r="D39" s="2" t="n"/>
      <c r="E39" s="2" t="n"/>
      <c r="F39" s="2" t="n"/>
    </row>
    <row r="40">
      <c r="A40" s="42" t="inlineStr">
        <is>
          <t>trabajan sobre todo por friccion: son dos cosas distintas.</t>
        </is>
      </c>
      <c r="B40" s="2" t="n"/>
      <c r="C40" s="2" t="n"/>
      <c r="D40" s="2" t="n"/>
      <c r="E40" s="2" t="n"/>
      <c r="F40"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2026-10-22T21:51:07Z</dcterms:created>
  <dcterms:modified xmlns:dcterms="http://purl.org/dc/terms/" xmlns:xsi="http://www.w3.org/2001/XMLSchema-instance" xsi:type="dcterms:W3CDTF">2026-10-22T21:51:08Z</dcterms:modified>
</cp:coreProperties>
</file>