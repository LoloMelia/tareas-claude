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6">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5" t="inlineStr">
        <is>
          <t>VENTANA</t>
        </is>
      </c>
      <c r="C40" s="10" t="n"/>
      <c r="D40" s="10" t="n"/>
      <c r="E40" s="10" t="n"/>
      <c r="F40" s="10" t="n"/>
      <c r="G40" s="2" t="n"/>
      <c r="H40" s="2" t="n"/>
      <c r="I40" s="2" t="n"/>
    </row>
    <row r="41" ht="47" customHeight="1">
      <c r="A41" s="10" t="n"/>
      <c r="B41" s="36" t="inlineStr">
        <is>
          <t>PF02</t>
        </is>
      </c>
      <c r="C41" s="10">
        <f>IF(COUNT(H41,I41)&lt;2,"",TEXT(H41,"0.00")&amp;" x "&amp;TEXT(I41,"0.00"))</f>
        <v/>
      </c>
      <c r="D41" s="9">
        <f>IF(COUNT(H41,I41)&lt;2,"",ROUND(H41*I41,2))</f>
        <v/>
      </c>
      <c r="E41" s="27" t="n">
        <v>60</v>
      </c>
      <c r="F41" s="30">
        <f>IF(D41="","",ROUND(D41*E41,1))</f>
        <v/>
      </c>
      <c r="G41" s="2" t="n"/>
      <c r="H41" s="37" t="n">
        <v>3.75</v>
      </c>
      <c r="I41" s="37" t="n">
        <v>3</v>
      </c>
    </row>
    <row r="42" ht="47" customHeight="1">
      <c r="A42" s="10" t="n"/>
      <c r="B42" s="36" t="inlineStr">
        <is>
          <t>PV01</t>
        </is>
      </c>
      <c r="C42" s="10">
        <f>IF(COUNT(H42,I42)&lt;2,"",TEXT(H42,"0.00")&amp;" x "&amp;TEXT(I42,"0.00"))</f>
        <v/>
      </c>
      <c r="D42" s="9">
        <f>IF(COUNT(H42,I42)&lt;2,"",ROUND(H42*I42,2))</f>
        <v/>
      </c>
      <c r="E42" s="27" t="n">
        <v>60</v>
      </c>
      <c r="F42" s="30">
        <f>IF(D42="","",ROUND(D42*E42,1))</f>
        <v/>
      </c>
      <c r="G42" s="2" t="n"/>
      <c r="H42" s="37" t="n">
        <v>7.7</v>
      </c>
      <c r="I42" s="37" t="n">
        <v>3</v>
      </c>
    </row>
    <row r="43" ht="39.7" customHeight="1">
      <c r="A43" s="18" t="inlineStr">
        <is>
          <t>2</t>
        </is>
      </c>
      <c r="B43" s="35" t="inlineStr">
        <is>
          <t>PAREDES EXTERIORES</t>
        </is>
      </c>
      <c r="C43" s="10" t="n"/>
      <c r="D43" s="10" t="n"/>
      <c r="E43" s="10" t="n"/>
      <c r="F43" s="10" t="n"/>
      <c r="G43" s="2" t="n"/>
      <c r="H43" s="2" t="n"/>
      <c r="I43" s="2" t="n"/>
    </row>
    <row r="44" ht="47" customHeight="1">
      <c r="A44" s="10" t="n"/>
      <c r="B44" s="36" t="inlineStr">
        <is>
          <t>AISLADAS (SE)</t>
        </is>
      </c>
      <c r="C44" s="10">
        <f>IF(COUNT(H44,I44)&lt;2,"",TEXT(H44,"0.00")&amp;" x "&amp;TEXT(I44,"0.00"))</f>
        <v/>
      </c>
      <c r="D44" s="9">
        <f>IF(COUNT(H44,I44)&lt;2,"",ROUND(H44*I44,2))</f>
        <v/>
      </c>
      <c r="E44" s="27" t="n">
        <v>20</v>
      </c>
      <c r="F44" s="30">
        <f>IF(D44="","",ROUND(D44*E44,1))</f>
        <v/>
      </c>
      <c r="G44" s="2" t="n"/>
      <c r="H44" s="37" t="n">
        <v>8.66</v>
      </c>
      <c r="I44" s="37" t="n">
        <v>3</v>
      </c>
    </row>
    <row r="45" ht="47" customHeight="1">
      <c r="A45" s="10" t="n"/>
      <c r="B45" s="36" t="inlineStr">
        <is>
          <t>AISLADAS (    )</t>
        </is>
      </c>
      <c r="C45" s="10">
        <f>IF(COUNT(H45,I45)&lt;2,"",TEXT(H45,"0.00")&amp;" x "&amp;TEXT(I45,"0.00"))</f>
        <v/>
      </c>
      <c r="D45" s="9">
        <f>IF(COUNT(H45,I45)&lt;2,"",ROUND(H45*I45,2))</f>
        <v/>
      </c>
      <c r="E45" s="27" t="n">
        <v>20</v>
      </c>
      <c r="F45" s="30">
        <f>IF(D45="","",ROUND(D45*E45,1))</f>
        <v/>
      </c>
      <c r="G45" s="2" t="n"/>
      <c r="H45" s="37" t="n"/>
      <c r="I45" s="37" t="n"/>
    </row>
    <row r="46" ht="47" customHeight="1">
      <c r="A46" s="10" t="n"/>
      <c r="B46" s="36" t="inlineStr">
        <is>
          <t>INTERIORES (    )</t>
        </is>
      </c>
      <c r="C46" s="10">
        <f>IF(COUNT(H46,I46)&lt;2,"",TEXT(H46,"0.00")&amp;" x "&amp;TEXT(I46,"0.00"))</f>
        <v/>
      </c>
      <c r="D46" s="9">
        <f>IF(COUNT(H46,I46)&lt;2,"",ROUND(H46*I46,2))</f>
        <v/>
      </c>
      <c r="E46" s="27" t="n">
        <v>25</v>
      </c>
      <c r="F46" s="30">
        <f>IF(D46="","",ROUND(D46*E46,1))</f>
        <v/>
      </c>
      <c r="G46" s="2" t="n"/>
      <c r="H46" s="37" t="n">
        <v>4.06</v>
      </c>
      <c r="I46" s="37" t="n">
        <v>3</v>
      </c>
    </row>
    <row r="47" ht="47" customHeight="1">
      <c r="A47" s="10" t="n"/>
      <c r="B47" s="36" t="inlineStr">
        <is>
          <t>INTERIORES (galeria, con la PV01)</t>
        </is>
      </c>
      <c r="C47" s="10">
        <f>IF(COUNT(H47,I47)&lt;2,"",TEXT(H47,"0.00")&amp;" x "&amp;TEXT(I47,"0.00"))</f>
        <v/>
      </c>
      <c r="D47" s="9">
        <f>IF(COUNT(H47,I47)&lt;2,"",ROUND(H47*I47,2))</f>
        <v/>
      </c>
      <c r="E47" s="27" t="n">
        <v>25</v>
      </c>
      <c r="F47" s="30">
        <f>IF(D47="","",ROUND(D47*E47,1))</f>
        <v/>
      </c>
      <c r="G47" s="2" t="n"/>
      <c r="H47" s="37" t="n">
        <v>8.66</v>
      </c>
      <c r="I47" s="37" t="n">
        <v>3</v>
      </c>
    </row>
    <row r="48" ht="47" customHeight="1">
      <c r="A48" s="10" t="n"/>
      <c r="B48" s="36" t="inlineStr">
        <is>
          <t>INTERIORES (    )</t>
        </is>
      </c>
      <c r="C48" s="10">
        <f>IF(COUNT(H48,I48)&lt;2,"",TEXT(H48,"0.00")&amp;" x "&amp;TEXT(I48,"0.00"))</f>
        <v/>
      </c>
      <c r="D48" s="9">
        <f>IF(COUNT(H48,I48)&lt;2,"",ROUND(H48*I48,2))</f>
        <v/>
      </c>
      <c r="E48" s="27" t="n">
        <v>25</v>
      </c>
      <c r="F48" s="30">
        <f>IF(D48="","",ROUND(D48*E48,1))</f>
        <v/>
      </c>
      <c r="G48" s="2" t="n"/>
      <c r="H48" s="37" t="n">
        <v>4.06</v>
      </c>
      <c r="I48" s="37" t="n">
        <v>3</v>
      </c>
    </row>
    <row r="49" ht="39.7" customHeight="1">
      <c r="A49" s="18" t="inlineStr">
        <is>
          <t>3</t>
        </is>
      </c>
      <c r="B49" s="35" t="inlineStr">
        <is>
          <t>TECHOS O CIELORRASOS</t>
        </is>
      </c>
      <c r="C49" s="10" t="n"/>
      <c r="D49" s="10" t="n"/>
      <c r="E49" s="10" t="n"/>
      <c r="F49" s="10" t="n"/>
      <c r="G49" s="2" t="n"/>
      <c r="H49" s="2" t="n"/>
      <c r="I49" s="2" t="n"/>
    </row>
    <row r="50" ht="47" customHeight="1">
      <c r="A50" s="10" t="n"/>
      <c r="B50" s="36" t="inlineStr">
        <is>
          <t>TECHO NO AISLADO</t>
        </is>
      </c>
      <c r="C50" s="10" t="inlineStr"/>
      <c r="D50" s="9">
        <f>IF(COUNT(H50,I50)&lt;2,"",ROUND(H50*I50,2))</f>
        <v/>
      </c>
      <c r="E50" s="27" t="n">
        <v>30</v>
      </c>
      <c r="F50" s="30">
        <f>IF(D50="","",ROUND(D50*E50,1))</f>
        <v/>
      </c>
      <c r="G50" s="2" t="n"/>
      <c r="H50" s="37" t="n"/>
      <c r="I50" s="37" t="n"/>
    </row>
    <row r="51" ht="47" customHeight="1">
      <c r="A51" s="10" t="n"/>
      <c r="B51" s="36" t="inlineStr">
        <is>
          <t>TECHO AISLADO</t>
        </is>
      </c>
      <c r="C51" s="10" t="inlineStr"/>
      <c r="D51" s="9">
        <f>IF(COUNT(H51,I51)&lt;2,"",ROUND(H51*I51,2))</f>
        <v/>
      </c>
      <c r="E51" s="27" t="n">
        <v>20</v>
      </c>
      <c r="F51" s="30">
        <f>IF(D51="","",ROUND(D51*E51,1))</f>
        <v/>
      </c>
      <c r="G51" s="2" t="n"/>
      <c r="H51" s="37" t="n"/>
      <c r="I51" s="37" t="n"/>
    </row>
    <row r="52" ht="39.7" customHeight="1">
      <c r="A52" s="10" t="n"/>
      <c r="B52" s="36" t="inlineStr">
        <is>
          <t>TECHO ENTREPISO</t>
        </is>
      </c>
      <c r="C52" s="10" t="inlineStr">
        <is>
          <t>por croquis</t>
        </is>
      </c>
      <c r="D52" s="9" t="n">
        <v>35.16</v>
      </c>
      <c r="E52" s="27" t="n">
        <v>15</v>
      </c>
      <c r="F52" s="30">
        <f>IF(D52="","",ROUND(D52*E52,1))</f>
        <v/>
      </c>
      <c r="G52" s="2" t="n"/>
      <c r="H52" s="37" t="n"/>
      <c r="I52" s="37" t="n"/>
    </row>
    <row r="53" ht="39.7" customHeight="1">
      <c r="A53" s="18" t="inlineStr">
        <is>
          <t>4</t>
        </is>
      </c>
      <c r="B53" s="35" t="inlineStr">
        <is>
          <t>PISO</t>
        </is>
      </c>
      <c r="C53" s="10" t="n"/>
      <c r="D53" s="10" t="n"/>
      <c r="E53" s="10" t="n"/>
      <c r="F53" s="10" t="n"/>
      <c r="G53" s="2" t="n"/>
      <c r="H53" s="2" t="n"/>
      <c r="I53" s="2" t="n"/>
    </row>
    <row r="54" ht="39.7" customHeight="1">
      <c r="A54" s="10" t="n"/>
      <c r="B54" s="36" t="inlineStr">
        <is>
          <t>SOBRE TIERRA</t>
        </is>
      </c>
      <c r="C54" s="10" t="inlineStr">
        <is>
          <t>por croquis</t>
        </is>
      </c>
      <c r="D54" s="9" t="n">
        <v>35.16</v>
      </c>
      <c r="E54" s="27" t="n">
        <v>10</v>
      </c>
      <c r="F54" s="30">
        <f>IF(D54="","",ROUND(D54*E54,1))</f>
        <v/>
      </c>
      <c r="G54" s="2" t="n"/>
      <c r="H54" s="37" t="n"/>
      <c r="I54" s="37" t="n"/>
    </row>
    <row r="55" ht="47" customHeight="1">
      <c r="A55" s="10" t="n"/>
      <c r="B55" s="36" t="inlineStr">
        <is>
          <t>SOBRE LOCAL OCUPADO</t>
        </is>
      </c>
      <c r="C55" s="10" t="inlineStr"/>
      <c r="D55" s="9">
        <f>IF(COUNT(H55,I55)&lt;2,"",ROUND(H55*I55,2))</f>
        <v/>
      </c>
      <c r="E55" s="27" t="n">
        <v>15</v>
      </c>
      <c r="F55" s="30">
        <f>IF(D55="","",ROUND(D55*E55,1))</f>
        <v/>
      </c>
      <c r="G55" s="2" t="n"/>
      <c r="H55" s="37" t="n"/>
      <c r="I55" s="37" t="n"/>
    </row>
    <row r="56" ht="39.7" customHeight="1">
      <c r="A56" s="18" t="inlineStr">
        <is>
          <t>5</t>
        </is>
      </c>
      <c r="B56" s="35" t="inlineStr">
        <is>
          <t>INFILTRACION</t>
        </is>
      </c>
      <c r="C56" s="10" t="n"/>
      <c r="D56" s="18" t="inlineStr">
        <is>
          <t>VOLUMEN (m3)</t>
        </is>
      </c>
      <c r="E56" s="10" t="n"/>
      <c r="F56" s="10" t="n"/>
      <c r="G56" s="2" t="n"/>
      <c r="H56" s="2" t="n"/>
      <c r="I56" s="2" t="n"/>
    </row>
    <row r="57" ht="39.7" customHeight="1">
      <c r="A57" s="10" t="n"/>
      <c r="B57" s="36" t="inlineStr">
        <is>
          <t>UNA PARED EXTERIOR</t>
        </is>
      </c>
      <c r="C57" s="10" t="inlineStr">
        <is>
          <t>35.16 m2 x 3.00</t>
        </is>
      </c>
      <c r="D57" s="9" t="n">
        <v>105.48</v>
      </c>
      <c r="E57" s="27" t="n">
        <v>6</v>
      </c>
      <c r="F57" s="30">
        <f>IF(D57="","",ROUND(D57*E57,1))</f>
        <v/>
      </c>
      <c r="G57" s="2" t="n"/>
      <c r="H57" s="37" t="n"/>
      <c r="I57" s="37" t="n"/>
    </row>
    <row r="58" ht="47" customHeight="1">
      <c r="A58" s="10" t="n"/>
      <c r="B58" s="36" t="inlineStr">
        <is>
          <t>DOS PAREDES EXTERIORES</t>
        </is>
      </c>
      <c r="C58" s="10" t="inlineStr"/>
      <c r="D58" s="9">
        <f>IF(COUNT(H58,I58)&lt;2,"",ROUND(H58*I58,2))</f>
        <v/>
      </c>
      <c r="E58" s="27" t="n">
        <v>9</v>
      </c>
      <c r="F58" s="30">
        <f>IF(D58="","",ROUND(D58*E58,1))</f>
        <v/>
      </c>
      <c r="G58" s="2" t="n"/>
      <c r="H58" s="37" t="n"/>
      <c r="I58" s="37" t="n"/>
    </row>
    <row r="59" ht="47" customHeight="1">
      <c r="A59" s="10" t="n"/>
      <c r="B59" s="36" t="inlineStr">
        <is>
          <t>TRES O MAS PAREDES EXTERIORES</t>
        </is>
      </c>
      <c r="C59" s="10" t="inlineStr"/>
      <c r="D59" s="9">
        <f>IF(COUNT(H59,I59)&lt;2,"",ROUND(H59*I59,2))</f>
        <v/>
      </c>
      <c r="E59" s="27" t="n">
        <v>12</v>
      </c>
      <c r="F59" s="30">
        <f>IF(D59="","",ROUND(D59*E59,1))</f>
        <v/>
      </c>
      <c r="G59" s="2" t="n"/>
      <c r="H59" s="37" t="n"/>
      <c r="I59" s="37" t="n"/>
    </row>
    <row r="60" ht="70" customHeight="1">
      <c r="A60" s="18" t="inlineStr">
        <is>
          <t>6</t>
        </is>
      </c>
      <c r="B60" s="35" t="inlineStr">
        <is>
          <t>SUBTOTAL</t>
        </is>
      </c>
      <c r="C60" s="10" t="n"/>
      <c r="D60" s="10" t="n"/>
      <c r="E60" s="10" t="n"/>
      <c r="F60" s="38">
        <f>IF(F41="",0,F41)+IF(F42="",0,F42)+IF(F44="",0,F44)+IF(F45="",0,F45)+IF(F46="",0,F46)+IF(F47="",0,F47)+IF(F48="",0,F48)+IF(F50="",0,F50)+IF(F51="",0,F51)+IF(F52="",0,F52)+IF(F54="",0,F54)+IF(F55="",0,F55)+IF(F57="",0,F57)+IF(F58="",0,F58)+IF(F59="",0,F59)</f>
        <v/>
      </c>
      <c r="G60" s="2" t="n"/>
      <c r="H60" s="2" t="n"/>
      <c r="I60" s="2" t="n"/>
    </row>
    <row r="61" ht="47" customHeight="1">
      <c r="A61" s="18" t="inlineStr">
        <is>
          <t>7</t>
        </is>
      </c>
      <c r="B61" s="35" t="inlineStr">
        <is>
          <t>PERDIDA TOTAL</t>
        </is>
      </c>
      <c r="C61" s="10">
        <f>TEXT(F60,"0.00")&amp;"  X  "&amp;Datos_balance!$B$4&amp;" (FI)  X  "&amp;Datos_balance!$B$5&amp;" (FO)  X  "&amp;Datos_balance!$B$6&amp;" (FZ)"</f>
        <v/>
      </c>
      <c r="D61" s="2" t="n"/>
      <c r="E61" s="2" t="n"/>
      <c r="F61" s="38">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0">
        <f>F93</f>
        <v/>
      </c>
      <c r="G62" s="2" t="n"/>
      <c r="H62" s="2" t="n"/>
      <c r="I62" s="2" t="n"/>
    </row>
    <row r="63" ht="39.7" customHeight="1">
      <c r="A63" s="10" t="n"/>
      <c r="B63" s="35" t="inlineStr">
        <is>
          <t>CARGA TOTAL A CUBRIR</t>
        </is>
      </c>
      <c r="C63" s="10" t="n"/>
      <c r="D63" s="2" t="n"/>
      <c r="E63" s="2" t="n"/>
      <c r="F63" s="38">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27">
        <f>ROUNDUP(F63/(Datos_balance!$B$14*Datos_balance!$B$15),0)</f>
        <v/>
      </c>
      <c r="D67" s="2" t="n"/>
      <c r="E67" s="2" t="n"/>
      <c r="F67" s="10" t="n"/>
      <c r="G67" s="2" t="n"/>
      <c r="H67" s="2" t="n"/>
      <c r="I67" s="2" t="n"/>
    </row>
    <row r="68" ht="39.7" customHeight="1">
      <c r="A68" s="10" t="n"/>
      <c r="B68" s="11" t="inlineStr">
        <is>
          <t>Ancho del radiador (cm)</t>
        </is>
      </c>
      <c r="C68" s="27">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2" t="n"/>
      <c r="E69" s="22"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5" t="inlineStr">
        <is>
          <t>VENTANA</t>
        </is>
      </c>
      <c r="C74" s="10" t="n"/>
      <c r="D74" s="10" t="n"/>
      <c r="E74" s="10" t="n"/>
      <c r="F74" s="10" t="n"/>
      <c r="G74" s="2" t="n"/>
      <c r="H74" s="2" t="n"/>
      <c r="I74" s="2" t="n"/>
    </row>
    <row r="75" ht="47" customHeight="1">
      <c r="A75" s="10" t="n"/>
      <c r="B75" s="36" t="inlineStr">
        <is>
          <t>PF01 (2)</t>
        </is>
      </c>
      <c r="C75" s="10">
        <f>IF(COUNT(H75,I75)&lt;2,"",TEXT(H75,"0.00")&amp;" x "&amp;TEXT(I75,"0.00"))</f>
        <v/>
      </c>
      <c r="D75" s="9">
        <f>IF(COUNT(H75,I75)&lt;2,"",ROUND(H75*I75,2))</f>
        <v/>
      </c>
      <c r="E75" s="27" t="n">
        <v>60</v>
      </c>
      <c r="F75" s="30">
        <f>IF(D75="","",ROUND(D75*E75,1))</f>
        <v/>
      </c>
      <c r="G75" s="2" t="n"/>
      <c r="H75" s="37" t="n">
        <v>3.55</v>
      </c>
      <c r="I75" s="37" t="n">
        <v>3</v>
      </c>
    </row>
    <row r="76" ht="39.7" customHeight="1">
      <c r="A76" s="18" t="inlineStr">
        <is>
          <t>2</t>
        </is>
      </c>
      <c r="B76" s="35" t="inlineStr">
        <is>
          <t>PAREDES EXTERIORES</t>
        </is>
      </c>
      <c r="C76" s="10" t="n"/>
      <c r="D76" s="10" t="n"/>
      <c r="E76" s="10" t="n"/>
      <c r="F76" s="10" t="n"/>
      <c r="G76" s="2" t="n"/>
      <c r="H76" s="2" t="n"/>
      <c r="I76" s="2" t="n"/>
    </row>
    <row r="77" ht="47" customHeight="1">
      <c r="A77" s="10" t="n"/>
      <c r="B77" s="36" t="inlineStr">
        <is>
          <t>AISLADAS (SO)</t>
        </is>
      </c>
      <c r="C77" s="10">
        <f>IF(COUNT(H77,I77)&lt;2,"",TEXT(H77,"0.00")&amp;" x "&amp;TEXT(I77,"0.00"))</f>
        <v/>
      </c>
      <c r="D77" s="9">
        <f>IF(COUNT(H77,I77)&lt;2,"",ROUND(H77*I77,2))</f>
        <v/>
      </c>
      <c r="E77" s="27" t="n">
        <v>20</v>
      </c>
      <c r="F77" s="30">
        <f>IF(D77="","",ROUND(D77*E77,1))</f>
        <v/>
      </c>
      <c r="G77" s="2" t="n"/>
      <c r="H77" s="37" t="n">
        <v>3.52</v>
      </c>
      <c r="I77" s="37" t="n">
        <v>3</v>
      </c>
    </row>
    <row r="78" ht="47" customHeight="1">
      <c r="A78" s="10" t="n"/>
      <c r="B78" s="36" t="inlineStr">
        <is>
          <t>AISLADAS ()</t>
        </is>
      </c>
      <c r="C78" s="10">
        <f>IF(COUNT(H78,I78)&lt;2,"",TEXT(H78,"0.00")&amp;" x "&amp;TEXT(I78,"0.00"))</f>
        <v/>
      </c>
      <c r="D78" s="9">
        <f>IF(COUNT(H78,I78)&lt;2,"",ROUND(H78*I78,2))</f>
        <v/>
      </c>
      <c r="E78" s="27" t="n">
        <v>20</v>
      </c>
      <c r="F78" s="30">
        <f>IF(D78="","",ROUND(D78*E78,1))</f>
        <v/>
      </c>
      <c r="G78" s="2" t="n"/>
      <c r="H78" s="37" t="n">
        <v>2.15</v>
      </c>
      <c r="I78" s="37" t="n">
        <v>3</v>
      </c>
    </row>
    <row r="79" ht="47" customHeight="1">
      <c r="A79" s="10" t="n"/>
      <c r="B79" s="36" t="inlineStr">
        <is>
          <t>INTERIORES (    )</t>
        </is>
      </c>
      <c r="C79" s="10">
        <f>IF(COUNT(H79,I79)&lt;2,"",TEXT(H79,"0.00")&amp;" x "&amp;TEXT(I79,"0.00"))</f>
        <v/>
      </c>
      <c r="D79" s="9">
        <f>IF(COUNT(H79,I79)&lt;2,"",ROUND(H79*I79,2))</f>
        <v/>
      </c>
      <c r="E79" s="27" t="n">
        <v>25</v>
      </c>
      <c r="F79" s="30">
        <f>IF(D79="","",ROUND(D79*E79,1))</f>
        <v/>
      </c>
      <c r="G79" s="2" t="n"/>
      <c r="H79" s="37" t="n">
        <v>3.52</v>
      </c>
      <c r="I79" s="37" t="n">
        <v>3</v>
      </c>
    </row>
    <row r="80" ht="47" customHeight="1">
      <c r="A80" s="10" t="n"/>
      <c r="B80" s="36" t="inlineStr">
        <is>
          <t>INTERIORES (    )</t>
        </is>
      </c>
      <c r="C80" s="10">
        <f>IF(COUNT(H80,I80)&lt;2,"",TEXT(H80,"0.00")&amp;" x "&amp;TEXT(I80,"0.00"))</f>
        <v/>
      </c>
      <c r="D80" s="9">
        <f>IF(COUNT(H80,I80)&lt;2,"",ROUND(H80*I80,2))</f>
        <v/>
      </c>
      <c r="E80" s="27" t="n">
        <v>25</v>
      </c>
      <c r="F80" s="30">
        <f>IF(D80="","",ROUND(D80*E80,1))</f>
        <v/>
      </c>
      <c r="G80" s="2" t="n"/>
      <c r="H80" s="37" t="n">
        <v>2.15</v>
      </c>
      <c r="I80" s="37" t="n">
        <v>3</v>
      </c>
    </row>
    <row r="81" ht="39.7" customHeight="1">
      <c r="A81" s="18" t="inlineStr">
        <is>
          <t>3</t>
        </is>
      </c>
      <c r="B81" s="35" t="inlineStr">
        <is>
          <t>TECHOS O CIELORRASOS</t>
        </is>
      </c>
      <c r="C81" s="10" t="n"/>
      <c r="D81" s="10" t="n"/>
      <c r="E81" s="10" t="n"/>
      <c r="F81" s="10" t="n"/>
      <c r="G81" s="2" t="n"/>
      <c r="H81" s="2" t="n"/>
      <c r="I81" s="2" t="n"/>
    </row>
    <row r="82" ht="47" customHeight="1">
      <c r="A82" s="10" t="n"/>
      <c r="B82" s="36" t="inlineStr">
        <is>
          <t>TECHO NO AISLADO</t>
        </is>
      </c>
      <c r="C82" s="10" t="inlineStr"/>
      <c r="D82" s="9">
        <f>IF(COUNT(H82,I82)&lt;2,"",ROUND(H82*I82,2))</f>
        <v/>
      </c>
      <c r="E82" s="27" t="n">
        <v>30</v>
      </c>
      <c r="F82" s="30">
        <f>IF(D82="","",ROUND(D82*E82,1))</f>
        <v/>
      </c>
      <c r="G82" s="2" t="n"/>
      <c r="H82" s="37" t="n"/>
      <c r="I82" s="37" t="n"/>
    </row>
    <row r="83" ht="47" customHeight="1">
      <c r="A83" s="10" t="n"/>
      <c r="B83" s="36" t="inlineStr">
        <is>
          <t>TECHO AISLADO</t>
        </is>
      </c>
      <c r="C83" s="10" t="inlineStr"/>
      <c r="D83" s="9">
        <f>IF(COUNT(H83,I83)&lt;2,"",ROUND(H83*I83,2))</f>
        <v/>
      </c>
      <c r="E83" s="27" t="n">
        <v>20</v>
      </c>
      <c r="F83" s="30">
        <f>IF(D83="","",ROUND(D83*E83,1))</f>
        <v/>
      </c>
      <c r="G83" s="2" t="n"/>
      <c r="H83" s="37" t="n"/>
      <c r="I83" s="37" t="n"/>
    </row>
    <row r="84" ht="39.7" customHeight="1">
      <c r="A84" s="10" t="n"/>
      <c r="B84" s="36" t="inlineStr">
        <is>
          <t>TECHO ENTREPISO</t>
        </is>
      </c>
      <c r="C84" s="10" t="inlineStr">
        <is>
          <t>por croquis</t>
        </is>
      </c>
      <c r="D84" s="9" t="n">
        <v>7.57</v>
      </c>
      <c r="E84" s="27" t="n">
        <v>15</v>
      </c>
      <c r="F84" s="30">
        <f>IF(D84="","",ROUND(D84*E84,1))</f>
        <v/>
      </c>
      <c r="G84" s="2" t="n"/>
      <c r="H84" s="37" t="n"/>
      <c r="I84" s="37" t="n"/>
    </row>
    <row r="85" ht="39.7" customHeight="1">
      <c r="A85" s="18" t="inlineStr">
        <is>
          <t>4</t>
        </is>
      </c>
      <c r="B85" s="35" t="inlineStr">
        <is>
          <t>PISO</t>
        </is>
      </c>
      <c r="C85" s="10" t="n"/>
      <c r="D85" s="10" t="n"/>
      <c r="E85" s="10" t="n"/>
      <c r="F85" s="10" t="n"/>
      <c r="G85" s="2" t="n"/>
      <c r="H85" s="2" t="n"/>
      <c r="I85" s="2" t="n"/>
    </row>
    <row r="86" ht="39.7" customHeight="1">
      <c r="A86" s="10" t="n"/>
      <c r="B86" s="36" t="inlineStr">
        <is>
          <t>SOBRE TIERRA</t>
        </is>
      </c>
      <c r="C86" s="10" t="inlineStr">
        <is>
          <t>por croquis</t>
        </is>
      </c>
      <c r="D86" s="9" t="n">
        <v>7.57</v>
      </c>
      <c r="E86" s="27" t="n">
        <v>10</v>
      </c>
      <c r="F86" s="30">
        <f>IF(D86="","",ROUND(D86*E86,1))</f>
        <v/>
      </c>
      <c r="G86" s="2" t="n"/>
      <c r="H86" s="37" t="n"/>
      <c r="I86" s="37" t="n"/>
    </row>
    <row r="87" ht="47" customHeight="1">
      <c r="A87" s="10" t="n"/>
      <c r="B87" s="36" t="inlineStr">
        <is>
          <t>SOBRE LOCAL OCUPADO</t>
        </is>
      </c>
      <c r="C87" s="10" t="inlineStr"/>
      <c r="D87" s="9">
        <f>IF(COUNT(H87,I87)&lt;2,"",ROUND(H87*I87,2))</f>
        <v/>
      </c>
      <c r="E87" s="27" t="n">
        <v>15</v>
      </c>
      <c r="F87" s="30">
        <f>IF(D87="","",ROUND(D87*E87,1))</f>
        <v/>
      </c>
      <c r="G87" s="2" t="n"/>
      <c r="H87" s="37" t="n"/>
      <c r="I87" s="37" t="n"/>
    </row>
    <row r="88" ht="39.7" customHeight="1">
      <c r="A88" s="18" t="inlineStr">
        <is>
          <t>5</t>
        </is>
      </c>
      <c r="B88" s="35" t="inlineStr">
        <is>
          <t>INFILTRACION</t>
        </is>
      </c>
      <c r="C88" s="10" t="n"/>
      <c r="D88" s="18" t="inlineStr">
        <is>
          <t>VOLUMEN (m3)</t>
        </is>
      </c>
      <c r="E88" s="10" t="n"/>
      <c r="F88" s="10" t="n"/>
      <c r="G88" s="2" t="n"/>
      <c r="H88" s="2" t="n"/>
      <c r="I88" s="2" t="n"/>
    </row>
    <row r="89" ht="47" customHeight="1">
      <c r="A89" s="10" t="n"/>
      <c r="B89" s="36" t="inlineStr">
        <is>
          <t>UNA PARED EXTERIOR</t>
        </is>
      </c>
      <c r="C89" s="10" t="inlineStr"/>
      <c r="D89" s="9">
        <f>IF(COUNT(H89,I89)&lt;2,"",ROUND(H89*I89,2))</f>
        <v/>
      </c>
      <c r="E89" s="27" t="n">
        <v>6</v>
      </c>
      <c r="F89" s="30">
        <f>IF(D89="","",ROUND(D89*E89,1))</f>
        <v/>
      </c>
      <c r="G89" s="2" t="n"/>
      <c r="H89" s="37" t="n"/>
      <c r="I89" s="37" t="n"/>
    </row>
    <row r="90" ht="39.7" customHeight="1">
      <c r="A90" s="10" t="n"/>
      <c r="B90" s="36" t="inlineStr">
        <is>
          <t>DOS PAREDES EXTERIORES</t>
        </is>
      </c>
      <c r="C90" s="10" t="inlineStr">
        <is>
          <t>7.57 m2 x 3.00</t>
        </is>
      </c>
      <c r="D90" s="9" t="n">
        <v>22.71</v>
      </c>
      <c r="E90" s="27" t="n">
        <v>9</v>
      </c>
      <c r="F90" s="30">
        <f>IF(D90="","",ROUND(D90*E90,1))</f>
        <v/>
      </c>
      <c r="G90" s="2" t="n"/>
      <c r="H90" s="37" t="n"/>
      <c r="I90" s="37" t="n"/>
    </row>
    <row r="91" ht="47" customHeight="1">
      <c r="A91" s="10" t="n"/>
      <c r="B91" s="36" t="inlineStr">
        <is>
          <t>TRES O MAS PAREDES EXTERIORES</t>
        </is>
      </c>
      <c r="C91" s="10" t="inlineStr"/>
      <c r="D91" s="9">
        <f>IF(COUNT(H91,I91)&lt;2,"",ROUND(H91*I91,2))</f>
        <v/>
      </c>
      <c r="E91" s="27" t="n">
        <v>12</v>
      </c>
      <c r="F91" s="30">
        <f>IF(D91="","",ROUND(D91*E91,1))</f>
        <v/>
      </c>
      <c r="G91" s="2" t="n"/>
      <c r="H91" s="37" t="n"/>
      <c r="I91" s="37" t="n"/>
    </row>
    <row r="92" ht="70" customHeight="1">
      <c r="A92" s="18" t="inlineStr">
        <is>
          <t>6</t>
        </is>
      </c>
      <c r="B92" s="35" t="inlineStr">
        <is>
          <t>SUBTOTAL</t>
        </is>
      </c>
      <c r="C92" s="10" t="n"/>
      <c r="D92" s="10" t="n"/>
      <c r="E92" s="10" t="n"/>
      <c r="F92" s="38">
        <f>IF(F75="",0,F75)+IF(F77="",0,F77)+IF(F78="",0,F78)+IF(F79="",0,F79)+IF(F80="",0,F80)+IF(F82="",0,F82)+IF(F83="",0,F83)+IF(F84="",0,F84)+IF(F86="",0,F86)+IF(F87="",0,F87)+IF(F89="",0,F89)+IF(F90="",0,F90)+IF(F91="",0,F91)</f>
        <v/>
      </c>
      <c r="G92" s="2" t="n"/>
      <c r="H92" s="2" t="n"/>
      <c r="I92" s="2" t="n"/>
    </row>
    <row r="93" ht="47" customHeight="1">
      <c r="A93" s="18" t="inlineStr">
        <is>
          <t>7</t>
        </is>
      </c>
      <c r="B93" s="35" t="inlineStr">
        <is>
          <t>PERDIDA TOTAL</t>
        </is>
      </c>
      <c r="C93" s="10">
        <f>TEXT(F92,"0.00")&amp;"  X  "&amp;Datos_balance!$B$4&amp;" (FI)  X  "&amp;Datos_balance!$B$5&amp;" (FO)  X  "&amp;Datos_balance!$B$6&amp;" (FZ)"</f>
        <v/>
      </c>
      <c r="D93" s="2" t="n"/>
      <c r="E93" s="2" t="n"/>
      <c r="F93" s="38">
        <f>ROUND(F92*Datos_balance!$B$4*Datos_balance!$B$5*Datos_balance!$B$6,1)</f>
        <v/>
      </c>
      <c r="G93" s="2" t="n"/>
      <c r="H93" s="2" t="n"/>
      <c r="I93" s="2" t="n"/>
    </row>
    <row r="94" ht="39.7" customHeight="1">
      <c r="A94" s="10" t="n"/>
      <c r="B94" s="11" t="inlineStr">
        <is>
          <t>Carga de locales sin emisor</t>
        </is>
      </c>
      <c r="C94" s="10" t="n"/>
      <c r="D94" s="2" t="n"/>
      <c r="E94" s="2" t="n"/>
      <c r="F94" s="30" t="n"/>
      <c r="G94" s="2" t="n"/>
      <c r="H94" s="2" t="n"/>
      <c r="I94" s="2" t="n"/>
    </row>
    <row r="95" ht="39.7" customHeight="1">
      <c r="A95" s="10" t="n"/>
      <c r="B95" s="35" t="inlineStr">
        <is>
          <t>CARGA TOTAL A CUBRIR</t>
        </is>
      </c>
      <c r="C95" s="10" t="n"/>
      <c r="D95" s="2" t="n"/>
      <c r="E95" s="2" t="n"/>
      <c r="F95" s="38">
        <f>F93+IF(F94="",0,F94)</f>
        <v/>
      </c>
      <c r="G95" s="2" t="n"/>
      <c r="H95" s="2" t="n"/>
      <c r="I95" s="2" t="n"/>
    </row>
    <row r="96">
      <c r="A96" s="2" t="n"/>
      <c r="B96" s="2" t="n"/>
      <c r="C96" s="2" t="n"/>
      <c r="D96" s="2" t="n"/>
      <c r="E96" s="2" t="n"/>
      <c r="F96" s="2" t="n"/>
      <c r="G96" s="2" t="n"/>
      <c r="H96" s="2" t="n"/>
      <c r="I96" s="2" t="n"/>
    </row>
    <row r="97" ht="39.7" customHeight="1">
      <c r="A97" s="14" t="n"/>
      <c r="B97" s="39" t="inlineStr">
        <is>
          <t>SIN EMISOR</t>
        </is>
      </c>
      <c r="C97" s="14" t="inlineStr">
        <is>
          <t>la cubre el radiador de 06 - Living / comedor</t>
        </is>
      </c>
      <c r="D97" s="22" t="n"/>
      <c r="E97" s="22"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5" t="inlineStr">
        <is>
          <t>VENTANA</t>
        </is>
      </c>
      <c r="C102" s="10" t="n"/>
      <c r="D102" s="10" t="n"/>
      <c r="E102" s="10" t="n"/>
      <c r="F102" s="10" t="n"/>
      <c r="G102" s="2" t="n"/>
      <c r="H102" s="2" t="n"/>
      <c r="I102" s="2" t="n"/>
    </row>
    <row r="103" ht="62" customHeight="1">
      <c r="A103" s="10" t="n"/>
      <c r="B103" s="36" t="inlineStr">
        <is>
          <t>(sin aberturas)</t>
        </is>
      </c>
      <c r="C103" s="10">
        <f>IF(COUNT(H103,I103)&lt;2,"",TEXT(H103,"0.00")&amp;" x "&amp;TEXT(I103,"0.00"))</f>
        <v/>
      </c>
      <c r="D103" s="9">
        <f>IF(COUNT(H103,I103)&lt;2,"",ROUND(H103*I103,2))</f>
        <v/>
      </c>
      <c r="E103" s="27" t="n">
        <v>60</v>
      </c>
      <c r="F103" s="30">
        <f>IF(D103="","",ROUND(D103*E103,1))</f>
        <v/>
      </c>
      <c r="G103" s="2" t="n"/>
      <c r="H103" s="37" t="n"/>
      <c r="I103" s="37" t="n"/>
    </row>
    <row r="104" ht="39.7" customHeight="1">
      <c r="A104" s="18" t="inlineStr">
        <is>
          <t>2</t>
        </is>
      </c>
      <c r="B104" s="35" t="inlineStr">
        <is>
          <t>PAREDES EXTERIORES</t>
        </is>
      </c>
      <c r="C104" s="10" t="n"/>
      <c r="D104" s="10" t="n"/>
      <c r="E104" s="10" t="n"/>
      <c r="F104" s="10" t="n"/>
      <c r="G104" s="2" t="n"/>
      <c r="H104" s="2" t="n"/>
      <c r="I104" s="2" t="n"/>
    </row>
    <row r="105" ht="62" customHeight="1">
      <c r="A105" s="10" t="n"/>
      <c r="B105" s="36" t="inlineStr">
        <is>
          <t>AISLADAS ()</t>
        </is>
      </c>
      <c r="C105" s="10">
        <f>IF(COUNT(H105,I105)&lt;2,"",TEXT(H105,"0.00")&amp;" x "&amp;TEXT(I105,"0.00"))</f>
        <v/>
      </c>
      <c r="D105" s="9">
        <f>IF(COUNT(H105,I105)&lt;2,"",ROUND(H105*I105,2))</f>
        <v/>
      </c>
      <c r="E105" s="27" t="n">
        <v>20</v>
      </c>
      <c r="F105" s="30">
        <f>IF(D105="","",ROUND(D105*E105,1))</f>
        <v/>
      </c>
      <c r="G105" s="2" t="n"/>
      <c r="H105" s="37" t="n">
        <v>1.7</v>
      </c>
      <c r="I105" s="37" t="n">
        <v>3</v>
      </c>
    </row>
    <row r="106" ht="62" customHeight="1">
      <c r="A106" s="10" t="n"/>
      <c r="B106" s="36" t="inlineStr">
        <is>
          <t>AISLADAS (    )</t>
        </is>
      </c>
      <c r="C106" s="10">
        <f>IF(COUNT(H106,I106)&lt;2,"",TEXT(H106,"0.00")&amp;" x "&amp;TEXT(I106,"0.00"))</f>
        <v/>
      </c>
      <c r="D106" s="9">
        <f>IF(COUNT(H106,I106)&lt;2,"",ROUND(H106*I106,2))</f>
        <v/>
      </c>
      <c r="E106" s="27" t="n">
        <v>20</v>
      </c>
      <c r="F106" s="30">
        <f>IF(D106="","",ROUND(D106*E106,1))</f>
        <v/>
      </c>
      <c r="G106" s="2" t="n"/>
      <c r="H106" s="37" t="n"/>
      <c r="I106" s="37" t="n"/>
    </row>
    <row r="107" ht="62" customHeight="1">
      <c r="A107" s="10" t="n"/>
      <c r="B107" s="36" t="inlineStr">
        <is>
          <t>INTERIORES (resto del lado largo)</t>
        </is>
      </c>
      <c r="C107" s="10">
        <f>IF(COUNT(H107,I107)&lt;2,"",TEXT(H107,"0.00")&amp;" x "&amp;TEXT(I107,"0.00"))</f>
        <v/>
      </c>
      <c r="D107" s="9">
        <f>IF(COUNT(H107,I107)&lt;2,"",ROUND(H107*I107,2))</f>
        <v/>
      </c>
      <c r="E107" s="27" t="n">
        <v>25</v>
      </c>
      <c r="F107" s="30">
        <f>IF(D107="","",ROUND(D107*E107,1))</f>
        <v/>
      </c>
      <c r="G107" s="2" t="n"/>
      <c r="H107" s="37" t="n">
        <v>3.17</v>
      </c>
      <c r="I107" s="37" t="n">
        <v>3</v>
      </c>
    </row>
    <row r="108" ht="62" customHeight="1">
      <c r="A108" s="10" t="n"/>
      <c r="B108" s="36" t="inlineStr">
        <is>
          <t>INTERIORES (    )</t>
        </is>
      </c>
      <c r="C108" s="10">
        <f>IF(COUNT(H108,I108)&lt;2,"",TEXT(H108,"0.00")&amp;" x "&amp;TEXT(I108,"0.00"))</f>
        <v/>
      </c>
      <c r="D108" s="9">
        <f>IF(COUNT(H108,I108)&lt;2,"",ROUND(H108*I108,2))</f>
        <v/>
      </c>
      <c r="E108" s="27" t="n">
        <v>25</v>
      </c>
      <c r="F108" s="30">
        <f>IF(D108="","",ROUND(D108*E108,1))</f>
        <v/>
      </c>
      <c r="G108" s="2" t="n"/>
      <c r="H108" s="37" t="n">
        <v>3.38</v>
      </c>
      <c r="I108" s="37" t="n">
        <v>3</v>
      </c>
    </row>
    <row r="109" ht="62" customHeight="1">
      <c r="A109" s="10" t="n"/>
      <c r="B109" s="36" t="inlineStr">
        <is>
          <t>INTERIORES (    )</t>
        </is>
      </c>
      <c r="C109" s="10">
        <f>IF(COUNT(H109,I109)&lt;2,"",TEXT(H109,"0.00")&amp;" x "&amp;TEXT(I109,"0.00"))</f>
        <v/>
      </c>
      <c r="D109" s="9">
        <f>IF(COUNT(H109,I109)&lt;2,"",ROUND(H109*I109,2))</f>
        <v/>
      </c>
      <c r="E109" s="27" t="n">
        <v>25</v>
      </c>
      <c r="F109" s="30">
        <f>IF(D109="","",ROUND(D109*E109,1))</f>
        <v/>
      </c>
      <c r="G109" s="2" t="n"/>
      <c r="H109" s="37" t="n">
        <v>1.66</v>
      </c>
      <c r="I109" s="37" t="n">
        <v>3</v>
      </c>
    </row>
    <row r="110" ht="62" customHeight="1">
      <c r="A110" s="10" t="n"/>
      <c r="B110" s="36" t="inlineStr">
        <is>
          <t>INTERIORES (    )</t>
        </is>
      </c>
      <c r="C110" s="10">
        <f>IF(COUNT(H110,I110)&lt;2,"",TEXT(H110,"0.00")&amp;" x "&amp;TEXT(I110,"0.00"))</f>
        <v/>
      </c>
      <c r="D110" s="9">
        <f>IF(COUNT(H110,I110)&lt;2,"",ROUND(H110*I110,2))</f>
        <v/>
      </c>
      <c r="E110" s="27" t="n">
        <v>25</v>
      </c>
      <c r="F110" s="30">
        <f>IF(D110="","",ROUND(D110*E110,1))</f>
        <v/>
      </c>
      <c r="G110" s="2" t="n"/>
      <c r="H110" s="37" t="n">
        <v>1.49</v>
      </c>
      <c r="I110" s="37" t="n">
        <v>3</v>
      </c>
    </row>
    <row r="111" ht="62" customHeight="1">
      <c r="A111" s="10" t="n"/>
      <c r="B111" s="36" t="inlineStr">
        <is>
          <t>INTERIORES (    )</t>
        </is>
      </c>
      <c r="C111" s="10">
        <f>IF(COUNT(H111,I111)&lt;2,"",TEXT(H111,"0.00")&amp;" x "&amp;TEXT(I111,"0.00"))</f>
        <v/>
      </c>
      <c r="D111" s="9">
        <f>IF(COUNT(H111,I111)&lt;2,"",ROUND(H111*I111,2))</f>
        <v/>
      </c>
      <c r="E111" s="27" t="n">
        <v>25</v>
      </c>
      <c r="F111" s="30">
        <f>IF(D111="","",ROUND(D111*E111,1))</f>
        <v/>
      </c>
      <c r="G111" s="2" t="n"/>
      <c r="H111" s="37" t="n">
        <v>1.09</v>
      </c>
      <c r="I111" s="37" t="n">
        <v>3</v>
      </c>
    </row>
    <row r="112" ht="62" customHeight="1">
      <c r="A112" s="10" t="n"/>
      <c r="B112" s="36" t="inlineStr">
        <is>
          <t>INTERIORES (    )</t>
        </is>
      </c>
      <c r="C112" s="10">
        <f>IF(COUNT(H112,I112)&lt;2,"",TEXT(H112,"0.00")&amp;" x "&amp;TEXT(I112,"0.00"))</f>
        <v/>
      </c>
      <c r="D112" s="9">
        <f>IF(COUNT(H112,I112)&lt;2,"",ROUND(H112*I112,2))</f>
        <v/>
      </c>
      <c r="E112" s="27" t="n">
        <v>25</v>
      </c>
      <c r="F112" s="30">
        <f>IF(D112="","",ROUND(D112*E112,1))</f>
        <v/>
      </c>
      <c r="G112" s="2" t="n"/>
      <c r="H112" s="37" t="n">
        <v>0.57</v>
      </c>
      <c r="I112" s="37" t="n">
        <v>3</v>
      </c>
    </row>
    <row r="113" ht="39.7" customHeight="1">
      <c r="A113" s="18" t="inlineStr">
        <is>
          <t>3</t>
        </is>
      </c>
      <c r="B113" s="35" t="inlineStr">
        <is>
          <t>TECHOS O CIELORRASOS</t>
        </is>
      </c>
      <c r="C113" s="10" t="n"/>
      <c r="D113" s="10" t="n"/>
      <c r="E113" s="10" t="n"/>
      <c r="F113" s="10" t="n"/>
      <c r="G113" s="2" t="n"/>
      <c r="H113" s="2" t="n"/>
      <c r="I113" s="2" t="n"/>
    </row>
    <row r="114" ht="62" customHeight="1">
      <c r="A114" s="10" t="n"/>
      <c r="B114" s="36" t="inlineStr">
        <is>
          <t>TECHO NO AISLADO</t>
        </is>
      </c>
      <c r="C114" s="10" t="inlineStr"/>
      <c r="D114" s="9">
        <f>IF(COUNT(H114,I114)&lt;2,"",ROUND(H114*I114,2))</f>
        <v/>
      </c>
      <c r="E114" s="27" t="n">
        <v>30</v>
      </c>
      <c r="F114" s="30">
        <f>IF(D114="","",ROUND(D114*E114,1))</f>
        <v/>
      </c>
      <c r="G114" s="2" t="n"/>
      <c r="H114" s="37" t="n"/>
      <c r="I114" s="37" t="n"/>
    </row>
    <row r="115" ht="62" customHeight="1">
      <c r="A115" s="10" t="n"/>
      <c r="B115" s="36" t="inlineStr">
        <is>
          <t>TECHO AISLADO</t>
        </is>
      </c>
      <c r="C115" s="10" t="inlineStr"/>
      <c r="D115" s="9">
        <f>IF(COUNT(H115,I115)&lt;2,"",ROUND(H115*I115,2))</f>
        <v/>
      </c>
      <c r="E115" s="27" t="n">
        <v>20</v>
      </c>
      <c r="F115" s="30">
        <f>IF(D115="","",ROUND(D115*E115,1))</f>
        <v/>
      </c>
      <c r="G115" s="2" t="n"/>
      <c r="H115" s="37" t="n"/>
      <c r="I115" s="37" t="n"/>
    </row>
    <row r="116" ht="39.7" customHeight="1">
      <c r="A116" s="10" t="n"/>
      <c r="B116" s="36" t="inlineStr">
        <is>
          <t>TECHO ENTREPISO</t>
        </is>
      </c>
      <c r="C116" s="10" t="inlineStr">
        <is>
          <t>por croquis</t>
        </is>
      </c>
      <c r="D116" s="9" t="n">
        <v>7.23</v>
      </c>
      <c r="E116" s="27" t="n">
        <v>15</v>
      </c>
      <c r="F116" s="30">
        <f>IF(D116="","",ROUND(D116*E116,1))</f>
        <v/>
      </c>
      <c r="G116" s="2" t="n"/>
      <c r="H116" s="37" t="n"/>
      <c r="I116" s="37" t="n"/>
    </row>
    <row r="117" ht="39.7" customHeight="1">
      <c r="A117" s="18" t="inlineStr">
        <is>
          <t>4</t>
        </is>
      </c>
      <c r="B117" s="35" t="inlineStr">
        <is>
          <t>PISO</t>
        </is>
      </c>
      <c r="C117" s="10" t="n"/>
      <c r="D117" s="10" t="n"/>
      <c r="E117" s="10" t="n"/>
      <c r="F117" s="10" t="n"/>
      <c r="G117" s="2" t="n"/>
      <c r="H117" s="2" t="n"/>
      <c r="I117" s="2" t="n"/>
    </row>
    <row r="118" ht="39.7" customHeight="1">
      <c r="A118" s="10" t="n"/>
      <c r="B118" s="36" t="inlineStr">
        <is>
          <t>SOBRE TIERRA</t>
        </is>
      </c>
      <c r="C118" s="10" t="inlineStr">
        <is>
          <t>por croquis</t>
        </is>
      </c>
      <c r="D118" s="9" t="n">
        <v>7.23</v>
      </c>
      <c r="E118" s="27" t="n">
        <v>10</v>
      </c>
      <c r="F118" s="30">
        <f>IF(D118="","",ROUND(D118*E118,1))</f>
        <v/>
      </c>
      <c r="G118" s="2" t="n"/>
      <c r="H118" s="37" t="n"/>
      <c r="I118" s="37" t="n"/>
    </row>
    <row r="119" ht="62" customHeight="1">
      <c r="A119" s="10" t="n"/>
      <c r="B119" s="36" t="inlineStr">
        <is>
          <t>SOBRE LOCAL OCUPADO</t>
        </is>
      </c>
      <c r="C119" s="10" t="inlineStr"/>
      <c r="D119" s="9">
        <f>IF(COUNT(H119,I119)&lt;2,"",ROUND(H119*I119,2))</f>
        <v/>
      </c>
      <c r="E119" s="27" t="n">
        <v>15</v>
      </c>
      <c r="F119" s="30">
        <f>IF(D119="","",ROUND(D119*E119,1))</f>
        <v/>
      </c>
      <c r="G119" s="2" t="n"/>
      <c r="H119" s="37" t="n"/>
      <c r="I119" s="37" t="n"/>
    </row>
    <row r="120" ht="39.7" customHeight="1">
      <c r="A120" s="18" t="inlineStr">
        <is>
          <t>5</t>
        </is>
      </c>
      <c r="B120" s="35" t="inlineStr">
        <is>
          <t>INFILTRACION</t>
        </is>
      </c>
      <c r="C120" s="10" t="n"/>
      <c r="D120" s="18" t="inlineStr">
        <is>
          <t>VOLUMEN (m3)</t>
        </is>
      </c>
      <c r="E120" s="10" t="n"/>
      <c r="F120" s="10" t="n"/>
      <c r="G120" s="2" t="n"/>
      <c r="H120" s="2" t="n"/>
      <c r="I120" s="2" t="n"/>
    </row>
    <row r="121" ht="39.7" customHeight="1">
      <c r="A121" s="10" t="n"/>
      <c r="B121" s="36" t="inlineStr">
        <is>
          <t>UNA PARED EXTERIOR</t>
        </is>
      </c>
      <c r="C121" s="10" t="inlineStr">
        <is>
          <t>7.23 m2 x 3.00</t>
        </is>
      </c>
      <c r="D121" s="9" t="n">
        <v>21.69</v>
      </c>
      <c r="E121" s="27" t="n">
        <v>6</v>
      </c>
      <c r="F121" s="30">
        <f>IF(D121="","",ROUND(D121*E121,1))</f>
        <v/>
      </c>
      <c r="G121" s="2" t="n"/>
      <c r="H121" s="37" t="n"/>
      <c r="I121" s="37" t="n"/>
    </row>
    <row r="122" ht="62" customHeight="1">
      <c r="A122" s="10" t="n"/>
      <c r="B122" s="36" t="inlineStr">
        <is>
          <t>DOS PAREDES EXTERIORES</t>
        </is>
      </c>
      <c r="C122" s="10" t="inlineStr"/>
      <c r="D122" s="9">
        <f>IF(COUNT(H122,I122)&lt;2,"",ROUND(H122*I122,2))</f>
        <v/>
      </c>
      <c r="E122" s="27" t="n">
        <v>9</v>
      </c>
      <c r="F122" s="30">
        <f>IF(D122="","",ROUND(D122*E122,1))</f>
        <v/>
      </c>
      <c r="G122" s="2" t="n"/>
      <c r="H122" s="37" t="n"/>
      <c r="I122" s="37" t="n"/>
    </row>
    <row r="123" ht="62" customHeight="1">
      <c r="A123" s="10" t="n"/>
      <c r="B123" s="36" t="inlineStr">
        <is>
          <t>TRES O MAS PAREDES EXTERIORES</t>
        </is>
      </c>
      <c r="C123" s="10" t="inlineStr"/>
      <c r="D123" s="9">
        <f>IF(COUNT(H123,I123)&lt;2,"",ROUND(H123*I123,2))</f>
        <v/>
      </c>
      <c r="E123" s="27" t="n">
        <v>12</v>
      </c>
      <c r="F123" s="30">
        <f>IF(D123="","",ROUND(D123*E123,1))</f>
        <v/>
      </c>
      <c r="G123" s="2" t="n"/>
      <c r="H123" s="37" t="n"/>
      <c r="I123" s="37" t="n"/>
    </row>
    <row r="124" ht="70" customHeight="1">
      <c r="A124" s="18" t="inlineStr">
        <is>
          <t>6</t>
        </is>
      </c>
      <c r="B124" s="35" t="inlineStr">
        <is>
          <t>SUBTOTAL</t>
        </is>
      </c>
      <c r="C124" s="10" t="n"/>
      <c r="D124" s="10" t="n"/>
      <c r="E124" s="10" t="n"/>
      <c r="F124" s="38">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5" t="inlineStr">
        <is>
          <t>PERDIDA TOTAL</t>
        </is>
      </c>
      <c r="C125" s="10">
        <f>TEXT(F124,"0.00")&amp;"  X  "&amp;Datos_balance!$B$4&amp;" (FI)  X  "&amp;Datos_balance!$B$5&amp;" (FO)  X  "&amp;Datos_balance!$B$6&amp;" (FZ)"</f>
        <v/>
      </c>
      <c r="D125" s="2" t="n"/>
      <c r="E125" s="2" t="n"/>
      <c r="F125" s="38">
        <f>ROUND(F124*Datos_balance!$B$4*Datos_balance!$B$5*Datos_balance!$B$6,1)</f>
        <v/>
      </c>
      <c r="G125" s="2" t="n"/>
      <c r="H125" s="2" t="n"/>
      <c r="I125" s="2" t="n"/>
    </row>
    <row r="126" ht="39.7" customHeight="1">
      <c r="A126" s="10" t="n"/>
      <c r="B126" s="11" t="inlineStr">
        <is>
          <t>Carga de locales sin emisor</t>
        </is>
      </c>
      <c r="C126" s="10" t="n"/>
      <c r="D126" s="2" t="n"/>
      <c r="E126" s="2" t="n"/>
      <c r="F126" s="30" t="n"/>
      <c r="G126" s="2" t="n"/>
      <c r="H126" s="2" t="n"/>
      <c r="I126" s="2" t="n"/>
    </row>
    <row r="127" ht="39.7" customHeight="1">
      <c r="A127" s="10" t="n"/>
      <c r="B127" s="35" t="inlineStr">
        <is>
          <t>CARGA TOTAL A CUBRIR</t>
        </is>
      </c>
      <c r="C127" s="10" t="n"/>
      <c r="D127" s="2" t="n"/>
      <c r="E127" s="2" t="n"/>
      <c r="F127" s="38">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27">
        <f>ROUNDUP(F127/(Datos_balance!$B$14*Datos_balance!$B$15),0)</f>
        <v/>
      </c>
      <c r="D131" s="2" t="n"/>
      <c r="E131" s="2" t="n"/>
      <c r="F131" s="10" t="n"/>
      <c r="G131" s="2" t="n"/>
      <c r="H131" s="2" t="n"/>
      <c r="I131" s="2" t="n"/>
    </row>
    <row r="132" ht="39.7" customHeight="1">
      <c r="A132" s="10" t="n"/>
      <c r="B132" s="11" t="inlineStr">
        <is>
          <t>Ancho del radiador (cm)</t>
        </is>
      </c>
      <c r="C132" s="27">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2" t="n"/>
      <c r="E133" s="22"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5" t="inlineStr">
        <is>
          <t>VENTANA</t>
        </is>
      </c>
      <c r="C138" s="10" t="n"/>
      <c r="D138" s="10" t="n"/>
      <c r="E138" s="10" t="n"/>
      <c r="F138" s="10" t="n"/>
      <c r="G138" s="2" t="n"/>
      <c r="H138" s="2" t="n"/>
      <c r="I138" s="2" t="n"/>
    </row>
    <row r="139" ht="62" customHeight="1">
      <c r="A139" s="10" t="n"/>
      <c r="B139" s="36" t="inlineStr">
        <is>
          <t>PF05</t>
        </is>
      </c>
      <c r="C139" s="10">
        <f>IF(COUNT(H139,I139)&lt;2,"",TEXT(H139,"0.00")&amp;" x "&amp;TEXT(I139,"0.00"))</f>
        <v/>
      </c>
      <c r="D139" s="9">
        <f>IF(COUNT(H139,I139)&lt;2,"",ROUND(H139*I139,2))</f>
        <v/>
      </c>
      <c r="E139" s="27" t="n">
        <v>60</v>
      </c>
      <c r="F139" s="30">
        <f>IF(D139="","",ROUND(D139*E139,1))</f>
        <v/>
      </c>
      <c r="G139" s="2" t="n"/>
      <c r="H139" s="37" t="n">
        <v>0.75</v>
      </c>
      <c r="I139" s="37" t="n">
        <v>2.52</v>
      </c>
    </row>
    <row r="140" ht="39.7" customHeight="1">
      <c r="A140" s="18" t="inlineStr">
        <is>
          <t>2</t>
        </is>
      </c>
      <c r="B140" s="35" t="inlineStr">
        <is>
          <t>PAREDES EXTERIORES</t>
        </is>
      </c>
      <c r="C140" s="10" t="n"/>
      <c r="D140" s="10" t="n"/>
      <c r="E140" s="10" t="n"/>
      <c r="F140" s="10" t="n"/>
      <c r="G140" s="2" t="n"/>
      <c r="H140" s="2" t="n"/>
      <c r="I140" s="2" t="n"/>
    </row>
    <row r="141" ht="62" customHeight="1">
      <c r="A141" s="10" t="n"/>
      <c r="B141" s="36" t="inlineStr">
        <is>
          <t>AISLADAS ()</t>
        </is>
      </c>
      <c r="C141" s="10">
        <f>IF(COUNT(H141,I141)&lt;2,"",TEXT(H141,"0.00")&amp;" x "&amp;TEXT(I141,"0.00"))</f>
        <v/>
      </c>
      <c r="D141" s="9">
        <f>IF(COUNT(H141,I141)&lt;2,"",ROUND(H141*I141,2))</f>
        <v/>
      </c>
      <c r="E141" s="27" t="n">
        <v>20</v>
      </c>
      <c r="F141" s="30">
        <f>IF(D141="","",ROUND(D141*E141,1))</f>
        <v/>
      </c>
      <c r="G141" s="2" t="n"/>
      <c r="H141" s="37" t="n">
        <v>4.06</v>
      </c>
      <c r="I141" s="37" t="n">
        <v>3</v>
      </c>
    </row>
    <row r="142" ht="62" customHeight="1">
      <c r="A142" s="10" t="n"/>
      <c r="B142" s="36" t="inlineStr">
        <is>
          <t>AISLADAS ()</t>
        </is>
      </c>
      <c r="C142" s="10">
        <f>IF(COUNT(H142,I142)&lt;2,"",TEXT(H142,"0.00")&amp;" x "&amp;TEXT(I142,"0.00"))</f>
        <v/>
      </c>
      <c r="D142" s="9">
        <f>IF(COUNT(H142,I142)&lt;2,"",ROUND(H142*I142,2))</f>
        <v/>
      </c>
      <c r="E142" s="27" t="n">
        <v>20</v>
      </c>
      <c r="F142" s="30">
        <f>IF(D142="","",ROUND(D142*E142,1))</f>
        <v/>
      </c>
      <c r="G142" s="2" t="n"/>
      <c r="H142" s="37" t="n">
        <v>1.73</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4.06</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1.73</v>
      </c>
      <c r="I144" s="37" t="n">
        <v>3</v>
      </c>
    </row>
    <row r="145" ht="39.7" customHeight="1">
      <c r="A145" s="18" t="inlineStr">
        <is>
          <t>3</t>
        </is>
      </c>
      <c r="B145" s="35" t="inlineStr">
        <is>
          <t>TECHOS O CIELORRASOS</t>
        </is>
      </c>
      <c r="C145" s="10" t="n"/>
      <c r="D145" s="10" t="n"/>
      <c r="E145" s="10" t="n"/>
      <c r="F145" s="10" t="n"/>
      <c r="G145" s="2" t="n"/>
      <c r="H145" s="2" t="n"/>
      <c r="I145" s="2" t="n"/>
    </row>
    <row r="146" ht="62" customHeight="1">
      <c r="A146" s="10" t="n"/>
      <c r="B146" s="36" t="inlineStr">
        <is>
          <t>TECHO NO AISLADO</t>
        </is>
      </c>
      <c r="C146" s="10" t="inlineStr"/>
      <c r="D146" s="9">
        <f>IF(COUNT(H146,I146)&lt;2,"",ROUND(H146*I146,2))</f>
        <v/>
      </c>
      <c r="E146" s="27" t="n">
        <v>30</v>
      </c>
      <c r="F146" s="30">
        <f>IF(D146="","",ROUND(D146*E146,1))</f>
        <v/>
      </c>
      <c r="G146" s="2" t="n"/>
      <c r="H146" s="37" t="n"/>
      <c r="I146" s="37" t="n"/>
    </row>
    <row r="147" ht="62" customHeight="1">
      <c r="A147" s="10" t="n"/>
      <c r="B147" s="36" t="inlineStr">
        <is>
          <t>TECHO AISLADO</t>
        </is>
      </c>
      <c r="C147" s="10" t="inlineStr"/>
      <c r="D147" s="9">
        <f>IF(COUNT(H147,I147)&lt;2,"",ROUND(H147*I147,2))</f>
        <v/>
      </c>
      <c r="E147" s="27" t="n">
        <v>20</v>
      </c>
      <c r="F147" s="30">
        <f>IF(D147="","",ROUND(D147*E147,1))</f>
        <v/>
      </c>
      <c r="G147" s="2" t="n"/>
      <c r="H147" s="37" t="n"/>
      <c r="I147" s="37" t="n"/>
    </row>
    <row r="148" ht="39.7" customHeight="1">
      <c r="A148" s="10" t="n"/>
      <c r="B148" s="36" t="inlineStr">
        <is>
          <t>TECHO ENTREPISO</t>
        </is>
      </c>
      <c r="C148" s="10" t="inlineStr">
        <is>
          <t>por croquis</t>
        </is>
      </c>
      <c r="D148" s="9" t="n">
        <v>7.02</v>
      </c>
      <c r="E148" s="27" t="n">
        <v>15</v>
      </c>
      <c r="F148" s="30">
        <f>IF(D148="","",ROUND(D148*E148,1))</f>
        <v/>
      </c>
      <c r="G148" s="2" t="n"/>
      <c r="H148" s="37" t="n"/>
      <c r="I148" s="37" t="n"/>
    </row>
    <row r="149" ht="39.7" customHeight="1">
      <c r="A149" s="18" t="inlineStr">
        <is>
          <t>4</t>
        </is>
      </c>
      <c r="B149" s="35" t="inlineStr">
        <is>
          <t>PISO</t>
        </is>
      </c>
      <c r="C149" s="10" t="n"/>
      <c r="D149" s="10" t="n"/>
      <c r="E149" s="10" t="n"/>
      <c r="F149" s="10" t="n"/>
      <c r="G149" s="2" t="n"/>
      <c r="H149" s="2" t="n"/>
      <c r="I149" s="2" t="n"/>
    </row>
    <row r="150" ht="39.7" customHeight="1">
      <c r="A150" s="10" t="n"/>
      <c r="B150" s="36" t="inlineStr">
        <is>
          <t>SOBRE TIERRA</t>
        </is>
      </c>
      <c r="C150" s="10" t="inlineStr">
        <is>
          <t>por croquis</t>
        </is>
      </c>
      <c r="D150" s="9" t="n">
        <v>7.02</v>
      </c>
      <c r="E150" s="27" t="n">
        <v>10</v>
      </c>
      <c r="F150" s="30">
        <f>IF(D150="","",ROUND(D150*E150,1))</f>
        <v/>
      </c>
      <c r="G150" s="2" t="n"/>
      <c r="H150" s="37" t="n"/>
      <c r="I150" s="37" t="n"/>
    </row>
    <row r="151" ht="62" customHeight="1">
      <c r="A151" s="10" t="n"/>
      <c r="B151" s="36" t="inlineStr">
        <is>
          <t>SOBRE LOCAL OCUPADO</t>
        </is>
      </c>
      <c r="C151" s="10" t="inlineStr"/>
      <c r="D151" s="9">
        <f>IF(COUNT(H151,I151)&lt;2,"",ROUND(H151*I151,2))</f>
        <v/>
      </c>
      <c r="E151" s="27" t="n">
        <v>15</v>
      </c>
      <c r="F151" s="30">
        <f>IF(D151="","",ROUND(D151*E151,1))</f>
        <v/>
      </c>
      <c r="G151" s="2" t="n"/>
      <c r="H151" s="37" t="n"/>
      <c r="I151" s="37" t="n"/>
    </row>
    <row r="152" ht="39.7" customHeight="1">
      <c r="A152" s="18" t="inlineStr">
        <is>
          <t>5</t>
        </is>
      </c>
      <c r="B152" s="35" t="inlineStr">
        <is>
          <t>INFILTRACION</t>
        </is>
      </c>
      <c r="C152" s="10" t="n"/>
      <c r="D152" s="18" t="inlineStr">
        <is>
          <t>VOLUMEN (m3)</t>
        </is>
      </c>
      <c r="E152" s="10" t="n"/>
      <c r="F152" s="10" t="n"/>
      <c r="G152" s="2" t="n"/>
      <c r="H152" s="2" t="n"/>
      <c r="I152" s="2" t="n"/>
    </row>
    <row r="153" ht="62" customHeight="1">
      <c r="A153" s="10" t="n"/>
      <c r="B153" s="36" t="inlineStr">
        <is>
          <t>UNA PARED EXTERIOR</t>
        </is>
      </c>
      <c r="C153" s="10" t="inlineStr"/>
      <c r="D153" s="9">
        <f>IF(COUNT(H153,I153)&lt;2,"",ROUND(H153*I153,2))</f>
        <v/>
      </c>
      <c r="E153" s="27" t="n">
        <v>6</v>
      </c>
      <c r="F153" s="30">
        <f>IF(D153="","",ROUND(D153*E153,1))</f>
        <v/>
      </c>
      <c r="G153" s="2" t="n"/>
      <c r="H153" s="37" t="n"/>
      <c r="I153" s="37" t="n"/>
    </row>
    <row r="154" ht="39.7" customHeight="1">
      <c r="A154" s="10" t="n"/>
      <c r="B154" s="36" t="inlineStr">
        <is>
          <t>DOS PAREDES EXTERIORES</t>
        </is>
      </c>
      <c r="C154" s="10" t="inlineStr">
        <is>
          <t>7.02 m2 x 3.00</t>
        </is>
      </c>
      <c r="D154" s="9" t="n">
        <v>21.06</v>
      </c>
      <c r="E154" s="27" t="n">
        <v>9</v>
      </c>
      <c r="F154" s="30">
        <f>IF(D154="","",ROUND(D154*E154,1))</f>
        <v/>
      </c>
      <c r="G154" s="2" t="n"/>
      <c r="H154" s="37" t="n"/>
      <c r="I154" s="37" t="n"/>
    </row>
    <row r="155" ht="62" customHeight="1">
      <c r="A155" s="10" t="n"/>
      <c r="B155" s="36" t="inlineStr">
        <is>
          <t>TRES O MAS PAREDES EXTERIORES</t>
        </is>
      </c>
      <c r="C155" s="10" t="inlineStr"/>
      <c r="D155" s="9">
        <f>IF(COUNT(H155,I155)&lt;2,"",ROUND(H155*I155,2))</f>
        <v/>
      </c>
      <c r="E155" s="27" t="n">
        <v>12</v>
      </c>
      <c r="F155" s="30">
        <f>IF(D155="","",ROUND(D155*E155,1))</f>
        <v/>
      </c>
      <c r="G155" s="2" t="n"/>
      <c r="H155" s="37" t="n"/>
      <c r="I155" s="37" t="n"/>
    </row>
    <row r="156" ht="70" customHeight="1">
      <c r="A156" s="18" t="inlineStr">
        <is>
          <t>6</t>
        </is>
      </c>
      <c r="B156" s="35" t="inlineStr">
        <is>
          <t>SUBTOTAL</t>
        </is>
      </c>
      <c r="C156" s="10" t="n"/>
      <c r="D156" s="10" t="n"/>
      <c r="E156" s="10" t="n"/>
      <c r="F156" s="38">
        <f>IF(F139="",0,F139)+IF(F141="",0,F141)+IF(F142="",0,F142)+IF(F143="",0,F143)+IF(F144="",0,F144)+IF(F146="",0,F146)+IF(F147="",0,F147)+IF(F148="",0,F148)+IF(F150="",0,F150)+IF(F151="",0,F151)+IF(F153="",0,F153)+IF(F154="",0,F154)+IF(F155="",0,F155)</f>
        <v/>
      </c>
      <c r="G156" s="2" t="n"/>
      <c r="H156" s="2" t="n"/>
      <c r="I156" s="2" t="n"/>
    </row>
    <row r="157" ht="47" customHeight="1">
      <c r="A157" s="18" t="inlineStr">
        <is>
          <t>7</t>
        </is>
      </c>
      <c r="B157" s="35" t="inlineStr">
        <is>
          <t>PERDIDA TOTAL</t>
        </is>
      </c>
      <c r="C157" s="10">
        <f>TEXT(F156,"0.00")&amp;"  X  "&amp;Datos_balance!$B$4&amp;" (FI)  X  "&amp;Datos_balance!$B$5&amp;" (FO)  X  "&amp;Datos_balance!$B$6&amp;" (FZ)"</f>
        <v/>
      </c>
      <c r="D157" s="2" t="n"/>
      <c r="E157" s="2" t="n"/>
      <c r="F157" s="38">
        <f>ROUND(F156*Datos_balance!$B$4*Datos_balance!$B$5*Datos_balance!$B$6,1)</f>
        <v/>
      </c>
      <c r="G157" s="2" t="n"/>
      <c r="H157" s="2" t="n"/>
      <c r="I157" s="2" t="n"/>
    </row>
    <row r="158" ht="39.7" customHeight="1">
      <c r="A158" s="10" t="n"/>
      <c r="B158" s="11" t="inlineStr">
        <is>
          <t>Carga de locales sin emisor</t>
        </is>
      </c>
      <c r="C158" s="10" t="n"/>
      <c r="D158" s="2" t="n"/>
      <c r="E158" s="2" t="n"/>
      <c r="F158" s="30" t="n"/>
      <c r="G158" s="2" t="n"/>
      <c r="H158" s="2" t="n"/>
      <c r="I158" s="2" t="n"/>
    </row>
    <row r="159" ht="39.7" customHeight="1">
      <c r="A159" s="10" t="n"/>
      <c r="B159" s="35" t="inlineStr">
        <is>
          <t>CARGA TOTAL A CUBRIR</t>
        </is>
      </c>
      <c r="C159" s="10" t="n"/>
      <c r="D159" s="2" t="n"/>
      <c r="E159" s="2" t="n"/>
      <c r="F159" s="38">
        <f>F157+IF(F158="",0,F158)</f>
        <v/>
      </c>
      <c r="G159" s="2" t="n"/>
      <c r="H159" s="2" t="n"/>
      <c r="I159" s="2" t="n"/>
    </row>
    <row r="160">
      <c r="A160" s="2" t="n"/>
      <c r="B160" s="2" t="n"/>
      <c r="C160" s="2" t="n"/>
      <c r="D160" s="2" t="n"/>
      <c r="E160" s="2" t="n"/>
      <c r="F160" s="2" t="n"/>
      <c r="G160" s="2" t="n"/>
      <c r="H160" s="2" t="n"/>
      <c r="I160" s="2" t="n"/>
    </row>
    <row r="161" ht="39.7" customHeight="1">
      <c r="A161" s="14" t="n"/>
      <c r="B161" s="39" t="inlineStr">
        <is>
          <t>SIN EMISOR</t>
        </is>
      </c>
      <c r="C161" s="14" t="inlineStr">
        <is>
          <t>la cubre el radiador de 14 - Play room</t>
        </is>
      </c>
      <c r="D161" s="22" t="n"/>
      <c r="E161" s="22"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5" t="inlineStr">
        <is>
          <t>VENTANA</t>
        </is>
      </c>
      <c r="C166" s="10" t="n"/>
      <c r="D166" s="10" t="n"/>
      <c r="E166" s="10" t="n"/>
      <c r="F166" s="10" t="n"/>
      <c r="G166" s="2" t="n"/>
      <c r="H166" s="2" t="n"/>
      <c r="I166" s="2" t="n"/>
    </row>
    <row r="167" ht="62" customHeight="1">
      <c r="A167" s="10" t="n"/>
      <c r="B167" s="36" t="inlineStr">
        <is>
          <t>VA01 (2)</t>
        </is>
      </c>
      <c r="C167" s="10">
        <f>IF(COUNT(H167,I167)&lt;2,"",TEXT(H167,"0.00")&amp;" x "&amp;TEXT(I167,"0.00"))</f>
        <v/>
      </c>
      <c r="D167" s="9">
        <f>IF(COUNT(H167,I167)&lt;2,"",ROUND(H167*I167,2))</f>
        <v/>
      </c>
      <c r="E167" s="27" t="n">
        <v>60</v>
      </c>
      <c r="F167" s="30">
        <f>IF(D167="","",ROUND(D167*E167,1))</f>
        <v/>
      </c>
      <c r="G167" s="2" t="n"/>
      <c r="H167" s="37" t="n">
        <v>0.75</v>
      </c>
      <c r="I167" s="37" t="n">
        <v>3</v>
      </c>
    </row>
    <row r="168" ht="62" customHeight="1">
      <c r="A168" s="10" t="n"/>
      <c r="B168" s="36" t="inlineStr">
        <is>
          <t>PV03</t>
        </is>
      </c>
      <c r="C168" s="10">
        <f>IF(COUNT(H168,I168)&lt;2,"",TEXT(H168,"0.00")&amp;" x "&amp;TEXT(I168,"0.00"))</f>
        <v/>
      </c>
      <c r="D168" s="9">
        <f>IF(COUNT(H168,I168)&lt;2,"",ROUND(H168*I168,2))</f>
        <v/>
      </c>
      <c r="E168" s="27" t="n">
        <v>60</v>
      </c>
      <c r="F168" s="30">
        <f>IF(D168="","",ROUND(D168*E168,1))</f>
        <v/>
      </c>
      <c r="G168" s="2" t="n"/>
      <c r="H168" s="37" t="n">
        <v>1.76</v>
      </c>
      <c r="I168" s="37" t="n">
        <v>3</v>
      </c>
    </row>
    <row r="169" ht="39.7" customHeight="1">
      <c r="A169" s="18" t="inlineStr">
        <is>
          <t>2</t>
        </is>
      </c>
      <c r="B169" s="35" t="inlineStr">
        <is>
          <t>PAREDES EXTERIORES</t>
        </is>
      </c>
      <c r="C169" s="10" t="n"/>
      <c r="D169" s="10" t="n"/>
      <c r="E169" s="10" t="n"/>
      <c r="F169" s="10" t="n"/>
      <c r="G169" s="2" t="n"/>
      <c r="H169" s="2" t="n"/>
      <c r="I169" s="2" t="n"/>
    </row>
    <row r="170" ht="62" customHeight="1">
      <c r="A170" s="10" t="n"/>
      <c r="B170" s="36" t="inlineStr">
        <is>
          <t>AISLADAS (NE)</t>
        </is>
      </c>
      <c r="C170" s="10">
        <f>IF(COUNT(H170,I170)&lt;2,"",TEXT(H170,"0.00")&amp;" x "&amp;TEXT(I170,"0.00"))</f>
        <v/>
      </c>
      <c r="D170" s="9">
        <f>IF(COUNT(H170,I170)&lt;2,"",ROUND(H170*I170,2))</f>
        <v/>
      </c>
      <c r="E170" s="27" t="n">
        <v>20</v>
      </c>
      <c r="F170" s="30">
        <f>IF(D170="","",ROUND(D170*E170,1))</f>
        <v/>
      </c>
      <c r="G170" s="2" t="n"/>
      <c r="H170" s="37" t="n">
        <v>3.5</v>
      </c>
      <c r="I170" s="37" t="n">
        <v>3</v>
      </c>
    </row>
    <row r="171" ht="62" customHeight="1">
      <c r="A171" s="10" t="n"/>
      <c r="B171" s="36" t="inlineStr">
        <is>
          <t>AISLADAS (SO)</t>
        </is>
      </c>
      <c r="C171" s="10">
        <f>IF(COUNT(H171,I171)&lt;2,"",TEXT(H171,"0.00")&amp;" x "&amp;TEXT(I171,"0.00"))</f>
        <v/>
      </c>
      <c r="D171" s="9">
        <f>IF(COUNT(H171,I171)&lt;2,"",ROUND(H171*I171,2))</f>
        <v/>
      </c>
      <c r="E171" s="27" t="n">
        <v>20</v>
      </c>
      <c r="F171" s="30">
        <f>IF(D171="","",ROUND(D171*E171,1))</f>
        <v/>
      </c>
      <c r="G171" s="2" t="n"/>
      <c r="H171" s="37" t="n">
        <v>3.5</v>
      </c>
      <c r="I171" s="37" t="n">
        <v>3</v>
      </c>
    </row>
    <row r="172" ht="62" customHeight="1">
      <c r="A172" s="10" t="n"/>
      <c r="B172" s="36" t="inlineStr">
        <is>
          <t>AISLADAS ()</t>
        </is>
      </c>
      <c r="C172" s="10">
        <f>IF(COUNT(H172,I172)&lt;2,"",TEXT(H172,"0.00")&amp;" x "&amp;TEXT(I172,"0.00"))</f>
        <v/>
      </c>
      <c r="D172" s="9">
        <f>IF(COUNT(H172,I172)&lt;2,"",ROUND(H172*I172,2))</f>
        <v/>
      </c>
      <c r="E172" s="27" t="n">
        <v>20</v>
      </c>
      <c r="F172" s="30">
        <f>IF(D172="","",ROUND(D172*E172,1))</f>
        <v/>
      </c>
      <c r="G172" s="2" t="n"/>
      <c r="H172" s="37" t="n">
        <v>3.5</v>
      </c>
      <c r="I172" s="37" t="n">
        <v>3</v>
      </c>
    </row>
    <row r="173" ht="62" customHeight="1">
      <c r="A173" s="10" t="n"/>
      <c r="B173" s="36" t="inlineStr">
        <is>
          <t>INTERIORES (    )</t>
        </is>
      </c>
      <c r="C173" s="10">
        <f>IF(COUNT(H173,I173)&lt;2,"",TEXT(H173,"0.00")&amp;" x "&amp;TEXT(I173,"0.00"))</f>
        <v/>
      </c>
      <c r="D173" s="9">
        <f>IF(COUNT(H173,I173)&lt;2,"",ROUND(H173*I173,2))</f>
        <v/>
      </c>
      <c r="E173" s="27" t="n">
        <v>25</v>
      </c>
      <c r="F173" s="30">
        <f>IF(D173="","",ROUND(D173*E173,1))</f>
        <v/>
      </c>
      <c r="G173" s="2" t="n"/>
      <c r="H173" s="37" t="n">
        <v>3.5</v>
      </c>
      <c r="I173" s="37" t="n">
        <v>3</v>
      </c>
    </row>
    <row r="174" ht="62" customHeight="1">
      <c r="A174" s="10" t="n"/>
      <c r="B174" s="36" t="inlineStr">
        <is>
          <t>INTERIORES (    )</t>
        </is>
      </c>
      <c r="C174" s="10">
        <f>IF(COUNT(H174,I174)&lt;2,"",TEXT(H174,"0.00")&amp;" x "&amp;TEXT(I174,"0.00"))</f>
        <v/>
      </c>
      <c r="D174" s="9">
        <f>IF(COUNT(H174,I174)&lt;2,"",ROUND(H174*I174,2))</f>
        <v/>
      </c>
      <c r="E174" s="27" t="n">
        <v>25</v>
      </c>
      <c r="F174" s="30">
        <f>IF(D174="","",ROUND(D174*E174,1))</f>
        <v/>
      </c>
      <c r="G174" s="2" t="n"/>
      <c r="H174" s="37" t="n"/>
      <c r="I174" s="37" t="n"/>
    </row>
    <row r="175" ht="39.7" customHeight="1">
      <c r="A175" s="18" t="inlineStr">
        <is>
          <t>3</t>
        </is>
      </c>
      <c r="B175" s="35" t="inlineStr">
        <is>
          <t>TECHOS O CIELORRASOS</t>
        </is>
      </c>
      <c r="C175" s="10" t="n"/>
      <c r="D175" s="10" t="n"/>
      <c r="E175" s="10" t="n"/>
      <c r="F175" s="10" t="n"/>
      <c r="G175" s="2" t="n"/>
      <c r="H175" s="2" t="n"/>
      <c r="I175" s="2" t="n"/>
    </row>
    <row r="176" ht="62" customHeight="1">
      <c r="A176" s="10" t="n"/>
      <c r="B176" s="36" t="inlineStr">
        <is>
          <t>TECHO NO AISLADO</t>
        </is>
      </c>
      <c r="C176" s="10" t="inlineStr"/>
      <c r="D176" s="9">
        <f>IF(COUNT(H176,I176)&lt;2,"",ROUND(H176*I176,2))</f>
        <v/>
      </c>
      <c r="E176" s="27" t="n">
        <v>30</v>
      </c>
      <c r="F176" s="30">
        <f>IF(D176="","",ROUND(D176*E176,1))</f>
        <v/>
      </c>
      <c r="G176" s="2" t="n"/>
      <c r="H176" s="37" t="n"/>
      <c r="I176" s="37" t="n"/>
    </row>
    <row r="177" ht="62" customHeight="1">
      <c r="A177" s="10" t="n"/>
      <c r="B177" s="36" t="inlineStr">
        <is>
          <t>TECHO AISLADO</t>
        </is>
      </c>
      <c r="C177" s="10" t="inlineStr"/>
      <c r="D177" s="9">
        <f>IF(COUNT(H177,I177)&lt;2,"",ROUND(H177*I177,2))</f>
        <v/>
      </c>
      <c r="E177" s="27" t="n">
        <v>20</v>
      </c>
      <c r="F177" s="30">
        <f>IF(D177="","",ROUND(D177*E177,1))</f>
        <v/>
      </c>
      <c r="G177" s="2" t="n"/>
      <c r="H177" s="37" t="n"/>
      <c r="I177" s="37" t="n"/>
    </row>
    <row r="178" ht="39.7" customHeight="1">
      <c r="A178" s="10" t="n"/>
      <c r="B178" s="36" t="inlineStr">
        <is>
          <t>TECHO ENTREPISO</t>
        </is>
      </c>
      <c r="C178" s="10" t="inlineStr">
        <is>
          <t>por croquis</t>
        </is>
      </c>
      <c r="D178" s="9" t="n">
        <v>12.25</v>
      </c>
      <c r="E178" s="27" t="n">
        <v>15</v>
      </c>
      <c r="F178" s="30">
        <f>IF(D178="","",ROUND(D178*E178,1))</f>
        <v/>
      </c>
      <c r="G178" s="2" t="n"/>
      <c r="H178" s="37" t="n"/>
      <c r="I178" s="37" t="n"/>
    </row>
    <row r="179" ht="39.7" customHeight="1">
      <c r="A179" s="18" t="inlineStr">
        <is>
          <t>4</t>
        </is>
      </c>
      <c r="B179" s="35" t="inlineStr">
        <is>
          <t>PISO</t>
        </is>
      </c>
      <c r="C179" s="10" t="n"/>
      <c r="D179" s="10" t="n"/>
      <c r="E179" s="10" t="n"/>
      <c r="F179" s="10" t="n"/>
      <c r="G179" s="2" t="n"/>
      <c r="H179" s="2" t="n"/>
      <c r="I179" s="2" t="n"/>
    </row>
    <row r="180" ht="39.7" customHeight="1">
      <c r="A180" s="10" t="n"/>
      <c r="B180" s="36" t="inlineStr">
        <is>
          <t>SOBRE TIERRA</t>
        </is>
      </c>
      <c r="C180" s="10" t="inlineStr">
        <is>
          <t>por croquis</t>
        </is>
      </c>
      <c r="D180" s="9" t="n">
        <v>12.25</v>
      </c>
      <c r="E180" s="27" t="n">
        <v>10</v>
      </c>
      <c r="F180" s="30">
        <f>IF(D180="","",ROUND(D180*E180,1))</f>
        <v/>
      </c>
      <c r="G180" s="2" t="n"/>
      <c r="H180" s="37" t="n"/>
      <c r="I180" s="37" t="n"/>
    </row>
    <row r="181" ht="62" customHeight="1">
      <c r="A181" s="10" t="n"/>
      <c r="B181" s="36" t="inlineStr">
        <is>
          <t>SOBRE LOCAL OCUPADO</t>
        </is>
      </c>
      <c r="C181" s="10" t="inlineStr"/>
      <c r="D181" s="9">
        <f>IF(COUNT(H181,I181)&lt;2,"",ROUND(H181*I181,2))</f>
        <v/>
      </c>
      <c r="E181" s="27" t="n">
        <v>15</v>
      </c>
      <c r="F181" s="30">
        <f>IF(D181="","",ROUND(D181*E181,1))</f>
        <v/>
      </c>
      <c r="G181" s="2" t="n"/>
      <c r="H181" s="37" t="n"/>
      <c r="I181" s="37" t="n"/>
    </row>
    <row r="182" ht="39.7" customHeight="1">
      <c r="A182" s="18" t="inlineStr">
        <is>
          <t>5</t>
        </is>
      </c>
      <c r="B182" s="35" t="inlineStr">
        <is>
          <t>INFILTRACION</t>
        </is>
      </c>
      <c r="C182" s="10" t="n"/>
      <c r="D182" s="18" t="inlineStr">
        <is>
          <t>VOLUMEN (m3)</t>
        </is>
      </c>
      <c r="E182" s="10" t="n"/>
      <c r="F182" s="10" t="n"/>
      <c r="G182" s="2" t="n"/>
      <c r="H182" s="2" t="n"/>
      <c r="I182" s="2" t="n"/>
    </row>
    <row r="183" ht="62" customHeight="1">
      <c r="A183" s="10" t="n"/>
      <c r="B183" s="36" t="inlineStr">
        <is>
          <t>UNA PARED EXTERIOR</t>
        </is>
      </c>
      <c r="C183" s="10" t="inlineStr"/>
      <c r="D183" s="9">
        <f>IF(COUNT(H183,I183)&lt;2,"",ROUND(H183*I183,2))</f>
        <v/>
      </c>
      <c r="E183" s="27" t="n">
        <v>6</v>
      </c>
      <c r="F183" s="30">
        <f>IF(D183="","",ROUND(D183*E183,1))</f>
        <v/>
      </c>
      <c r="G183" s="2" t="n"/>
      <c r="H183" s="37" t="n"/>
      <c r="I183" s="37" t="n"/>
    </row>
    <row r="184" ht="62" customHeight="1">
      <c r="A184" s="10" t="n"/>
      <c r="B184" s="36" t="inlineStr">
        <is>
          <t>DOS PAREDES EXTERIORES</t>
        </is>
      </c>
      <c r="C184" s="10" t="inlineStr"/>
      <c r="D184" s="9">
        <f>IF(COUNT(H184,I184)&lt;2,"",ROUND(H184*I184,2))</f>
        <v/>
      </c>
      <c r="E184" s="27" t="n">
        <v>9</v>
      </c>
      <c r="F184" s="30">
        <f>IF(D184="","",ROUND(D184*E184,1))</f>
        <v/>
      </c>
      <c r="G184" s="2" t="n"/>
      <c r="H184" s="37" t="n"/>
      <c r="I184" s="37" t="n"/>
    </row>
    <row r="185" ht="39.7" customHeight="1">
      <c r="A185" s="10" t="n"/>
      <c r="B185" s="36" t="inlineStr">
        <is>
          <t>TRES O MAS PAREDES EXTERIORES</t>
        </is>
      </c>
      <c r="C185" s="10" t="inlineStr">
        <is>
          <t>12.25 m2 x 3.00</t>
        </is>
      </c>
      <c r="D185" s="9" t="n">
        <v>36.75</v>
      </c>
      <c r="E185" s="27" t="n">
        <v>12</v>
      </c>
      <c r="F185" s="30">
        <f>IF(D185="","",ROUND(D185*E185,1))</f>
        <v/>
      </c>
      <c r="G185" s="2" t="n"/>
      <c r="H185" s="37" t="n"/>
      <c r="I185" s="37" t="n"/>
    </row>
    <row r="186" ht="70" customHeight="1">
      <c r="A186" s="18" t="inlineStr">
        <is>
          <t>6</t>
        </is>
      </c>
      <c r="B186" s="35" t="inlineStr">
        <is>
          <t>SUBTOTAL</t>
        </is>
      </c>
      <c r="C186" s="10" t="n"/>
      <c r="D186" s="10" t="n"/>
      <c r="E186" s="10" t="n"/>
      <c r="F186" s="38">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5" t="inlineStr">
        <is>
          <t>PERDIDA TOTAL</t>
        </is>
      </c>
      <c r="C187" s="10">
        <f>TEXT(F186,"0.00")&amp;"  X  "&amp;Datos_balance!$B$4&amp;" (FI)  X  "&amp;Datos_balance!$B$5&amp;" (FO)  X  "&amp;Datos_balance!$B$6&amp;" (FZ)"</f>
        <v/>
      </c>
      <c r="D187" s="2" t="n"/>
      <c r="E187" s="2" t="n"/>
      <c r="F187" s="38">
        <f>ROUND(F186*Datos_balance!$B$4*Datos_balance!$B$5*Datos_balance!$B$6,1)</f>
        <v/>
      </c>
      <c r="G187" s="2" t="n"/>
      <c r="H187" s="2" t="n"/>
      <c r="I187" s="2" t="n"/>
    </row>
    <row r="188" ht="39.7" customHeight="1">
      <c r="A188" s="10" t="n"/>
      <c r="B188" s="11" t="inlineStr">
        <is>
          <t>Carga de locales sin emisor</t>
        </is>
      </c>
      <c r="C188" s="10" t="n"/>
      <c r="D188" s="2" t="n"/>
      <c r="E188" s="2" t="n"/>
      <c r="F188" s="30" t="n"/>
      <c r="G188" s="2" t="n"/>
      <c r="H188" s="2" t="n"/>
      <c r="I188" s="2" t="n"/>
    </row>
    <row r="189" ht="39.7" customHeight="1">
      <c r="A189" s="10" t="n"/>
      <c r="B189" s="35" t="inlineStr">
        <is>
          <t>CARGA TOTAL A CUBRIR</t>
        </is>
      </c>
      <c r="C189" s="10" t="n"/>
      <c r="D189" s="2" t="n"/>
      <c r="E189" s="2" t="n"/>
      <c r="F189" s="38">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27">
        <f>ROUNDUP(F189/(Datos_balance!$B$14*Datos_balance!$B$15),0)</f>
        <v/>
      </c>
      <c r="D193" s="2" t="n"/>
      <c r="E193" s="2" t="n"/>
      <c r="F193" s="10" t="n"/>
      <c r="G193" s="2" t="n"/>
      <c r="H193" s="2" t="n"/>
      <c r="I193" s="2" t="n"/>
    </row>
    <row r="194" ht="39.7" customHeight="1">
      <c r="A194" s="10" t="n"/>
      <c r="B194" s="11" t="inlineStr">
        <is>
          <t>Ancho del radiador (cm)</t>
        </is>
      </c>
      <c r="C194" s="27">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2" t="n"/>
      <c r="E195" s="22"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5" t="inlineStr">
        <is>
          <t>VENTANA</t>
        </is>
      </c>
      <c r="C200" s="10" t="n"/>
      <c r="D200" s="10" t="n"/>
      <c r="E200" s="10" t="n"/>
      <c r="F200" s="10" t="n"/>
      <c r="G200" s="2" t="n"/>
      <c r="H200" s="2" t="n"/>
      <c r="I200" s="2" t="n"/>
    </row>
    <row r="201" ht="62" customHeight="1">
      <c r="A201" s="10" t="n"/>
      <c r="B201" s="36" t="inlineStr">
        <is>
          <t>VA02</t>
        </is>
      </c>
      <c r="C201" s="10">
        <f>IF(COUNT(H201,I201)&lt;2,"",TEXT(H201,"0.00")&amp;" x "&amp;TEXT(I201,"0.00"))</f>
        <v/>
      </c>
      <c r="D201" s="9">
        <f>IF(COUNT(H201,I201)&lt;2,"",ROUND(H201*I201,2))</f>
        <v/>
      </c>
      <c r="E201" s="27" t="n">
        <v>60</v>
      </c>
      <c r="F201" s="30">
        <f>IF(D201="","",ROUND(D201*E201,1))</f>
        <v/>
      </c>
      <c r="G201" s="2" t="n"/>
      <c r="H201" s="37" t="n">
        <v>0.75</v>
      </c>
      <c r="I201" s="37" t="n">
        <v>2.15</v>
      </c>
    </row>
    <row r="202" ht="39.7" customHeight="1">
      <c r="A202" s="18" t="inlineStr">
        <is>
          <t>2</t>
        </is>
      </c>
      <c r="B202" s="35" t="inlineStr">
        <is>
          <t>PAREDES EXTERIORES</t>
        </is>
      </c>
      <c r="C202" s="10" t="n"/>
      <c r="D202" s="10" t="n"/>
      <c r="E202" s="10" t="n"/>
      <c r="F202" s="10" t="n"/>
      <c r="G202" s="2" t="n"/>
      <c r="H202" s="2" t="n"/>
      <c r="I202" s="2" t="n"/>
    </row>
    <row r="203" ht="62" customHeight="1">
      <c r="A203" s="10" t="n"/>
      <c r="B203" s="36" t="inlineStr">
        <is>
          <t>AISLADAS (NE)</t>
        </is>
      </c>
      <c r="C203" s="10">
        <f>IF(COUNT(H203,I203)&lt;2,"",TEXT(H203,"0.00")&amp;" x "&amp;TEXT(I203,"0.00"))</f>
        <v/>
      </c>
      <c r="D203" s="9">
        <f>IF(COUNT(H203,I203)&lt;2,"",ROUND(H203*I203,2))</f>
        <v/>
      </c>
      <c r="E203" s="27" t="n">
        <v>20</v>
      </c>
      <c r="F203" s="30">
        <f>IF(D203="","",ROUND(D203*E203,1))</f>
        <v/>
      </c>
      <c r="G203" s="2" t="n"/>
      <c r="H203" s="37" t="n">
        <v>3.38</v>
      </c>
      <c r="I203" s="37" t="n">
        <v>3</v>
      </c>
    </row>
    <row r="204" ht="62" customHeight="1">
      <c r="A204" s="10" t="n"/>
      <c r="B204" s="36" t="inlineStr">
        <is>
          <t>AISLADAS (    )</t>
        </is>
      </c>
      <c r="C204" s="10">
        <f>IF(COUNT(H204,I204)&lt;2,"",TEXT(H204,"0.00")&amp;" x "&amp;TEXT(I204,"0.00"))</f>
        <v/>
      </c>
      <c r="D204" s="9">
        <f>IF(COUNT(H204,I204)&lt;2,"",ROUND(H204*I204,2))</f>
        <v/>
      </c>
      <c r="E204" s="27" t="n">
        <v>20</v>
      </c>
      <c r="F204" s="30">
        <f>IF(D204="","",ROUND(D204*E204,1))</f>
        <v/>
      </c>
      <c r="G204" s="2" t="n"/>
      <c r="H204" s="37" t="n"/>
      <c r="I204" s="37" t="n"/>
    </row>
    <row r="205" ht="62" customHeight="1">
      <c r="A205" s="10" t="n"/>
      <c r="B205" s="36" t="inlineStr">
        <is>
          <t>INTERIORES (    )</t>
        </is>
      </c>
      <c r="C205" s="10">
        <f>IF(COUNT(H205,I205)&lt;2,"",TEXT(H205,"0.00")&amp;" x "&amp;TEXT(I205,"0.00"))</f>
        <v/>
      </c>
      <c r="D205" s="9">
        <f>IF(COUNT(H205,I205)&lt;2,"",ROUND(H205*I205,2))</f>
        <v/>
      </c>
      <c r="E205" s="27" t="n">
        <v>25</v>
      </c>
      <c r="F205" s="30">
        <f>IF(D205="","",ROUND(D205*E205,1))</f>
        <v/>
      </c>
      <c r="G205" s="2" t="n"/>
      <c r="H205" s="37" t="n">
        <v>1.72</v>
      </c>
      <c r="I205" s="37" t="n">
        <v>3</v>
      </c>
    </row>
    <row r="206" ht="62" customHeight="1">
      <c r="A206" s="10" t="n"/>
      <c r="B206" s="36" t="inlineStr">
        <is>
          <t>INTERIORES (    )</t>
        </is>
      </c>
      <c r="C206" s="10">
        <f>IF(COUNT(H206,I206)&lt;2,"",TEXT(H206,"0.00")&amp;" x "&amp;TEXT(I206,"0.00"))</f>
        <v/>
      </c>
      <c r="D206" s="9">
        <f>IF(COUNT(H206,I206)&lt;2,"",ROUND(H206*I206,2))</f>
        <v/>
      </c>
      <c r="E206" s="27" t="n">
        <v>25</v>
      </c>
      <c r="F206" s="30">
        <f>IF(D206="","",ROUND(D206*E206,1))</f>
        <v/>
      </c>
      <c r="G206" s="2" t="n"/>
      <c r="H206" s="37" t="n">
        <v>3.38</v>
      </c>
      <c r="I206" s="37" t="n">
        <v>3</v>
      </c>
    </row>
    <row r="207" ht="62" customHeight="1">
      <c r="A207" s="10" t="n"/>
      <c r="B207" s="36" t="inlineStr">
        <is>
          <t>INTERIORES (    )</t>
        </is>
      </c>
      <c r="C207" s="10">
        <f>IF(COUNT(H207,I207)&lt;2,"",TEXT(H207,"0.00")&amp;" x "&amp;TEXT(I207,"0.00"))</f>
        <v/>
      </c>
      <c r="D207" s="9">
        <f>IF(COUNT(H207,I207)&lt;2,"",ROUND(H207*I207,2))</f>
        <v/>
      </c>
      <c r="E207" s="27" t="n">
        <v>25</v>
      </c>
      <c r="F207" s="30">
        <f>IF(D207="","",ROUND(D207*E207,1))</f>
        <v/>
      </c>
      <c r="G207" s="2" t="n"/>
      <c r="H207" s="37" t="n">
        <v>1.72</v>
      </c>
      <c r="I207" s="37" t="n">
        <v>3</v>
      </c>
    </row>
    <row r="208" ht="39.7" customHeight="1">
      <c r="A208" s="18" t="inlineStr">
        <is>
          <t>3</t>
        </is>
      </c>
      <c r="B208" s="35" t="inlineStr">
        <is>
          <t>TECHOS O CIELORRASOS</t>
        </is>
      </c>
      <c r="C208" s="10" t="n"/>
      <c r="D208" s="10" t="n"/>
      <c r="E208" s="10" t="n"/>
      <c r="F208" s="10" t="n"/>
      <c r="G208" s="2" t="n"/>
      <c r="H208" s="2" t="n"/>
      <c r="I208" s="2" t="n"/>
    </row>
    <row r="209" ht="62" customHeight="1">
      <c r="A209" s="10" t="n"/>
      <c r="B209" s="36" t="inlineStr">
        <is>
          <t>TECHO NO AISLADO</t>
        </is>
      </c>
      <c r="C209" s="10" t="inlineStr"/>
      <c r="D209" s="9">
        <f>IF(COUNT(H209,I209)&lt;2,"",ROUND(H209*I209,2))</f>
        <v/>
      </c>
      <c r="E209" s="27" t="n">
        <v>30</v>
      </c>
      <c r="F209" s="30">
        <f>IF(D209="","",ROUND(D209*E209,1))</f>
        <v/>
      </c>
      <c r="G209" s="2" t="n"/>
      <c r="H209" s="37" t="n"/>
      <c r="I209" s="37" t="n"/>
    </row>
    <row r="210" ht="62" customHeight="1">
      <c r="A210" s="10" t="n"/>
      <c r="B210" s="36" t="inlineStr">
        <is>
          <t>TECHO AISLADO</t>
        </is>
      </c>
      <c r="C210" s="10" t="inlineStr"/>
      <c r="D210" s="9">
        <f>IF(COUNT(H210,I210)&lt;2,"",ROUND(H210*I210,2))</f>
        <v/>
      </c>
      <c r="E210" s="27" t="n">
        <v>20</v>
      </c>
      <c r="F210" s="30">
        <f>IF(D210="","",ROUND(D210*E210,1))</f>
        <v/>
      </c>
      <c r="G210" s="2" t="n"/>
      <c r="H210" s="37" t="n"/>
      <c r="I210" s="37" t="n"/>
    </row>
    <row r="211" ht="39.7" customHeight="1">
      <c r="A211" s="10" t="n"/>
      <c r="B211" s="36" t="inlineStr">
        <is>
          <t>TECHO ENTREPISO</t>
        </is>
      </c>
      <c r="C211" s="10" t="inlineStr">
        <is>
          <t>por croquis</t>
        </is>
      </c>
      <c r="D211" s="9" t="n">
        <v>5.81</v>
      </c>
      <c r="E211" s="27" t="n">
        <v>15</v>
      </c>
      <c r="F211" s="30">
        <f>IF(D211="","",ROUND(D211*E211,1))</f>
        <v/>
      </c>
      <c r="G211" s="2" t="n"/>
      <c r="H211" s="37" t="n"/>
      <c r="I211" s="37" t="n"/>
    </row>
    <row r="212" ht="39.7" customHeight="1">
      <c r="A212" s="18" t="inlineStr">
        <is>
          <t>4</t>
        </is>
      </c>
      <c r="B212" s="35" t="inlineStr">
        <is>
          <t>PISO</t>
        </is>
      </c>
      <c r="C212" s="10" t="n"/>
      <c r="D212" s="10" t="n"/>
      <c r="E212" s="10" t="n"/>
      <c r="F212" s="10" t="n"/>
      <c r="G212" s="2" t="n"/>
      <c r="H212" s="2" t="n"/>
      <c r="I212" s="2" t="n"/>
    </row>
    <row r="213" ht="39.7" customHeight="1">
      <c r="A213" s="10" t="n"/>
      <c r="B213" s="36" t="inlineStr">
        <is>
          <t>SOBRE TIERRA</t>
        </is>
      </c>
      <c r="C213" s="10" t="inlineStr">
        <is>
          <t>por croquis</t>
        </is>
      </c>
      <c r="D213" s="9" t="n">
        <v>5.81</v>
      </c>
      <c r="E213" s="27" t="n">
        <v>10</v>
      </c>
      <c r="F213" s="30">
        <f>IF(D213="","",ROUND(D213*E213,1))</f>
        <v/>
      </c>
      <c r="G213" s="2" t="n"/>
      <c r="H213" s="37" t="n"/>
      <c r="I213" s="37" t="n"/>
    </row>
    <row r="214" ht="62" customHeight="1">
      <c r="A214" s="10" t="n"/>
      <c r="B214" s="36" t="inlineStr">
        <is>
          <t>SOBRE LOCAL OCUPADO</t>
        </is>
      </c>
      <c r="C214" s="10" t="inlineStr"/>
      <c r="D214" s="9">
        <f>IF(COUNT(H214,I214)&lt;2,"",ROUND(H214*I214,2))</f>
        <v/>
      </c>
      <c r="E214" s="27" t="n">
        <v>15</v>
      </c>
      <c r="F214" s="30">
        <f>IF(D214="","",ROUND(D214*E214,1))</f>
        <v/>
      </c>
      <c r="G214" s="2" t="n"/>
      <c r="H214" s="37" t="n"/>
      <c r="I214" s="37" t="n"/>
    </row>
    <row r="215" ht="39.7" customHeight="1">
      <c r="A215" s="18" t="inlineStr">
        <is>
          <t>5</t>
        </is>
      </c>
      <c r="B215" s="35" t="inlineStr">
        <is>
          <t>INFILTRACION</t>
        </is>
      </c>
      <c r="C215" s="10" t="n"/>
      <c r="D215" s="18" t="inlineStr">
        <is>
          <t>VOLUMEN (m3)</t>
        </is>
      </c>
      <c r="E215" s="10" t="n"/>
      <c r="F215" s="10" t="n"/>
      <c r="G215" s="2" t="n"/>
      <c r="H215" s="2" t="n"/>
      <c r="I215" s="2" t="n"/>
    </row>
    <row r="216" ht="39.7" customHeight="1">
      <c r="A216" s="10" t="n"/>
      <c r="B216" s="36" t="inlineStr">
        <is>
          <t>UNA PARED EXTERIOR</t>
        </is>
      </c>
      <c r="C216" s="10" t="inlineStr">
        <is>
          <t>5.81 m2 x 3.00</t>
        </is>
      </c>
      <c r="D216" s="9" t="n">
        <v>17.43</v>
      </c>
      <c r="E216" s="27" t="n">
        <v>6</v>
      </c>
      <c r="F216" s="30">
        <f>IF(D216="","",ROUND(D216*E216,1))</f>
        <v/>
      </c>
      <c r="G216" s="2" t="n"/>
      <c r="H216" s="37" t="n"/>
      <c r="I216" s="37" t="n"/>
    </row>
    <row r="217" ht="62" customHeight="1">
      <c r="A217" s="10" t="n"/>
      <c r="B217" s="36" t="inlineStr">
        <is>
          <t>DOS PAREDES EXTERIORES</t>
        </is>
      </c>
      <c r="C217" s="10" t="inlineStr"/>
      <c r="D217" s="9">
        <f>IF(COUNT(H217,I217)&lt;2,"",ROUND(H217*I217,2))</f>
        <v/>
      </c>
      <c r="E217" s="27" t="n">
        <v>9</v>
      </c>
      <c r="F217" s="30">
        <f>IF(D217="","",ROUND(D217*E217,1))</f>
        <v/>
      </c>
      <c r="G217" s="2" t="n"/>
      <c r="H217" s="37" t="n"/>
      <c r="I217" s="37" t="n"/>
    </row>
    <row r="218" ht="62" customHeight="1">
      <c r="A218" s="10" t="n"/>
      <c r="B218" s="36" t="inlineStr">
        <is>
          <t>TRES O MAS PAREDES EXTERIORES</t>
        </is>
      </c>
      <c r="C218" s="10" t="inlineStr"/>
      <c r="D218" s="9">
        <f>IF(COUNT(H218,I218)&lt;2,"",ROUND(H218*I218,2))</f>
        <v/>
      </c>
      <c r="E218" s="27" t="n">
        <v>12</v>
      </c>
      <c r="F218" s="30">
        <f>IF(D218="","",ROUND(D218*E218,1))</f>
        <v/>
      </c>
      <c r="G218" s="2" t="n"/>
      <c r="H218" s="37" t="n"/>
      <c r="I218" s="37" t="n"/>
    </row>
    <row r="219" ht="70" customHeight="1">
      <c r="A219" s="18" t="inlineStr">
        <is>
          <t>6</t>
        </is>
      </c>
      <c r="B219" s="35" t="inlineStr">
        <is>
          <t>SUBTOTAL</t>
        </is>
      </c>
      <c r="C219" s="10" t="n"/>
      <c r="D219" s="10" t="n"/>
      <c r="E219" s="10" t="n"/>
      <c r="F219" s="38">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5" t="inlineStr">
        <is>
          <t>PERDIDA TOTAL</t>
        </is>
      </c>
      <c r="C220" s="10">
        <f>TEXT(F219,"0.00")&amp;"  X  "&amp;Datos_balance!$B$4&amp;" (FI)  X  "&amp;Datos_balance!$B$5&amp;" (FO)  X  "&amp;Datos_balance!$B$6&amp;" (FZ)"</f>
        <v/>
      </c>
      <c r="D220" s="2" t="n"/>
      <c r="E220" s="2" t="n"/>
      <c r="F220" s="38">
        <f>ROUND(F219*Datos_balance!$B$4*Datos_balance!$B$5*Datos_balance!$B$6,1)</f>
        <v/>
      </c>
      <c r="G220" s="2" t="n"/>
      <c r="H220" s="2" t="n"/>
      <c r="I220" s="2" t="n"/>
    </row>
    <row r="221" ht="39.7" customHeight="1">
      <c r="A221" s="10" t="n"/>
      <c r="B221" s="11" t="inlineStr">
        <is>
          <t>Carga de locales sin emisor</t>
        </is>
      </c>
      <c r="C221" s="10" t="n"/>
      <c r="D221" s="2" t="n"/>
      <c r="E221" s="2" t="n"/>
      <c r="F221" s="30" t="n"/>
      <c r="G221" s="2" t="n"/>
      <c r="H221" s="2" t="n"/>
      <c r="I221" s="2" t="n"/>
    </row>
    <row r="222" ht="39.7" customHeight="1">
      <c r="A222" s="10" t="n"/>
      <c r="B222" s="35" t="inlineStr">
        <is>
          <t>CARGA TOTAL A CUBRIR</t>
        </is>
      </c>
      <c r="C222" s="10" t="n"/>
      <c r="D222" s="2" t="n"/>
      <c r="E222" s="2" t="n"/>
      <c r="F222" s="38">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27">
        <f>ROUND(Datos_balance!$B$18*Datos_balance!$B$15,0)</f>
        <v/>
      </c>
      <c r="D225" s="2" t="n"/>
      <c r="E225" s="2" t="n"/>
      <c r="F225" s="10" t="n"/>
      <c r="G225" s="2" t="n"/>
      <c r="H225" s="2" t="n"/>
      <c r="I225" s="2" t="n"/>
    </row>
    <row r="226" ht="39.7" customHeight="1">
      <c r="A226" s="10" t="n"/>
      <c r="B226" s="11" t="inlineStr">
        <is>
          <t>Kcal/h del toallero Scala/Domino 150</t>
        </is>
      </c>
      <c r="C226" s="27">
        <f>ROUND(Datos_balance!$B$19*Datos_balance!$B$15,0)</f>
        <v/>
      </c>
      <c r="D226" s="2" t="n"/>
      <c r="E226" s="2" t="n"/>
      <c r="F226" s="10" t="n"/>
      <c r="G226" s="2" t="n"/>
      <c r="H226" s="2" t="n"/>
      <c r="I226" s="2" t="n"/>
    </row>
    <row r="227" ht="47" customHeight="1">
      <c r="A227" s="10" t="n"/>
      <c r="B227" s="11" t="inlineStr">
        <is>
          <t>Toalleros necesarios</t>
        </is>
      </c>
      <c r="C227" s="27">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2" t="n"/>
      <c r="E228" s="22"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5" t="inlineStr">
        <is>
          <t>VENTANA</t>
        </is>
      </c>
      <c r="C233" s="10" t="n"/>
      <c r="D233" s="10" t="n"/>
      <c r="E233" s="10" t="n"/>
      <c r="F233" s="10" t="n"/>
      <c r="G233" s="2" t="n"/>
      <c r="H233" s="2" t="n"/>
      <c r="I233" s="2" t="n"/>
    </row>
    <row r="234" ht="62" customHeight="1">
      <c r="A234" s="10" t="n"/>
      <c r="B234" s="36" t="inlineStr">
        <is>
          <t>(sin aberturas)</t>
        </is>
      </c>
      <c r="C234" s="10">
        <f>IF(COUNT(H234,I234)&lt;2,"",TEXT(H234,"0.00")&amp;" x "&amp;TEXT(I234,"0.00"))</f>
        <v/>
      </c>
      <c r="D234" s="9">
        <f>IF(COUNT(H234,I234)&lt;2,"",ROUND(H234*I234,2))</f>
        <v/>
      </c>
      <c r="E234" s="27" t="n">
        <v>60</v>
      </c>
      <c r="F234" s="30">
        <f>IF(D234="","",ROUND(D234*E234,1))</f>
        <v/>
      </c>
      <c r="G234" s="2" t="n"/>
      <c r="H234" s="37" t="n"/>
      <c r="I234" s="37" t="n"/>
    </row>
    <row r="235" ht="39.7" customHeight="1">
      <c r="A235" s="18" t="inlineStr">
        <is>
          <t>2</t>
        </is>
      </c>
      <c r="B235" s="35" t="inlineStr">
        <is>
          <t>PAREDES EXTERIORES</t>
        </is>
      </c>
      <c r="C235" s="10" t="n"/>
      <c r="D235" s="10" t="n"/>
      <c r="E235" s="10" t="n"/>
      <c r="F235" s="10" t="n"/>
      <c r="G235" s="2" t="n"/>
      <c r="H235" s="2" t="n"/>
      <c r="I235" s="2" t="n"/>
    </row>
    <row r="236" ht="62" customHeight="1">
      <c r="A236" s="10" t="n"/>
      <c r="B236" s="36" t="inlineStr">
        <is>
          <t>AISLADAS ()</t>
        </is>
      </c>
      <c r="C236" s="10">
        <f>IF(COUNT(H236,I236)&lt;2,"",TEXT(H236,"0.00")&amp;" x "&amp;TEXT(I236,"0.00"))</f>
        <v/>
      </c>
      <c r="D236" s="9">
        <f>IF(COUNT(H236,I236)&lt;2,"",ROUND(H236*I236,2))</f>
        <v/>
      </c>
      <c r="E236" s="27" t="n">
        <v>20</v>
      </c>
      <c r="F236" s="30">
        <f>IF(D236="","",ROUND(D236*E236,1))</f>
        <v/>
      </c>
      <c r="G236" s="2" t="n"/>
      <c r="H236" s="37" t="n">
        <v>1.3</v>
      </c>
      <c r="I236" s="37" t="n">
        <v>3</v>
      </c>
    </row>
    <row r="237" ht="62" customHeight="1">
      <c r="A237" s="10" t="n"/>
      <c r="B237" s="36" t="inlineStr">
        <is>
          <t>AISLADAS (    )</t>
        </is>
      </c>
      <c r="C237" s="10">
        <f>IF(COUNT(H237,I237)&lt;2,"",TEXT(H237,"0.00")&amp;" x "&amp;TEXT(I237,"0.00"))</f>
        <v/>
      </c>
      <c r="D237" s="9">
        <f>IF(COUNT(H237,I237)&lt;2,"",ROUND(H237*I237,2))</f>
        <v/>
      </c>
      <c r="E237" s="27" t="n">
        <v>20</v>
      </c>
      <c r="F237" s="30">
        <f>IF(D237="","",ROUND(D237*E237,1))</f>
        <v/>
      </c>
      <c r="G237" s="2" t="n"/>
      <c r="H237" s="37" t="n"/>
      <c r="I237" s="37" t="n"/>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v>2.4</v>
      </c>
      <c r="I238" s="37" t="n">
        <v>3</v>
      </c>
    </row>
    <row r="239" ht="62" customHeight="1">
      <c r="A239" s="10" t="n"/>
      <c r="B239" s="36" t="inlineStr">
        <is>
          <t>INTERIORES (    )</t>
        </is>
      </c>
      <c r="C239" s="10">
        <f>IF(COUNT(H239,I239)&lt;2,"",TEXT(H239,"0.00")&amp;" x "&amp;TEXT(I239,"0.00"))</f>
        <v/>
      </c>
      <c r="D239" s="9">
        <f>IF(COUNT(H239,I239)&lt;2,"",ROUND(H239*I239,2))</f>
        <v/>
      </c>
      <c r="E239" s="27" t="n">
        <v>25</v>
      </c>
      <c r="F239" s="30">
        <f>IF(D239="","",ROUND(D239*E239,1))</f>
        <v/>
      </c>
      <c r="G239" s="2" t="n"/>
      <c r="H239" s="37" t="n">
        <v>2.4</v>
      </c>
      <c r="I239" s="37" t="n">
        <v>3</v>
      </c>
    </row>
    <row r="240" ht="62" customHeight="1">
      <c r="A240" s="10" t="n"/>
      <c r="B240" s="36" t="inlineStr">
        <is>
          <t>INTERIORES (    )</t>
        </is>
      </c>
      <c r="C240" s="10">
        <f>IF(COUNT(H240,I240)&lt;2,"",TEXT(H240,"0.00")&amp;" x "&amp;TEXT(I240,"0.00"))</f>
        <v/>
      </c>
      <c r="D240" s="9">
        <f>IF(COUNT(H240,I240)&lt;2,"",ROUND(H240*I240,2))</f>
        <v/>
      </c>
      <c r="E240" s="27" t="n">
        <v>25</v>
      </c>
      <c r="F240" s="30">
        <f>IF(D240="","",ROUND(D240*E240,1))</f>
        <v/>
      </c>
      <c r="G240" s="2" t="n"/>
      <c r="H240" s="37" t="n">
        <v>1.3</v>
      </c>
      <c r="I240" s="37" t="n">
        <v>3</v>
      </c>
    </row>
    <row r="241" ht="39.7" customHeight="1">
      <c r="A241" s="18" t="inlineStr">
        <is>
          <t>3</t>
        </is>
      </c>
      <c r="B241" s="35" t="inlineStr">
        <is>
          <t>TECHOS O CIELORRASOS</t>
        </is>
      </c>
      <c r="C241" s="10" t="n"/>
      <c r="D241" s="10" t="n"/>
      <c r="E241" s="10" t="n"/>
      <c r="F241" s="10" t="n"/>
      <c r="G241" s="2" t="n"/>
      <c r="H241" s="2" t="n"/>
      <c r="I241" s="2" t="n"/>
    </row>
    <row r="242" ht="62" customHeight="1">
      <c r="A242" s="10" t="n"/>
      <c r="B242" s="36" t="inlineStr">
        <is>
          <t>TECHO NO AISLADO</t>
        </is>
      </c>
      <c r="C242" s="10" t="inlineStr"/>
      <c r="D242" s="9">
        <f>IF(COUNT(H242,I242)&lt;2,"",ROUND(H242*I242,2))</f>
        <v/>
      </c>
      <c r="E242" s="27" t="n">
        <v>30</v>
      </c>
      <c r="F242" s="30">
        <f>IF(D242="","",ROUND(D242*E242,1))</f>
        <v/>
      </c>
      <c r="G242" s="2" t="n"/>
      <c r="H242" s="37" t="n"/>
      <c r="I242" s="37" t="n"/>
    </row>
    <row r="243" ht="62" customHeight="1">
      <c r="A243" s="10" t="n"/>
      <c r="B243" s="36" t="inlineStr">
        <is>
          <t>TECHO AISLADO</t>
        </is>
      </c>
      <c r="C243" s="10" t="inlineStr"/>
      <c r="D243" s="9">
        <f>IF(COUNT(H243,I243)&lt;2,"",ROUND(H243*I243,2))</f>
        <v/>
      </c>
      <c r="E243" s="27" t="n">
        <v>20</v>
      </c>
      <c r="F243" s="30">
        <f>IF(D243="","",ROUND(D243*E243,1))</f>
        <v/>
      </c>
      <c r="G243" s="2" t="n"/>
      <c r="H243" s="37" t="n"/>
      <c r="I243" s="37" t="n"/>
    </row>
    <row r="244" ht="39.7" customHeight="1">
      <c r="A244" s="10" t="n"/>
      <c r="B244" s="36" t="inlineStr">
        <is>
          <t>TECHO ENTREPISO</t>
        </is>
      </c>
      <c r="C244" s="10" t="inlineStr">
        <is>
          <t>por croquis</t>
        </is>
      </c>
      <c r="D244" s="9" t="n">
        <v>3.12</v>
      </c>
      <c r="E244" s="27" t="n">
        <v>15</v>
      </c>
      <c r="F244" s="30">
        <f>IF(D244="","",ROUND(D244*E244,1))</f>
        <v/>
      </c>
      <c r="G244" s="2" t="n"/>
      <c r="H244" s="37" t="n"/>
      <c r="I244" s="37" t="n"/>
    </row>
    <row r="245" ht="39.7" customHeight="1">
      <c r="A245" s="18" t="inlineStr">
        <is>
          <t>4</t>
        </is>
      </c>
      <c r="B245" s="35" t="inlineStr">
        <is>
          <t>PISO</t>
        </is>
      </c>
      <c r="C245" s="10" t="n"/>
      <c r="D245" s="10" t="n"/>
      <c r="E245" s="10" t="n"/>
      <c r="F245" s="10" t="n"/>
      <c r="G245" s="2" t="n"/>
      <c r="H245" s="2" t="n"/>
      <c r="I245" s="2" t="n"/>
    </row>
    <row r="246" ht="39.7" customHeight="1">
      <c r="A246" s="10" t="n"/>
      <c r="B246" s="36" t="inlineStr">
        <is>
          <t>SOBRE TIERRA</t>
        </is>
      </c>
      <c r="C246" s="10" t="inlineStr">
        <is>
          <t>por croquis</t>
        </is>
      </c>
      <c r="D246" s="9" t="n">
        <v>3.12</v>
      </c>
      <c r="E246" s="27" t="n">
        <v>10</v>
      </c>
      <c r="F246" s="30">
        <f>IF(D246="","",ROUND(D246*E246,1))</f>
        <v/>
      </c>
      <c r="G246" s="2" t="n"/>
      <c r="H246" s="37" t="n"/>
      <c r="I246" s="37" t="n"/>
    </row>
    <row r="247" ht="62" customHeight="1">
      <c r="A247" s="10" t="n"/>
      <c r="B247" s="36" t="inlineStr">
        <is>
          <t>SOBRE LOCAL OCUPADO</t>
        </is>
      </c>
      <c r="C247" s="10" t="inlineStr"/>
      <c r="D247" s="9">
        <f>IF(COUNT(H247,I247)&lt;2,"",ROUND(H247*I247,2))</f>
        <v/>
      </c>
      <c r="E247" s="27" t="n">
        <v>15</v>
      </c>
      <c r="F247" s="30">
        <f>IF(D247="","",ROUND(D247*E247,1))</f>
        <v/>
      </c>
      <c r="G247" s="2" t="n"/>
      <c r="H247" s="37" t="n"/>
      <c r="I247" s="37" t="n"/>
    </row>
    <row r="248" ht="39.7" customHeight="1">
      <c r="A248" s="18" t="inlineStr">
        <is>
          <t>5</t>
        </is>
      </c>
      <c r="B248" s="35" t="inlineStr">
        <is>
          <t>INFILTRACION</t>
        </is>
      </c>
      <c r="C248" s="10" t="n"/>
      <c r="D248" s="18" t="inlineStr">
        <is>
          <t>VOLUMEN (m3)</t>
        </is>
      </c>
      <c r="E248" s="10" t="n"/>
      <c r="F248" s="10" t="n"/>
      <c r="G248" s="2" t="n"/>
      <c r="H248" s="2" t="n"/>
      <c r="I248" s="2" t="n"/>
    </row>
    <row r="249" ht="39.7" customHeight="1">
      <c r="A249" s="10" t="n"/>
      <c r="B249" s="36" t="inlineStr">
        <is>
          <t>UNA PARED EXTERIOR</t>
        </is>
      </c>
      <c r="C249" s="10" t="inlineStr">
        <is>
          <t>3.12 m2 x 3.00</t>
        </is>
      </c>
      <c r="D249" s="9" t="n">
        <v>9.359999999999999</v>
      </c>
      <c r="E249" s="27" t="n">
        <v>6</v>
      </c>
      <c r="F249" s="30">
        <f>IF(D249="","",ROUND(D249*E249,1))</f>
        <v/>
      </c>
      <c r="G249" s="2" t="n"/>
      <c r="H249" s="37" t="n"/>
      <c r="I249" s="37" t="n"/>
    </row>
    <row r="250" ht="62" customHeight="1">
      <c r="A250" s="10" t="n"/>
      <c r="B250" s="36" t="inlineStr">
        <is>
          <t>DOS PAREDES EXTERIORES</t>
        </is>
      </c>
      <c r="C250" s="10" t="inlineStr"/>
      <c r="D250" s="9">
        <f>IF(COUNT(H250,I250)&lt;2,"",ROUND(H250*I250,2))</f>
        <v/>
      </c>
      <c r="E250" s="27" t="n">
        <v>9</v>
      </c>
      <c r="F250" s="30">
        <f>IF(D250="","",ROUND(D250*E250,1))</f>
        <v/>
      </c>
      <c r="G250" s="2" t="n"/>
      <c r="H250" s="37" t="n"/>
      <c r="I250" s="37" t="n"/>
    </row>
    <row r="251" ht="62" customHeight="1">
      <c r="A251" s="10" t="n"/>
      <c r="B251" s="36" t="inlineStr">
        <is>
          <t>TRES O MAS PAREDES EXTERIORES</t>
        </is>
      </c>
      <c r="C251" s="10" t="inlineStr"/>
      <c r="D251" s="9">
        <f>IF(COUNT(H251,I251)&lt;2,"",ROUND(H251*I251,2))</f>
        <v/>
      </c>
      <c r="E251" s="27" t="n">
        <v>12</v>
      </c>
      <c r="F251" s="30">
        <f>IF(D251="","",ROUND(D251*E251,1))</f>
        <v/>
      </c>
      <c r="G251" s="2" t="n"/>
      <c r="H251" s="37" t="n"/>
      <c r="I251" s="37" t="n"/>
    </row>
    <row r="252" ht="70" customHeight="1">
      <c r="A252" s="18" t="inlineStr">
        <is>
          <t>6</t>
        </is>
      </c>
      <c r="B252" s="35" t="inlineStr">
        <is>
          <t>SUBTOTAL</t>
        </is>
      </c>
      <c r="C252" s="10" t="n"/>
      <c r="D252" s="10" t="n"/>
      <c r="E252" s="10" t="n"/>
      <c r="F252" s="38">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5" t="inlineStr">
        <is>
          <t>PERDIDA TOTAL</t>
        </is>
      </c>
      <c r="C253" s="10">
        <f>TEXT(F252,"0.00")&amp;"  X  "&amp;Datos_balance!$B$4&amp;" (FI)  X  "&amp;Datos_balance!$B$5&amp;" (FO)  X  "&amp;Datos_balance!$B$6&amp;" (FZ)"</f>
        <v/>
      </c>
      <c r="D253" s="2" t="n"/>
      <c r="E253" s="2" t="n"/>
      <c r="F253" s="38">
        <f>ROUND(F252*Datos_balance!$B$4*Datos_balance!$B$5*Datos_balance!$B$6,1)</f>
        <v/>
      </c>
      <c r="G253" s="2" t="n"/>
      <c r="H253" s="2" t="n"/>
      <c r="I253" s="2" t="n"/>
    </row>
    <row r="254" ht="39.7" customHeight="1">
      <c r="A254" s="10" t="n"/>
      <c r="B254" s="11" t="inlineStr">
        <is>
          <t>Carga de locales sin emisor</t>
        </is>
      </c>
      <c r="C254" s="10" t="n"/>
      <c r="D254" s="2" t="n"/>
      <c r="E254" s="2" t="n"/>
      <c r="F254" s="30" t="n"/>
      <c r="G254" s="2" t="n"/>
      <c r="H254" s="2" t="n"/>
      <c r="I254" s="2" t="n"/>
    </row>
    <row r="255" ht="39.7" customHeight="1">
      <c r="A255" s="10" t="n"/>
      <c r="B255" s="35" t="inlineStr">
        <is>
          <t>CARGA TOTAL A CUBRIR</t>
        </is>
      </c>
      <c r="C255" s="10" t="n"/>
      <c r="D255" s="2" t="n"/>
      <c r="E255" s="2" t="n"/>
      <c r="F255" s="38">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27">
        <f>ROUND(Datos_balance!$B$18*Datos_balance!$B$15,0)</f>
        <v/>
      </c>
      <c r="D258" s="2" t="n"/>
      <c r="E258" s="2" t="n"/>
      <c r="F258" s="10" t="n"/>
      <c r="G258" s="2" t="n"/>
      <c r="H258" s="2" t="n"/>
      <c r="I258" s="2" t="n"/>
    </row>
    <row r="259" ht="39.7" customHeight="1">
      <c r="A259" s="10" t="n"/>
      <c r="B259" s="11" t="inlineStr">
        <is>
          <t>Kcal/h del toallero Scala/Domino 150</t>
        </is>
      </c>
      <c r="C259" s="27">
        <f>ROUND(Datos_balance!$B$19*Datos_balance!$B$15,0)</f>
        <v/>
      </c>
      <c r="D259" s="2" t="n"/>
      <c r="E259" s="2" t="n"/>
      <c r="F259" s="10" t="n"/>
      <c r="G259" s="2" t="n"/>
      <c r="H259" s="2" t="n"/>
      <c r="I259" s="2" t="n"/>
    </row>
    <row r="260" ht="47" customHeight="1">
      <c r="A260" s="10" t="n"/>
      <c r="B260" s="11" t="inlineStr">
        <is>
          <t>Toalleros necesarios</t>
        </is>
      </c>
      <c r="C260" s="27">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2" t="n"/>
      <c r="E261" s="22"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5" t="inlineStr">
        <is>
          <t>VENTANA</t>
        </is>
      </c>
      <c r="C266" s="10" t="n"/>
      <c r="D266" s="10" t="n"/>
      <c r="E266" s="10" t="n"/>
      <c r="F266" s="10" t="n"/>
      <c r="G266" s="2" t="n"/>
      <c r="H266" s="2" t="n"/>
      <c r="I266" s="2" t="n"/>
    </row>
    <row r="267" ht="62" customHeight="1">
      <c r="A267" s="10" t="n"/>
      <c r="B267" s="36" t="inlineStr">
        <is>
          <t>VA04</t>
        </is>
      </c>
      <c r="C267" s="10">
        <f>IF(COUNT(H267,I267)&lt;2,"",TEXT(H267,"0.00")&amp;" x "&amp;TEXT(I267,"0.00"))</f>
        <v/>
      </c>
      <c r="D267" s="9">
        <f>IF(COUNT(H267,I267)&lt;2,"",ROUND(H267*I267,2))</f>
        <v/>
      </c>
      <c r="E267" s="27" t="n">
        <v>60</v>
      </c>
      <c r="F267" s="30">
        <f>IF(D267="","",ROUND(D267*E267,1))</f>
        <v/>
      </c>
      <c r="G267" s="2" t="n"/>
      <c r="H267" s="37" t="n">
        <v>2</v>
      </c>
      <c r="I267" s="37" t="n">
        <v>2.52</v>
      </c>
    </row>
    <row r="268" ht="62" customHeight="1">
      <c r="A268" s="10" t="n"/>
      <c r="B268" s="36" t="inlineStr">
        <is>
          <t>VA05</t>
        </is>
      </c>
      <c r="C268" s="10">
        <f>IF(COUNT(H268,I268)&lt;2,"",TEXT(H268,"0.00")&amp;" x "&amp;TEXT(I268,"0.00"))</f>
        <v/>
      </c>
      <c r="D268" s="9">
        <f>IF(COUNT(H268,I268)&lt;2,"",ROUND(H268*I268,2))</f>
        <v/>
      </c>
      <c r="E268" s="27" t="n">
        <v>60</v>
      </c>
      <c r="F268" s="30">
        <f>IF(D268="","",ROUND(D268*E268,1))</f>
        <v/>
      </c>
      <c r="G268" s="2" t="n"/>
      <c r="H268" s="37" t="n">
        <v>1.4</v>
      </c>
      <c r="I268" s="37" t="n">
        <v>2.52</v>
      </c>
    </row>
    <row r="269" ht="39.7" customHeight="1">
      <c r="A269" s="18" t="inlineStr">
        <is>
          <t>2</t>
        </is>
      </c>
      <c r="B269" s="35" t="inlineStr">
        <is>
          <t>PAREDES EXTERIORES</t>
        </is>
      </c>
      <c r="C269" s="10" t="n"/>
      <c r="D269" s="10" t="n"/>
      <c r="E269" s="10" t="n"/>
      <c r="F269" s="10" t="n"/>
      <c r="G269" s="2" t="n"/>
      <c r="H269" s="2" t="n"/>
      <c r="I269" s="2" t="n"/>
    </row>
    <row r="270" ht="62" customHeight="1">
      <c r="A270" s="10" t="n"/>
      <c r="B270" s="36" t="inlineStr">
        <is>
          <t>AISLADAS (NO)</t>
        </is>
      </c>
      <c r="C270" s="10">
        <f>IF(COUNT(H270,I270)&lt;2,"",TEXT(H270,"0.00")&amp;" x "&amp;TEXT(I270,"0.00"))</f>
        <v/>
      </c>
      <c r="D270" s="9">
        <f>IF(COUNT(H270,I270)&lt;2,"",ROUND(H270*I270,2))</f>
        <v/>
      </c>
      <c r="E270" s="27" t="n">
        <v>20</v>
      </c>
      <c r="F270" s="30">
        <f>IF(D270="","",ROUND(D270*E270,1))</f>
        <v/>
      </c>
      <c r="G270" s="2" t="n"/>
      <c r="H270" s="37" t="n">
        <v>4.25</v>
      </c>
      <c r="I270" s="37" t="n">
        <v>3</v>
      </c>
    </row>
    <row r="271" ht="62" customHeight="1">
      <c r="A271" s="10" t="n"/>
      <c r="B271" s="36" t="inlineStr">
        <is>
          <t>AISLADAS (SE)</t>
        </is>
      </c>
      <c r="C271" s="10">
        <f>IF(COUNT(H271,I271)&lt;2,"",TEXT(H271,"0.00")&amp;" x "&amp;TEXT(I271,"0.00"))</f>
        <v/>
      </c>
      <c r="D271" s="9">
        <f>IF(COUNT(H271,I271)&lt;2,"",ROUND(H271*I271,2))</f>
        <v/>
      </c>
      <c r="E271" s="27" t="n">
        <v>20</v>
      </c>
      <c r="F271" s="30">
        <f>IF(D271="","",ROUND(D271*E271,1))</f>
        <v/>
      </c>
      <c r="G271" s="2" t="n"/>
      <c r="H271" s="37" t="n">
        <v>4.25</v>
      </c>
      <c r="I271" s="37" t="n">
        <v>3</v>
      </c>
    </row>
    <row r="272" ht="62" customHeight="1">
      <c r="A272" s="10" t="n"/>
      <c r="B272" s="36" t="inlineStr">
        <is>
          <t>AISLADAS ()</t>
        </is>
      </c>
      <c r="C272" s="10">
        <f>IF(COUNT(H272,I272)&lt;2,"",TEXT(H272,"0.00")&amp;" x "&amp;TEXT(I272,"0.00"))</f>
        <v/>
      </c>
      <c r="D272" s="9">
        <f>IF(COUNT(H272,I272)&lt;2,"",ROUND(H272*I272,2))</f>
        <v/>
      </c>
      <c r="E272" s="27" t="n">
        <v>20</v>
      </c>
      <c r="F272" s="30">
        <f>IF(D272="","",ROUND(D272*E272,1))</f>
        <v/>
      </c>
      <c r="G272" s="2" t="n"/>
      <c r="H272" s="37" t="n">
        <v>4</v>
      </c>
      <c r="I272" s="37" t="n">
        <v>3</v>
      </c>
    </row>
    <row r="273" ht="62" customHeight="1">
      <c r="A273" s="10" t="n"/>
      <c r="B273" s="36" t="inlineStr">
        <is>
          <t>INTERIORES (    )</t>
        </is>
      </c>
      <c r="C273" s="10">
        <f>IF(COUNT(H273,I273)&lt;2,"",TEXT(H273,"0.00")&amp;" x "&amp;TEXT(I273,"0.00"))</f>
        <v/>
      </c>
      <c r="D273" s="9">
        <f>IF(COUNT(H273,I273)&lt;2,"",ROUND(H273*I273,2))</f>
        <v/>
      </c>
      <c r="E273" s="27" t="n">
        <v>25</v>
      </c>
      <c r="F273" s="30">
        <f>IF(D273="","",ROUND(D273*E273,1))</f>
        <v/>
      </c>
      <c r="G273" s="2" t="n"/>
      <c r="H273" s="37" t="n">
        <v>4</v>
      </c>
      <c r="I273" s="37" t="n">
        <v>3</v>
      </c>
    </row>
    <row r="274" ht="62" customHeight="1">
      <c r="A274" s="10" t="n"/>
      <c r="B274" s="36" t="inlineStr">
        <is>
          <t>INTERIORES (    )</t>
        </is>
      </c>
      <c r="C274" s="10">
        <f>IF(COUNT(H274,I274)&lt;2,"",TEXT(H274,"0.00")&amp;" x "&amp;TEXT(I274,"0.00"))</f>
        <v/>
      </c>
      <c r="D274" s="9">
        <f>IF(COUNT(H274,I274)&lt;2,"",ROUND(H274*I274,2))</f>
        <v/>
      </c>
      <c r="E274" s="27" t="n">
        <v>25</v>
      </c>
      <c r="F274" s="30">
        <f>IF(D274="","",ROUND(D274*E274,1))</f>
        <v/>
      </c>
      <c r="G274" s="2" t="n"/>
      <c r="H274" s="37" t="n"/>
      <c r="I274" s="37" t="n"/>
    </row>
    <row r="275" ht="39.7" customHeight="1">
      <c r="A275" s="18" t="inlineStr">
        <is>
          <t>3</t>
        </is>
      </c>
      <c r="B275" s="35" t="inlineStr">
        <is>
          <t>TECHOS O CIELORRASOS</t>
        </is>
      </c>
      <c r="C275" s="10" t="n"/>
      <c r="D275" s="10" t="n"/>
      <c r="E275" s="10" t="n"/>
      <c r="F275" s="10" t="n"/>
      <c r="G275" s="2" t="n"/>
      <c r="H275" s="2" t="n"/>
      <c r="I275" s="2" t="n"/>
    </row>
    <row r="276" ht="62" customHeight="1">
      <c r="A276" s="10" t="n"/>
      <c r="B276" s="36" t="inlineStr">
        <is>
          <t>TECHO NO AISLADO</t>
        </is>
      </c>
      <c r="C276" s="10" t="inlineStr"/>
      <c r="D276" s="9">
        <f>IF(COUNT(H276,I276)&lt;2,"",ROUND(H276*I276,2))</f>
        <v/>
      </c>
      <c r="E276" s="27" t="n">
        <v>30</v>
      </c>
      <c r="F276" s="30">
        <f>IF(D276="","",ROUND(D276*E276,1))</f>
        <v/>
      </c>
      <c r="G276" s="2" t="n"/>
      <c r="H276" s="37" t="n"/>
      <c r="I276" s="37" t="n"/>
    </row>
    <row r="277" ht="39.7" customHeight="1">
      <c r="A277" s="10" t="n"/>
      <c r="B277" s="36" t="inlineStr">
        <is>
          <t>TECHO AISLADO</t>
        </is>
      </c>
      <c r="C277" s="10" t="inlineStr">
        <is>
          <t>por croquis</t>
        </is>
      </c>
      <c r="D277" s="9" t="n">
        <v>17</v>
      </c>
      <c r="E277" s="27" t="n">
        <v>20</v>
      </c>
      <c r="F277" s="30">
        <f>IF(D277="","",ROUND(D277*E277,1))</f>
        <v/>
      </c>
      <c r="G277" s="2" t="n"/>
      <c r="H277" s="37" t="n"/>
      <c r="I277" s="37" t="n"/>
    </row>
    <row r="278" ht="62" customHeight="1">
      <c r="A278" s="10" t="n"/>
      <c r="B278" s="36" t="inlineStr">
        <is>
          <t>TECHO ENTREPISO</t>
        </is>
      </c>
      <c r="C278" s="10" t="inlineStr"/>
      <c r="D278" s="9">
        <f>IF(COUNT(H278,I278)&lt;2,"",ROUND(H278*I278,2))</f>
        <v/>
      </c>
      <c r="E278" s="27" t="n">
        <v>15</v>
      </c>
      <c r="F278" s="30">
        <f>IF(D278="","",ROUND(D278*E278,1))</f>
        <v/>
      </c>
      <c r="G278" s="2" t="n"/>
      <c r="H278" s="37" t="n"/>
      <c r="I278" s="37" t="n"/>
    </row>
    <row r="279" ht="39.7" customHeight="1">
      <c r="A279" s="18" t="inlineStr">
        <is>
          <t>4</t>
        </is>
      </c>
      <c r="B279" s="35" t="inlineStr">
        <is>
          <t>PISO</t>
        </is>
      </c>
      <c r="C279" s="10" t="n"/>
      <c r="D279" s="10" t="n"/>
      <c r="E279" s="10" t="n"/>
      <c r="F279" s="10" t="n"/>
      <c r="G279" s="2" t="n"/>
      <c r="H279" s="2" t="n"/>
      <c r="I279" s="2" t="n"/>
    </row>
    <row r="280" ht="62" customHeight="1">
      <c r="A280" s="10" t="n"/>
      <c r="B280" s="36" t="inlineStr">
        <is>
          <t>SOBRE TIERRA</t>
        </is>
      </c>
      <c r="C280" s="10" t="inlineStr"/>
      <c r="D280" s="9">
        <f>IF(COUNT(H280,I280)&lt;2,"",ROUND(H280*I280,2))</f>
        <v/>
      </c>
      <c r="E280" s="27" t="n">
        <v>10</v>
      </c>
      <c r="F280" s="30">
        <f>IF(D280="","",ROUND(D280*E280,1))</f>
        <v/>
      </c>
      <c r="G280" s="2" t="n"/>
      <c r="H280" s="37" t="n"/>
      <c r="I280" s="37" t="n"/>
    </row>
    <row r="281" ht="39.7" customHeight="1">
      <c r="A281" s="10" t="n"/>
      <c r="B281" s="36" t="inlineStr">
        <is>
          <t>SOBRE LOCAL OCUPADO</t>
        </is>
      </c>
      <c r="C281" s="10" t="inlineStr">
        <is>
          <t>por croquis</t>
        </is>
      </c>
      <c r="D281" s="9" t="n">
        <v>17</v>
      </c>
      <c r="E281" s="27" t="n">
        <v>15</v>
      </c>
      <c r="F281" s="30">
        <f>IF(D281="","",ROUND(D281*E281,1))</f>
        <v/>
      </c>
      <c r="G281" s="2" t="n"/>
      <c r="H281" s="37" t="n"/>
      <c r="I281" s="37" t="n"/>
    </row>
    <row r="282" ht="39.7" customHeight="1">
      <c r="A282" s="18" t="inlineStr">
        <is>
          <t>5</t>
        </is>
      </c>
      <c r="B282" s="35" t="inlineStr">
        <is>
          <t>INFILTRACION</t>
        </is>
      </c>
      <c r="C282" s="10" t="n"/>
      <c r="D282" s="18" t="inlineStr">
        <is>
          <t>VOLUMEN (m3)</t>
        </is>
      </c>
      <c r="E282" s="10" t="n"/>
      <c r="F282" s="10" t="n"/>
      <c r="G282" s="2" t="n"/>
      <c r="H282" s="2" t="n"/>
      <c r="I282" s="2" t="n"/>
    </row>
    <row r="283" ht="62" customHeight="1">
      <c r="A283" s="10" t="n"/>
      <c r="B283" s="36" t="inlineStr">
        <is>
          <t>UNA PARED EXTERIOR</t>
        </is>
      </c>
      <c r="C283" s="10" t="inlineStr"/>
      <c r="D283" s="9">
        <f>IF(COUNT(H283,I283)&lt;2,"",ROUND(H283*I283,2))</f>
        <v/>
      </c>
      <c r="E283" s="27" t="n">
        <v>6</v>
      </c>
      <c r="F283" s="30">
        <f>IF(D283="","",ROUND(D283*E283,1))</f>
        <v/>
      </c>
      <c r="G283" s="2" t="n"/>
      <c r="H283" s="37" t="n"/>
      <c r="I283" s="37" t="n"/>
    </row>
    <row r="284" ht="62" customHeight="1">
      <c r="A284" s="10" t="n"/>
      <c r="B284" s="36" t="inlineStr">
        <is>
          <t>DOS PAREDES EXTERIORES</t>
        </is>
      </c>
      <c r="C284" s="10" t="inlineStr"/>
      <c r="D284" s="9">
        <f>IF(COUNT(H284,I284)&lt;2,"",ROUND(H284*I284,2))</f>
        <v/>
      </c>
      <c r="E284" s="27" t="n">
        <v>9</v>
      </c>
      <c r="F284" s="30">
        <f>IF(D284="","",ROUND(D284*E284,1))</f>
        <v/>
      </c>
      <c r="G284" s="2" t="n"/>
      <c r="H284" s="37" t="n"/>
      <c r="I284" s="37" t="n"/>
    </row>
    <row r="285" ht="39.7" customHeight="1">
      <c r="A285" s="10" t="n"/>
      <c r="B285" s="36" t="inlineStr">
        <is>
          <t>TRES O MAS PAREDES EXTERIORES</t>
        </is>
      </c>
      <c r="C285" s="10" t="inlineStr">
        <is>
          <t>17.00 m2 x 3.00</t>
        </is>
      </c>
      <c r="D285" s="9" t="n">
        <v>51</v>
      </c>
      <c r="E285" s="27" t="n">
        <v>12</v>
      </c>
      <c r="F285" s="30">
        <f>IF(D285="","",ROUND(D285*E285,1))</f>
        <v/>
      </c>
      <c r="G285" s="2" t="n"/>
      <c r="H285" s="37" t="n"/>
      <c r="I285" s="37" t="n"/>
    </row>
    <row r="286" ht="70" customHeight="1">
      <c r="A286" s="18" t="inlineStr">
        <is>
          <t>6</t>
        </is>
      </c>
      <c r="B286" s="35" t="inlineStr">
        <is>
          <t>SUBTOTAL</t>
        </is>
      </c>
      <c r="C286" s="10" t="n"/>
      <c r="D286" s="10" t="n"/>
      <c r="E286" s="10" t="n"/>
      <c r="F286" s="38">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5" t="inlineStr">
        <is>
          <t>PERDIDA TOTAL</t>
        </is>
      </c>
      <c r="C287" s="10">
        <f>TEXT(F286,"0.00")&amp;"  X  "&amp;Datos_balance!$B$4&amp;" (FI)  X  "&amp;Datos_balance!$B$5&amp;" (FO)  X  "&amp;Datos_balance!$B$6&amp;" (FZ)"</f>
        <v/>
      </c>
      <c r="D287" s="2" t="n"/>
      <c r="E287" s="2" t="n"/>
      <c r="F287" s="38">
        <f>ROUND(F286*Datos_balance!$B$4*Datos_balance!$B$5*Datos_balance!$B$6,1)</f>
        <v/>
      </c>
      <c r="G287" s="2" t="n"/>
      <c r="H287" s="2" t="n"/>
      <c r="I287" s="2" t="n"/>
    </row>
    <row r="288" ht="39.7" customHeight="1">
      <c r="A288" s="10" t="n"/>
      <c r="B288" s="11" t="inlineStr">
        <is>
          <t>Carga de locales sin emisor</t>
        </is>
      </c>
      <c r="C288" s="10" t="n"/>
      <c r="D288" s="2" t="n"/>
      <c r="E288" s="2" t="n"/>
      <c r="F288" s="30" t="n"/>
      <c r="G288" s="2" t="n"/>
      <c r="H288" s="2" t="n"/>
      <c r="I288" s="2" t="n"/>
    </row>
    <row r="289" ht="39.7" customHeight="1">
      <c r="A289" s="10" t="n"/>
      <c r="B289" s="35" t="inlineStr">
        <is>
          <t>CARGA TOTAL A CUBRIR</t>
        </is>
      </c>
      <c r="C289" s="10" t="n"/>
      <c r="D289" s="2" t="n"/>
      <c r="E289" s="2" t="n"/>
      <c r="F289" s="38">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27">
        <f>ROUNDUP(F289/(Datos_balance!$B$14*Datos_balance!$B$15),0)</f>
        <v/>
      </c>
      <c r="D293" s="2" t="n"/>
      <c r="E293" s="2" t="n"/>
      <c r="F293" s="10" t="n"/>
      <c r="G293" s="2" t="n"/>
      <c r="H293" s="2" t="n"/>
      <c r="I293" s="2" t="n"/>
    </row>
    <row r="294" ht="39.7" customHeight="1">
      <c r="A294" s="10" t="n"/>
      <c r="B294" s="11" t="inlineStr">
        <is>
          <t>Ancho del radiador (cm)</t>
        </is>
      </c>
      <c r="C294" s="27">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2" t="n"/>
      <c r="E295" s="22"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5" t="inlineStr">
        <is>
          <t>VENTANA</t>
        </is>
      </c>
      <c r="C300" s="10" t="n"/>
      <c r="D300" s="10" t="n"/>
      <c r="E300" s="10" t="n"/>
      <c r="F300" s="10" t="n"/>
      <c r="G300" s="2" t="n"/>
      <c r="H300" s="2" t="n"/>
      <c r="I300" s="2" t="n"/>
    </row>
    <row r="301" ht="62" customHeight="1">
      <c r="A301" s="10" t="n"/>
      <c r="B301" s="36" t="inlineStr">
        <is>
          <t>VA04 (2)</t>
        </is>
      </c>
      <c r="C301" s="10">
        <f>IF(COUNT(H301,I301)&lt;2,"",TEXT(H301,"0.00")&amp;" x "&amp;TEXT(I301,"0.00"))</f>
        <v/>
      </c>
      <c r="D301" s="9">
        <f>IF(COUNT(H301,I301)&lt;2,"",ROUND(H301*I301,2))</f>
        <v/>
      </c>
      <c r="E301" s="27" t="n">
        <v>60</v>
      </c>
      <c r="F301" s="30">
        <f>IF(D301="","",ROUND(D301*E301,1))</f>
        <v/>
      </c>
      <c r="G301" s="2" t="n"/>
      <c r="H301" s="37" t="n">
        <v>2</v>
      </c>
      <c r="I301" s="37" t="n">
        <v>2.52</v>
      </c>
    </row>
    <row r="302" ht="39.7" customHeight="1">
      <c r="A302" s="18" t="inlineStr">
        <is>
          <t>2</t>
        </is>
      </c>
      <c r="B302" s="35" t="inlineStr">
        <is>
          <t>PAREDES EXTERIORES</t>
        </is>
      </c>
      <c r="C302" s="10" t="n"/>
      <c r="D302" s="10" t="n"/>
      <c r="E302" s="10" t="n"/>
      <c r="F302" s="10" t="n"/>
      <c r="G302" s="2" t="n"/>
      <c r="H302" s="2" t="n"/>
      <c r="I302" s="2" t="n"/>
    </row>
    <row r="303" ht="62" customHeight="1">
      <c r="A303" s="10" t="n"/>
      <c r="B303" s="36" t="inlineStr">
        <is>
          <t>AISLADAS (NO)</t>
        </is>
      </c>
      <c r="C303" s="10">
        <f>IF(COUNT(H303,I303)&lt;2,"",TEXT(H303,"0.00")&amp;" x "&amp;TEXT(I303,"0.00"))</f>
        <v/>
      </c>
      <c r="D303" s="9">
        <f>IF(COUNT(H303,I303)&lt;2,"",ROUND(H303*I303,2))</f>
        <v/>
      </c>
      <c r="E303" s="27" t="n">
        <v>20</v>
      </c>
      <c r="F303" s="30">
        <f>IF(D303="","",ROUND(D303*E303,1))</f>
        <v/>
      </c>
      <c r="G303" s="2" t="n"/>
      <c r="H303" s="37" t="n">
        <v>4.13</v>
      </c>
      <c r="I303" s="37" t="n">
        <v>3</v>
      </c>
    </row>
    <row r="304" ht="62" customHeight="1">
      <c r="A304" s="10" t="n"/>
      <c r="B304" s="36" t="inlineStr">
        <is>
          <t>AISLADAS (    )</t>
        </is>
      </c>
      <c r="C304" s="10">
        <f>IF(COUNT(H304,I304)&lt;2,"",TEXT(H304,"0.00")&amp;" x "&amp;TEXT(I304,"0.00"))</f>
        <v/>
      </c>
      <c r="D304" s="9">
        <f>IF(COUNT(H304,I304)&lt;2,"",ROUND(H304*I304,2))</f>
        <v/>
      </c>
      <c r="E304" s="27" t="n">
        <v>20</v>
      </c>
      <c r="F304" s="30">
        <f>IF(D304="","",ROUND(D304*E304,1))</f>
        <v/>
      </c>
      <c r="G304" s="2" t="n"/>
      <c r="H304" s="37" t="n"/>
      <c r="I304" s="37" t="n"/>
    </row>
    <row r="305" ht="62" customHeight="1">
      <c r="A305" s="10" t="n"/>
      <c r="B305" s="36" t="inlineStr">
        <is>
          <t>INTERIORES (    )</t>
        </is>
      </c>
      <c r="C305" s="10">
        <f>IF(COUNT(H305,I305)&lt;2,"",TEXT(H305,"0.00")&amp;" x "&amp;TEXT(I305,"0.00"))</f>
        <v/>
      </c>
      <c r="D305" s="9">
        <f>IF(COUNT(H305,I305)&lt;2,"",ROUND(H305*I305,2))</f>
        <v/>
      </c>
      <c r="E305" s="27" t="n">
        <v>25</v>
      </c>
      <c r="F305" s="30">
        <f>IF(D305="","",ROUND(D305*E305,1))</f>
        <v/>
      </c>
      <c r="G305" s="2" t="n"/>
      <c r="H305" s="37" t="n">
        <v>4.08</v>
      </c>
      <c r="I305" s="37" t="n">
        <v>3</v>
      </c>
    </row>
    <row r="306" ht="62" customHeight="1">
      <c r="A306" s="10" t="n"/>
      <c r="B306" s="36" t="inlineStr">
        <is>
          <t>INTERIORES (    )</t>
        </is>
      </c>
      <c r="C306" s="10">
        <f>IF(COUNT(H306,I306)&lt;2,"",TEXT(H306,"0.00")&amp;" x "&amp;TEXT(I306,"0.00"))</f>
        <v/>
      </c>
      <c r="D306" s="9">
        <f>IF(COUNT(H306,I306)&lt;2,"",ROUND(H306*I306,2))</f>
        <v/>
      </c>
      <c r="E306" s="27" t="n">
        <v>25</v>
      </c>
      <c r="F306" s="30">
        <f>IF(D306="","",ROUND(D306*E306,1))</f>
        <v/>
      </c>
      <c r="G306" s="2" t="n"/>
      <c r="H306" s="37" t="n">
        <v>4.13</v>
      </c>
      <c r="I306" s="37" t="n">
        <v>3</v>
      </c>
    </row>
    <row r="307" ht="62" customHeight="1">
      <c r="A307" s="10" t="n"/>
      <c r="B307" s="36" t="inlineStr">
        <is>
          <t>INTERIORES (    )</t>
        </is>
      </c>
      <c r="C307" s="10">
        <f>IF(COUNT(H307,I307)&lt;2,"",TEXT(H307,"0.00")&amp;" x "&amp;TEXT(I307,"0.00"))</f>
        <v/>
      </c>
      <c r="D307" s="9">
        <f>IF(COUNT(H307,I307)&lt;2,"",ROUND(H307*I307,2))</f>
        <v/>
      </c>
      <c r="E307" s="27" t="n">
        <v>25</v>
      </c>
      <c r="F307" s="30">
        <f>IF(D307="","",ROUND(D307*E307,1))</f>
        <v/>
      </c>
      <c r="G307" s="2" t="n"/>
      <c r="H307" s="37" t="n">
        <v>4.08</v>
      </c>
      <c r="I307" s="37" t="n">
        <v>3</v>
      </c>
    </row>
    <row r="308" ht="39.7" customHeight="1">
      <c r="A308" s="18" t="inlineStr">
        <is>
          <t>3</t>
        </is>
      </c>
      <c r="B308" s="35" t="inlineStr">
        <is>
          <t>TECHOS O CIELORRASOS</t>
        </is>
      </c>
      <c r="C308" s="10" t="n"/>
      <c r="D308" s="10" t="n"/>
      <c r="E308" s="10" t="n"/>
      <c r="F308" s="10" t="n"/>
      <c r="G308" s="2" t="n"/>
      <c r="H308" s="2" t="n"/>
      <c r="I308" s="2" t="n"/>
    </row>
    <row r="309" ht="62" customHeight="1">
      <c r="A309" s="10" t="n"/>
      <c r="B309" s="36" t="inlineStr">
        <is>
          <t>TECHO NO AISLADO</t>
        </is>
      </c>
      <c r="C309" s="10" t="inlineStr"/>
      <c r="D309" s="9">
        <f>IF(COUNT(H309,I309)&lt;2,"",ROUND(H309*I309,2))</f>
        <v/>
      </c>
      <c r="E309" s="27" t="n">
        <v>30</v>
      </c>
      <c r="F309" s="30">
        <f>IF(D309="","",ROUND(D309*E309,1))</f>
        <v/>
      </c>
      <c r="G309" s="2" t="n"/>
      <c r="H309" s="37" t="n"/>
      <c r="I309" s="37" t="n"/>
    </row>
    <row r="310" ht="39.7" customHeight="1">
      <c r="A310" s="10" t="n"/>
      <c r="B310" s="36" t="inlineStr">
        <is>
          <t>TECHO AISLADO</t>
        </is>
      </c>
      <c r="C310" s="10" t="inlineStr">
        <is>
          <t>por croquis</t>
        </is>
      </c>
      <c r="D310" s="9" t="n">
        <v>16.85</v>
      </c>
      <c r="E310" s="27" t="n">
        <v>20</v>
      </c>
      <c r="F310" s="30">
        <f>IF(D310="","",ROUND(D310*E310,1))</f>
        <v/>
      </c>
      <c r="G310" s="2" t="n"/>
      <c r="H310" s="37" t="n"/>
      <c r="I310" s="37" t="n"/>
    </row>
    <row r="311" ht="62" customHeight="1">
      <c r="A311" s="10" t="n"/>
      <c r="B311" s="36" t="inlineStr">
        <is>
          <t>TECHO ENTREPISO</t>
        </is>
      </c>
      <c r="C311" s="10" t="inlineStr"/>
      <c r="D311" s="9">
        <f>IF(COUNT(H311,I311)&lt;2,"",ROUND(H311*I311,2))</f>
        <v/>
      </c>
      <c r="E311" s="27" t="n">
        <v>15</v>
      </c>
      <c r="F311" s="30">
        <f>IF(D311="","",ROUND(D311*E311,1))</f>
        <v/>
      </c>
      <c r="G311" s="2" t="n"/>
      <c r="H311" s="37" t="n"/>
      <c r="I311" s="37" t="n"/>
    </row>
    <row r="312" ht="39.7" customHeight="1">
      <c r="A312" s="18" t="inlineStr">
        <is>
          <t>4</t>
        </is>
      </c>
      <c r="B312" s="35" t="inlineStr">
        <is>
          <t>PISO</t>
        </is>
      </c>
      <c r="C312" s="10" t="n"/>
      <c r="D312" s="10" t="n"/>
      <c r="E312" s="10" t="n"/>
      <c r="F312" s="10" t="n"/>
      <c r="G312" s="2" t="n"/>
      <c r="H312" s="2" t="n"/>
      <c r="I312" s="2" t="n"/>
    </row>
    <row r="313" ht="62" customHeight="1">
      <c r="A313" s="10" t="n"/>
      <c r="B313" s="36" t="inlineStr">
        <is>
          <t>SOBRE TIERRA</t>
        </is>
      </c>
      <c r="C313" s="10" t="inlineStr"/>
      <c r="D313" s="9">
        <f>IF(COUNT(H313,I313)&lt;2,"",ROUND(H313*I313,2))</f>
        <v/>
      </c>
      <c r="E313" s="27" t="n">
        <v>10</v>
      </c>
      <c r="F313" s="30">
        <f>IF(D313="","",ROUND(D313*E313,1))</f>
        <v/>
      </c>
      <c r="G313" s="2" t="n"/>
      <c r="H313" s="37" t="n"/>
      <c r="I313" s="37" t="n"/>
    </row>
    <row r="314" ht="39.7" customHeight="1">
      <c r="A314" s="10" t="n"/>
      <c r="B314" s="36" t="inlineStr">
        <is>
          <t>SOBRE LOCAL OCUPADO</t>
        </is>
      </c>
      <c r="C314" s="10" t="inlineStr">
        <is>
          <t>por croquis</t>
        </is>
      </c>
      <c r="D314" s="9" t="n">
        <v>16.85</v>
      </c>
      <c r="E314" s="27" t="n">
        <v>15</v>
      </c>
      <c r="F314" s="30">
        <f>IF(D314="","",ROUND(D314*E314,1))</f>
        <v/>
      </c>
      <c r="G314" s="2" t="n"/>
      <c r="H314" s="37" t="n"/>
      <c r="I314" s="37" t="n"/>
    </row>
    <row r="315" ht="39.7" customHeight="1">
      <c r="A315" s="18" t="inlineStr">
        <is>
          <t>5</t>
        </is>
      </c>
      <c r="B315" s="35" t="inlineStr">
        <is>
          <t>INFILTRACION</t>
        </is>
      </c>
      <c r="C315" s="10" t="n"/>
      <c r="D315" s="18" t="inlineStr">
        <is>
          <t>VOLUMEN (m3)</t>
        </is>
      </c>
      <c r="E315" s="10" t="n"/>
      <c r="F315" s="10" t="n"/>
      <c r="G315" s="2" t="n"/>
      <c r="H315" s="2" t="n"/>
      <c r="I315" s="2" t="n"/>
    </row>
    <row r="316" ht="39.7" customHeight="1">
      <c r="A316" s="10" t="n"/>
      <c r="B316" s="36" t="inlineStr">
        <is>
          <t>UNA PARED EXTERIOR</t>
        </is>
      </c>
      <c r="C316" s="10" t="inlineStr">
        <is>
          <t>16.85 m2 x 3.00</t>
        </is>
      </c>
      <c r="D316" s="9" t="n">
        <v>50.55</v>
      </c>
      <c r="E316" s="27" t="n">
        <v>6</v>
      </c>
      <c r="F316" s="30">
        <f>IF(D316="","",ROUND(D316*E316,1))</f>
        <v/>
      </c>
      <c r="G316" s="2" t="n"/>
      <c r="H316" s="37" t="n"/>
      <c r="I316" s="37" t="n"/>
    </row>
    <row r="317" ht="62" customHeight="1">
      <c r="A317" s="10" t="n"/>
      <c r="B317" s="36" t="inlineStr">
        <is>
          <t>DOS PAREDES EXTERIORES</t>
        </is>
      </c>
      <c r="C317" s="10" t="inlineStr"/>
      <c r="D317" s="9">
        <f>IF(COUNT(H317,I317)&lt;2,"",ROUND(H317*I317,2))</f>
        <v/>
      </c>
      <c r="E317" s="27" t="n">
        <v>9</v>
      </c>
      <c r="F317" s="30">
        <f>IF(D317="","",ROUND(D317*E317,1))</f>
        <v/>
      </c>
      <c r="G317" s="2" t="n"/>
      <c r="H317" s="37" t="n"/>
      <c r="I317" s="37" t="n"/>
    </row>
    <row r="318" ht="62" customHeight="1">
      <c r="A318" s="10" t="n"/>
      <c r="B318" s="36" t="inlineStr">
        <is>
          <t>TRES O MAS PAREDES EXTERIORES</t>
        </is>
      </c>
      <c r="C318" s="10" t="inlineStr"/>
      <c r="D318" s="9">
        <f>IF(COUNT(H318,I318)&lt;2,"",ROUND(H318*I318,2))</f>
        <v/>
      </c>
      <c r="E318" s="27" t="n">
        <v>12</v>
      </c>
      <c r="F318" s="30">
        <f>IF(D318="","",ROUND(D318*E318,1))</f>
        <v/>
      </c>
      <c r="G318" s="2" t="n"/>
      <c r="H318" s="37" t="n"/>
      <c r="I318" s="37" t="n"/>
    </row>
    <row r="319" ht="70" customHeight="1">
      <c r="A319" s="18" t="inlineStr">
        <is>
          <t>6</t>
        </is>
      </c>
      <c r="B319" s="35" t="inlineStr">
        <is>
          <t>SUBTOTAL</t>
        </is>
      </c>
      <c r="C319" s="10" t="n"/>
      <c r="D319" s="10" t="n"/>
      <c r="E319" s="10" t="n"/>
      <c r="F319" s="38">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5" t="inlineStr">
        <is>
          <t>PERDIDA TOTAL</t>
        </is>
      </c>
      <c r="C320" s="10">
        <f>TEXT(F319,"0.00")&amp;"  X  "&amp;Datos_balance!$B$4&amp;" (FI)  X  "&amp;Datos_balance!$B$5&amp;" (FO)  X  "&amp;Datos_balance!$B$6&amp;" (FZ)"</f>
        <v/>
      </c>
      <c r="D320" s="2" t="n"/>
      <c r="E320" s="2" t="n"/>
      <c r="F320" s="38">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0">
        <f>F157</f>
        <v/>
      </c>
      <c r="G321" s="2" t="n"/>
      <c r="H321" s="2" t="n"/>
      <c r="I321" s="2" t="n"/>
    </row>
    <row r="322" ht="39.7" customHeight="1">
      <c r="A322" s="10" t="n"/>
      <c r="B322" s="35" t="inlineStr">
        <is>
          <t>CARGA TOTAL A CUBRIR</t>
        </is>
      </c>
      <c r="C322" s="10" t="n"/>
      <c r="D322" s="2" t="n"/>
      <c r="E322" s="2" t="n"/>
      <c r="F322" s="38">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27">
        <f>ROUNDUP(F322/(Datos_balance!$B$14*Datos_balance!$B$15),0)</f>
        <v/>
      </c>
      <c r="D326" s="2" t="n"/>
      <c r="E326" s="2" t="n"/>
      <c r="F326" s="10" t="n"/>
      <c r="G326" s="2" t="n"/>
      <c r="H326" s="2" t="n"/>
      <c r="I326" s="2" t="n"/>
    </row>
    <row r="327" ht="39.7" customHeight="1">
      <c r="A327" s="10" t="n"/>
      <c r="B327" s="11" t="inlineStr">
        <is>
          <t>Ancho del radiador (cm)</t>
        </is>
      </c>
      <c r="C327" s="27">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2" t="n"/>
      <c r="E328" s="22"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5" t="inlineStr">
        <is>
          <t>VENTANA</t>
        </is>
      </c>
      <c r="C333" s="10" t="n"/>
      <c r="D333" s="10" t="n"/>
      <c r="E333" s="10" t="n"/>
      <c r="F333" s="10" t="n"/>
      <c r="G333" s="2" t="n"/>
      <c r="H333" s="2" t="n"/>
      <c r="I333" s="2" t="n"/>
    </row>
    <row r="334" ht="62" customHeight="1">
      <c r="A334" s="10" t="n"/>
      <c r="B334" s="36" t="inlineStr">
        <is>
          <t>PV04</t>
        </is>
      </c>
      <c r="C334" s="10">
        <f>IF(COUNT(H334,I334)&lt;2,"",TEXT(H334,"0.00")&amp;" x "&amp;TEXT(I334,"0.00"))</f>
        <v/>
      </c>
      <c r="D334" s="9">
        <f>IF(COUNT(H334,I334)&lt;2,"",ROUND(H334*I334,2))</f>
        <v/>
      </c>
      <c r="E334" s="27" t="n">
        <v>60</v>
      </c>
      <c r="F334" s="30">
        <f>IF(D334="","",ROUND(D334*E334,1))</f>
        <v/>
      </c>
      <c r="G334" s="2" t="n"/>
      <c r="H334" s="37" t="n">
        <v>2.06</v>
      </c>
      <c r="I334" s="37" t="n">
        <v>3</v>
      </c>
    </row>
    <row r="335" ht="39.7" customHeight="1">
      <c r="A335" s="18" t="inlineStr">
        <is>
          <t>2</t>
        </is>
      </c>
      <c r="B335" s="35" t="inlineStr">
        <is>
          <t>PAREDES EXTERIORES</t>
        </is>
      </c>
      <c r="C335" s="10" t="n"/>
      <c r="D335" s="10" t="n"/>
      <c r="E335" s="10" t="n"/>
      <c r="F335" s="10" t="n"/>
      <c r="G335" s="2" t="n"/>
      <c r="H335" s="2" t="n"/>
      <c r="I335" s="2" t="n"/>
    </row>
    <row r="336" ht="62" customHeight="1">
      <c r="A336" s="10" t="n"/>
      <c r="B336" s="36" t="inlineStr">
        <is>
          <t>AISLADAS (SE)</t>
        </is>
      </c>
      <c r="C336" s="10">
        <f>IF(COUNT(H336,I336)&lt;2,"",TEXT(H336,"0.00")&amp;" x "&amp;TEXT(I336,"0.00"))</f>
        <v/>
      </c>
      <c r="D336" s="9">
        <f>IF(COUNT(H336,I336)&lt;2,"",ROUND(H336*I336,2))</f>
        <v/>
      </c>
      <c r="E336" s="27" t="n">
        <v>20</v>
      </c>
      <c r="F336" s="30">
        <f>IF(D336="","",ROUND(D336*E336,1))</f>
        <v/>
      </c>
      <c r="G336" s="2" t="n"/>
      <c r="H336" s="37" t="n">
        <v>4.05</v>
      </c>
      <c r="I336" s="37" t="n">
        <v>3</v>
      </c>
    </row>
    <row r="337" ht="62" customHeight="1">
      <c r="A337" s="10" t="n"/>
      <c r="B337" s="36" t="inlineStr">
        <is>
          <t>AISLADAS ()</t>
        </is>
      </c>
      <c r="C337" s="10">
        <f>IF(COUNT(H337,I337)&lt;2,"",TEXT(H337,"0.00")&amp;" x "&amp;TEXT(I337,"0.00"))</f>
        <v/>
      </c>
      <c r="D337" s="9">
        <f>IF(COUNT(H337,I337)&lt;2,"",ROUND(H337*I337,2))</f>
        <v/>
      </c>
      <c r="E337" s="27" t="n">
        <v>20</v>
      </c>
      <c r="F337" s="30">
        <f>IF(D337="","",ROUND(D337*E337,1))</f>
        <v/>
      </c>
      <c r="G337" s="2" t="n"/>
      <c r="H337" s="37" t="n">
        <v>3.5</v>
      </c>
      <c r="I337" s="37" t="n">
        <v>3</v>
      </c>
    </row>
    <row r="338" ht="62" customHeight="1">
      <c r="A338" s="10" t="n"/>
      <c r="B338" s="36" t="inlineStr">
        <is>
          <t>INTERIORES (    )</t>
        </is>
      </c>
      <c r="C338" s="10">
        <f>IF(COUNT(H338,I338)&lt;2,"",TEXT(H338,"0.00")&amp;" x "&amp;TEXT(I338,"0.00"))</f>
        <v/>
      </c>
      <c r="D338" s="9">
        <f>IF(COUNT(H338,I338)&lt;2,"",ROUND(H338*I338,2))</f>
        <v/>
      </c>
      <c r="E338" s="27" t="n">
        <v>25</v>
      </c>
      <c r="F338" s="30">
        <f>IF(D338="","",ROUND(D338*E338,1))</f>
        <v/>
      </c>
      <c r="G338" s="2" t="n"/>
      <c r="H338" s="37" t="n">
        <v>4.05</v>
      </c>
      <c r="I338" s="37" t="n">
        <v>3</v>
      </c>
    </row>
    <row r="339" ht="62" customHeight="1">
      <c r="A339" s="10" t="n"/>
      <c r="B339" s="36" t="inlineStr">
        <is>
          <t>INTERIORES (    )</t>
        </is>
      </c>
      <c r="C339" s="10">
        <f>IF(COUNT(H339,I339)&lt;2,"",TEXT(H339,"0.00")&amp;" x "&amp;TEXT(I339,"0.00"))</f>
        <v/>
      </c>
      <c r="D339" s="9">
        <f>IF(COUNT(H339,I339)&lt;2,"",ROUND(H339*I339,2))</f>
        <v/>
      </c>
      <c r="E339" s="27" t="n">
        <v>25</v>
      </c>
      <c r="F339" s="30">
        <f>IF(D339="","",ROUND(D339*E339,1))</f>
        <v/>
      </c>
      <c r="G339" s="2" t="n"/>
      <c r="H339" s="37" t="n">
        <v>3.5</v>
      </c>
      <c r="I339" s="37" t="n">
        <v>3</v>
      </c>
    </row>
    <row r="340" ht="39.7" customHeight="1">
      <c r="A340" s="18" t="inlineStr">
        <is>
          <t>3</t>
        </is>
      </c>
      <c r="B340" s="35" t="inlineStr">
        <is>
          <t>TECHOS O CIELORRASOS</t>
        </is>
      </c>
      <c r="C340" s="10" t="n"/>
      <c r="D340" s="10" t="n"/>
      <c r="E340" s="10" t="n"/>
      <c r="F340" s="10" t="n"/>
      <c r="G340" s="2" t="n"/>
      <c r="H340" s="2" t="n"/>
      <c r="I340" s="2" t="n"/>
    </row>
    <row r="341" ht="62" customHeight="1">
      <c r="A341" s="10" t="n"/>
      <c r="B341" s="36" t="inlineStr">
        <is>
          <t>TECHO NO AISLADO</t>
        </is>
      </c>
      <c r="C341" s="10" t="inlineStr"/>
      <c r="D341" s="9">
        <f>IF(COUNT(H341,I341)&lt;2,"",ROUND(H341*I341,2))</f>
        <v/>
      </c>
      <c r="E341" s="27" t="n">
        <v>30</v>
      </c>
      <c r="F341" s="30">
        <f>IF(D341="","",ROUND(D341*E341,1))</f>
        <v/>
      </c>
      <c r="G341" s="2" t="n"/>
      <c r="H341" s="37" t="n"/>
      <c r="I341" s="37" t="n"/>
    </row>
    <row r="342" ht="39.7" customHeight="1">
      <c r="A342" s="10" t="n"/>
      <c r="B342" s="36" t="inlineStr">
        <is>
          <t>TECHO AISLADO</t>
        </is>
      </c>
      <c r="C342" s="10" t="inlineStr">
        <is>
          <t>por croquis</t>
        </is>
      </c>
      <c r="D342" s="9" t="n">
        <v>14.17</v>
      </c>
      <c r="E342" s="27" t="n">
        <v>20</v>
      </c>
      <c r="F342" s="30">
        <f>IF(D342="","",ROUND(D342*E342,1))</f>
        <v/>
      </c>
      <c r="G342" s="2" t="n"/>
      <c r="H342" s="37" t="n"/>
      <c r="I342" s="37" t="n"/>
    </row>
    <row r="343" ht="62" customHeight="1">
      <c r="A343" s="10" t="n"/>
      <c r="B343" s="36" t="inlineStr">
        <is>
          <t>TECHO ENTREPISO</t>
        </is>
      </c>
      <c r="C343" s="10" t="inlineStr"/>
      <c r="D343" s="9">
        <f>IF(COUNT(H343,I343)&lt;2,"",ROUND(H343*I343,2))</f>
        <v/>
      </c>
      <c r="E343" s="27" t="n">
        <v>15</v>
      </c>
      <c r="F343" s="30">
        <f>IF(D343="","",ROUND(D343*E343,1))</f>
        <v/>
      </c>
      <c r="G343" s="2" t="n"/>
      <c r="H343" s="37" t="n"/>
      <c r="I343" s="37" t="n"/>
    </row>
    <row r="344" ht="39.7" customHeight="1">
      <c r="A344" s="18" t="inlineStr">
        <is>
          <t>4</t>
        </is>
      </c>
      <c r="B344" s="35" t="inlineStr">
        <is>
          <t>PISO</t>
        </is>
      </c>
      <c r="C344" s="10" t="n"/>
      <c r="D344" s="10" t="n"/>
      <c r="E344" s="10" t="n"/>
      <c r="F344" s="10" t="n"/>
      <c r="G344" s="2" t="n"/>
      <c r="H344" s="2" t="n"/>
      <c r="I344" s="2" t="n"/>
    </row>
    <row r="345" ht="62" customHeight="1">
      <c r="A345" s="10" t="n"/>
      <c r="B345" s="36" t="inlineStr">
        <is>
          <t>SOBRE TIERRA</t>
        </is>
      </c>
      <c r="C345" s="10" t="inlineStr"/>
      <c r="D345" s="9">
        <f>IF(COUNT(H345,I345)&lt;2,"",ROUND(H345*I345,2))</f>
        <v/>
      </c>
      <c r="E345" s="27" t="n">
        <v>10</v>
      </c>
      <c r="F345" s="30">
        <f>IF(D345="","",ROUND(D345*E345,1))</f>
        <v/>
      </c>
      <c r="G345" s="2" t="n"/>
      <c r="H345" s="37" t="n"/>
      <c r="I345" s="37" t="n"/>
    </row>
    <row r="346" ht="39.7" customHeight="1">
      <c r="A346" s="10" t="n"/>
      <c r="B346" s="36" t="inlineStr">
        <is>
          <t>SOBRE LOCAL OCUPADO</t>
        </is>
      </c>
      <c r="C346" s="10" t="inlineStr">
        <is>
          <t>por croquis</t>
        </is>
      </c>
      <c r="D346" s="9" t="n">
        <v>14.17</v>
      </c>
      <c r="E346" s="27" t="n">
        <v>15</v>
      </c>
      <c r="F346" s="30">
        <f>IF(D346="","",ROUND(D346*E346,1))</f>
        <v/>
      </c>
      <c r="G346" s="2" t="n"/>
      <c r="H346" s="37" t="n"/>
      <c r="I346" s="37" t="n"/>
    </row>
    <row r="347" ht="39.7" customHeight="1">
      <c r="A347" s="18" t="inlineStr">
        <is>
          <t>5</t>
        </is>
      </c>
      <c r="B347" s="35" t="inlineStr">
        <is>
          <t>INFILTRACION</t>
        </is>
      </c>
      <c r="C347" s="10" t="n"/>
      <c r="D347" s="18" t="inlineStr">
        <is>
          <t>VOLUMEN (m3)</t>
        </is>
      </c>
      <c r="E347" s="10" t="n"/>
      <c r="F347" s="10" t="n"/>
      <c r="G347" s="2" t="n"/>
      <c r="H347" s="2" t="n"/>
      <c r="I347" s="2" t="n"/>
    </row>
    <row r="348" ht="62" customHeight="1">
      <c r="A348" s="10" t="n"/>
      <c r="B348" s="36" t="inlineStr">
        <is>
          <t>UNA PARED EXTERIOR</t>
        </is>
      </c>
      <c r="C348" s="10" t="inlineStr"/>
      <c r="D348" s="9">
        <f>IF(COUNT(H348,I348)&lt;2,"",ROUND(H348*I348,2))</f>
        <v/>
      </c>
      <c r="E348" s="27" t="n">
        <v>6</v>
      </c>
      <c r="F348" s="30">
        <f>IF(D348="","",ROUND(D348*E348,1))</f>
        <v/>
      </c>
      <c r="G348" s="2" t="n"/>
      <c r="H348" s="37" t="n"/>
      <c r="I348" s="37" t="n"/>
    </row>
    <row r="349" ht="39.7" customHeight="1">
      <c r="A349" s="10" t="n"/>
      <c r="B349" s="36" t="inlineStr">
        <is>
          <t>DOS PAREDES EXTERIORES</t>
        </is>
      </c>
      <c r="C349" s="10" t="inlineStr">
        <is>
          <t>14.17 m2 x 3.00</t>
        </is>
      </c>
      <c r="D349" s="9" t="n">
        <v>42.51</v>
      </c>
      <c r="E349" s="27" t="n">
        <v>9</v>
      </c>
      <c r="F349" s="30">
        <f>IF(D349="","",ROUND(D349*E349,1))</f>
        <v/>
      </c>
      <c r="G349" s="2" t="n"/>
      <c r="H349" s="37" t="n"/>
      <c r="I349" s="37" t="n"/>
    </row>
    <row r="350" ht="62" customHeight="1">
      <c r="A350" s="10" t="n"/>
      <c r="B350" s="36" t="inlineStr">
        <is>
          <t>TRES O MAS PAREDES EXTERIORES</t>
        </is>
      </c>
      <c r="C350" s="10" t="inlineStr"/>
      <c r="D350" s="9">
        <f>IF(COUNT(H350,I350)&lt;2,"",ROUND(H350*I350,2))</f>
        <v/>
      </c>
      <c r="E350" s="27" t="n">
        <v>12</v>
      </c>
      <c r="F350" s="30">
        <f>IF(D350="","",ROUND(D350*E350,1))</f>
        <v/>
      </c>
      <c r="G350" s="2" t="n"/>
      <c r="H350" s="37" t="n"/>
      <c r="I350" s="37" t="n"/>
    </row>
    <row r="351" ht="70" customHeight="1">
      <c r="A351" s="18" t="inlineStr">
        <is>
          <t>6</t>
        </is>
      </c>
      <c r="B351" s="35" t="inlineStr">
        <is>
          <t>SUBTOTAL</t>
        </is>
      </c>
      <c r="C351" s="10" t="n"/>
      <c r="D351" s="10" t="n"/>
      <c r="E351" s="10" t="n"/>
      <c r="F351" s="38">
        <f>IF(F334="",0,F334)+IF(F336="",0,F336)+IF(F337="",0,F337)+IF(F338="",0,F338)+IF(F339="",0,F339)+IF(F341="",0,F341)+IF(F342="",0,F342)+IF(F343="",0,F343)+IF(F345="",0,F345)+IF(F346="",0,F346)+IF(F348="",0,F348)+IF(F349="",0,F349)+IF(F350="",0,F350)</f>
        <v/>
      </c>
      <c r="G351" s="2" t="n"/>
      <c r="H351" s="2" t="n"/>
      <c r="I351" s="2" t="n"/>
    </row>
    <row r="352" ht="47" customHeight="1">
      <c r="A352" s="18" t="inlineStr">
        <is>
          <t>7</t>
        </is>
      </c>
      <c r="B352" s="35" t="inlineStr">
        <is>
          <t>PERDIDA TOTAL</t>
        </is>
      </c>
      <c r="C352" s="10">
        <f>TEXT(F351,"0.00")&amp;"  X  "&amp;Datos_balance!$B$4&amp;" (FI)  X  "&amp;Datos_balance!$B$5&amp;" (FO)  X  "&amp;Datos_balance!$B$6&amp;" (FZ)"</f>
        <v/>
      </c>
      <c r="D352" s="2" t="n"/>
      <c r="E352" s="2" t="n"/>
      <c r="F352" s="38">
        <f>ROUND(F351*Datos_balance!$B$4*Datos_balance!$B$5*Datos_balance!$B$6,1)</f>
        <v/>
      </c>
      <c r="G352" s="2" t="n"/>
      <c r="H352" s="2" t="n"/>
      <c r="I352" s="2" t="n"/>
    </row>
    <row r="353" ht="39.7" customHeight="1">
      <c r="A353" s="10" t="n"/>
      <c r="B353" s="11" t="inlineStr">
        <is>
          <t>Carga de locales sin emisor</t>
        </is>
      </c>
      <c r="C353" s="10" t="n"/>
      <c r="D353" s="2" t="n"/>
      <c r="E353" s="2" t="n"/>
      <c r="F353" s="30" t="n"/>
      <c r="G353" s="2" t="n"/>
      <c r="H353" s="2" t="n"/>
      <c r="I353" s="2" t="n"/>
    </row>
    <row r="354" ht="39.7" customHeight="1">
      <c r="A354" s="10" t="n"/>
      <c r="B354" s="35" t="inlineStr">
        <is>
          <t>CARGA TOTAL A CUBRIR</t>
        </is>
      </c>
      <c r="C354" s="10" t="n"/>
      <c r="D354" s="2" t="n"/>
      <c r="E354" s="2" t="n"/>
      <c r="F354" s="38">
        <f>F352+IF(F353="",0,F353)</f>
        <v/>
      </c>
      <c r="G354" s="2" t="n"/>
      <c r="H354" s="2" t="n"/>
      <c r="I354" s="2" t="n"/>
    </row>
    <row r="355">
      <c r="A355" s="2" t="n"/>
      <c r="B355" s="2" t="n"/>
      <c r="C355" s="2" t="n"/>
      <c r="D355" s="2" t="n"/>
      <c r="E355" s="2" t="n"/>
      <c r="F355" s="2" t="n"/>
      <c r="G355" s="2" t="n"/>
      <c r="H355" s="2" t="n"/>
      <c r="I355" s="2" t="n"/>
    </row>
    <row r="356" ht="62" customHeight="1">
      <c r="A356" s="10" t="n"/>
      <c r="B356" s="11" t="inlineStr">
        <is>
          <t>Salto termico:  dt = (te+ts)/2 - ti</t>
        </is>
      </c>
      <c r="C356" s="10">
        <f>TEXT((Datos_balance!$B$9+Datos_balance!$B$10)/2,"0")&amp;" - "&amp;TEXT(Datos_balance!$B$11,"0")&amp;" = "&amp;TEXT((Datos_balance!$B$9+Datos_balance!$B$10)/2-Datos_balance!$B$11,"0")&amp;" C"</f>
        <v/>
      </c>
      <c r="D356" s="2" t="n"/>
      <c r="E356" s="2" t="n"/>
      <c r="F356" s="10" t="n"/>
      <c r="G356" s="2" t="n"/>
      <c r="H356" s="2" t="n"/>
      <c r="I356" s="2" t="n"/>
    </row>
    <row r="357" ht="39.7" customHeight="1">
      <c r="A357" s="10" t="n"/>
      <c r="B357" s="11" t="inlineStr">
        <is>
          <t>Kcal/h por elemento</t>
        </is>
      </c>
      <c r="C357" s="9">
        <f>ROUND(Datos_balance!$B$14*Datos_balance!$B$15,2)</f>
        <v/>
      </c>
      <c r="D357" s="2" t="n"/>
      <c r="E357" s="2" t="n"/>
      <c r="F357" s="10" t="n"/>
      <c r="G357" s="2" t="n"/>
      <c r="H357" s="2" t="n"/>
      <c r="I357" s="2" t="n"/>
    </row>
    <row r="358" ht="39.7" customHeight="1">
      <c r="A358" s="10" t="n"/>
      <c r="B358" s="11" t="inlineStr">
        <is>
          <t>Elementos necesarios</t>
        </is>
      </c>
      <c r="C358" s="27">
        <f>ROUNDUP(F354/(Datos_balance!$B$14*Datos_balance!$B$15),0)</f>
        <v/>
      </c>
      <c r="D358" s="2" t="n"/>
      <c r="E358" s="2" t="n"/>
      <c r="F358" s="10" t="n"/>
      <c r="G358" s="2" t="n"/>
      <c r="H358" s="2" t="n"/>
      <c r="I358" s="2" t="n"/>
    </row>
    <row r="359" ht="39.7" customHeight="1">
      <c r="A359" s="10" t="n"/>
      <c r="B359" s="11" t="inlineStr">
        <is>
          <t>Ancho del radiador (cm)</t>
        </is>
      </c>
      <c r="C359" s="27">
        <f>ROUNDUP(F354/(Datos_balance!$B$14*Datos_balance!$B$15),0)*Datos_balance!$B$16</f>
        <v/>
      </c>
      <c r="D359" s="2" t="n"/>
      <c r="E359" s="2" t="n"/>
      <c r="F359" s="10" t="n"/>
      <c r="G359" s="2" t="n"/>
      <c r="H359" s="2" t="n"/>
      <c r="I359" s="2" t="n"/>
    </row>
    <row r="360" ht="39.7" customHeight="1">
      <c r="A360" s="14" t="n"/>
      <c r="B360" s="15" t="inlineStr">
        <is>
          <t>Radiador adoptado</t>
        </is>
      </c>
      <c r="C360" s="14">
        <f>Datos_balance!$B$13</f>
        <v/>
      </c>
      <c r="D360" s="22" t="n"/>
      <c r="E360" s="22" t="n"/>
      <c r="F360" s="14" t="n"/>
      <c r="G360" s="2" t="n"/>
      <c r="H360" s="2" t="n"/>
      <c r="I360" s="2" t="n"/>
    </row>
    <row r="361">
      <c r="A361" s="2" t="n"/>
      <c r="B361" s="2" t="n"/>
      <c r="C361" s="2" t="n"/>
      <c r="D361" s="2" t="n"/>
      <c r="E361" s="2" t="n"/>
      <c r="F361" s="2" t="n"/>
      <c r="G361" s="2" t="n"/>
      <c r="H361" s="2" t="n"/>
      <c r="I361" s="2" t="n"/>
    </row>
    <row r="362">
      <c r="A362" s="2" t="n"/>
      <c r="B362" s="2" t="n"/>
      <c r="C362" s="2" t="n"/>
      <c r="D362" s="2" t="n"/>
      <c r="E362" s="2" t="n"/>
      <c r="F362" s="2" t="n"/>
      <c r="G362" s="2" t="n"/>
      <c r="H362" s="2" t="n"/>
      <c r="I362" s="2" t="n"/>
    </row>
    <row r="363" ht="39.7" customHeight="1">
      <c r="A363" s="5" t="inlineStr">
        <is>
          <t>LOCAL  17 - Bano   (PA)   -   altura 3.00 m</t>
        </is>
      </c>
      <c r="B363" s="2" t="n"/>
      <c r="C363" s="2" t="n"/>
      <c r="D363" s="2" t="n"/>
      <c r="E363" s="2" t="n"/>
      <c r="F363" s="2" t="n"/>
      <c r="G363" s="2" t="n"/>
      <c r="H363" s="2" t="n"/>
      <c r="I363" s="2" t="n"/>
    </row>
    <row r="364" ht="39.7" customHeight="1">
      <c r="A364" s="3" t="inlineStr">
        <is>
          <t>Nro</t>
        </is>
      </c>
      <c r="B364" s="3" t="inlineStr">
        <is>
          <t>DESCRIPCION</t>
        </is>
      </c>
      <c r="C364" s="3" t="inlineStr">
        <is>
          <t>DIMENSIONES (m)</t>
        </is>
      </c>
      <c r="D364" s="3" t="inlineStr">
        <is>
          <t>AREA (m2)</t>
        </is>
      </c>
      <c r="E364" s="3" t="inlineStr">
        <is>
          <t>FACTOR</t>
        </is>
      </c>
      <c r="F364" s="3" t="inlineStr">
        <is>
          <t>PERDIDA CALOR (Kcal/h)</t>
        </is>
      </c>
      <c r="G364" s="2" t="n"/>
      <c r="H364" s="2" t="n"/>
      <c r="I364" s="2" t="n"/>
    </row>
    <row r="365" ht="39.7" customHeight="1">
      <c r="A365" s="18" t="inlineStr">
        <is>
          <t>1</t>
        </is>
      </c>
      <c r="B365" s="35" t="inlineStr">
        <is>
          <t>VENTANA</t>
        </is>
      </c>
      <c r="C365" s="10" t="n"/>
      <c r="D365" s="10" t="n"/>
      <c r="E365" s="10" t="n"/>
      <c r="F365" s="10" t="n"/>
      <c r="G365" s="2" t="n"/>
      <c r="H365" s="2" t="n"/>
      <c r="I365" s="2" t="n"/>
    </row>
    <row r="366" ht="62" customHeight="1">
      <c r="A366" s="10" t="n"/>
      <c r="B366" s="36" t="inlineStr">
        <is>
          <t>VA03</t>
        </is>
      </c>
      <c r="C366" s="10">
        <f>IF(COUNT(H366,I366)&lt;2,"",TEXT(H366,"0.00")&amp;" x "&amp;TEXT(I366,"0.00"))</f>
        <v/>
      </c>
      <c r="D366" s="9">
        <f>IF(COUNT(H366,I366)&lt;2,"",ROUND(H366*I366,2))</f>
        <v/>
      </c>
      <c r="E366" s="27" t="n">
        <v>60</v>
      </c>
      <c r="F366" s="30">
        <f>IF(D366="","",ROUND(D366*E366,1))</f>
        <v/>
      </c>
      <c r="G366" s="2" t="n"/>
      <c r="H366" s="37" t="n">
        <v>0.75</v>
      </c>
      <c r="I366" s="37" t="n">
        <v>2.52</v>
      </c>
    </row>
    <row r="367" ht="39.7" customHeight="1">
      <c r="A367" s="18" t="inlineStr">
        <is>
          <t>2</t>
        </is>
      </c>
      <c r="B367" s="35" t="inlineStr">
        <is>
          <t>PAREDES EXTERIORES</t>
        </is>
      </c>
      <c r="C367" s="10" t="n"/>
      <c r="D367" s="10" t="n"/>
      <c r="E367" s="10" t="n"/>
      <c r="F367" s="10" t="n"/>
      <c r="G367" s="2" t="n"/>
      <c r="H367" s="2" t="n"/>
      <c r="I367" s="2" t="n"/>
    </row>
    <row r="368" ht="62" customHeight="1">
      <c r="A368" s="10" t="n"/>
      <c r="B368" s="36" t="inlineStr">
        <is>
          <t>AISLADAS ()</t>
        </is>
      </c>
      <c r="C368" s="10">
        <f>IF(COUNT(H368,I368)&lt;2,"",TEXT(H368,"0.00")&amp;" x "&amp;TEXT(I368,"0.00"))</f>
        <v/>
      </c>
      <c r="D368" s="9">
        <f>IF(COUNT(H368,I368)&lt;2,"",ROUND(H368*I368,2))</f>
        <v/>
      </c>
      <c r="E368" s="27" t="n">
        <v>20</v>
      </c>
      <c r="F368" s="30">
        <f>IF(D368="","",ROUND(D368*E368,1))</f>
        <v/>
      </c>
      <c r="G368" s="2" t="n"/>
      <c r="H368" s="37" t="n">
        <v>2.2</v>
      </c>
      <c r="I368" s="37" t="n">
        <v>3</v>
      </c>
    </row>
    <row r="369" ht="62" customHeight="1">
      <c r="A369" s="10" t="n"/>
      <c r="B369" s="36" t="inlineStr">
        <is>
          <t>AISLADAS ()</t>
        </is>
      </c>
      <c r="C369" s="10">
        <f>IF(COUNT(H369,I369)&lt;2,"",TEXT(H369,"0.00")&amp;" x "&amp;TEXT(I369,"0.00"))</f>
        <v/>
      </c>
      <c r="D369" s="9">
        <f>IF(COUNT(H369,I369)&lt;2,"",ROUND(H369*I369,2))</f>
        <v/>
      </c>
      <c r="E369" s="27" t="n">
        <v>20</v>
      </c>
      <c r="F369" s="30">
        <f>IF(D369="","",ROUND(D369*E369,1))</f>
        <v/>
      </c>
      <c r="G369" s="2" t="n"/>
      <c r="H369" s="37" t="n">
        <v>1.6</v>
      </c>
      <c r="I369" s="37" t="n">
        <v>3</v>
      </c>
    </row>
    <row r="370" ht="62" customHeight="1">
      <c r="A370" s="10" t="n"/>
      <c r="B370" s="36" t="inlineStr">
        <is>
          <t>INTERIORES (    )</t>
        </is>
      </c>
      <c r="C370" s="10">
        <f>IF(COUNT(H370,I370)&lt;2,"",TEXT(H370,"0.00")&amp;" x "&amp;TEXT(I370,"0.00"))</f>
        <v/>
      </c>
      <c r="D370" s="9">
        <f>IF(COUNT(H370,I370)&lt;2,"",ROUND(H370*I370,2))</f>
        <v/>
      </c>
      <c r="E370" s="27" t="n">
        <v>25</v>
      </c>
      <c r="F370" s="30">
        <f>IF(D370="","",ROUND(D370*E370,1))</f>
        <v/>
      </c>
      <c r="G370" s="2" t="n"/>
      <c r="H370" s="37" t="n">
        <v>2.2</v>
      </c>
      <c r="I370" s="37" t="n">
        <v>3</v>
      </c>
    </row>
    <row r="371" ht="62" customHeight="1">
      <c r="A371" s="10" t="n"/>
      <c r="B371" s="36" t="inlineStr">
        <is>
          <t>INTERIORES (    )</t>
        </is>
      </c>
      <c r="C371" s="10">
        <f>IF(COUNT(H371,I371)&lt;2,"",TEXT(H371,"0.00")&amp;" x "&amp;TEXT(I371,"0.00"))</f>
        <v/>
      </c>
      <c r="D371" s="9">
        <f>IF(COUNT(H371,I371)&lt;2,"",ROUND(H371*I371,2))</f>
        <v/>
      </c>
      <c r="E371" s="27" t="n">
        <v>25</v>
      </c>
      <c r="F371" s="30">
        <f>IF(D371="","",ROUND(D371*E371,1))</f>
        <v/>
      </c>
      <c r="G371" s="2" t="n"/>
      <c r="H371" s="37" t="n">
        <v>1.6</v>
      </c>
      <c r="I371" s="37" t="n">
        <v>3</v>
      </c>
    </row>
    <row r="372" ht="39.7" customHeight="1">
      <c r="A372" s="18" t="inlineStr">
        <is>
          <t>3</t>
        </is>
      </c>
      <c r="B372" s="35" t="inlineStr">
        <is>
          <t>TECHOS O CIELORRASOS</t>
        </is>
      </c>
      <c r="C372" s="10" t="n"/>
      <c r="D372" s="10" t="n"/>
      <c r="E372" s="10" t="n"/>
      <c r="F372" s="10" t="n"/>
      <c r="G372" s="2" t="n"/>
      <c r="H372" s="2" t="n"/>
      <c r="I372" s="2" t="n"/>
    </row>
    <row r="373" ht="62" customHeight="1">
      <c r="A373" s="10" t="n"/>
      <c r="B373" s="36" t="inlineStr">
        <is>
          <t>TECHO NO AISLADO</t>
        </is>
      </c>
      <c r="C373" s="10" t="inlineStr"/>
      <c r="D373" s="9">
        <f>IF(COUNT(H373,I373)&lt;2,"",ROUND(H373*I373,2))</f>
        <v/>
      </c>
      <c r="E373" s="27" t="n">
        <v>30</v>
      </c>
      <c r="F373" s="30">
        <f>IF(D373="","",ROUND(D373*E373,1))</f>
        <v/>
      </c>
      <c r="G373" s="2" t="n"/>
      <c r="H373" s="37" t="n"/>
      <c r="I373" s="37" t="n"/>
    </row>
    <row r="374" ht="39.7" customHeight="1">
      <c r="A374" s="10" t="n"/>
      <c r="B374" s="36" t="inlineStr">
        <is>
          <t>TECHO AISLADO</t>
        </is>
      </c>
      <c r="C374" s="10" t="inlineStr">
        <is>
          <t>por croquis</t>
        </is>
      </c>
      <c r="D374" s="9" t="n">
        <v>3.52</v>
      </c>
      <c r="E374" s="27" t="n">
        <v>20</v>
      </c>
      <c r="F374" s="30">
        <f>IF(D374="","",ROUND(D374*E374,1))</f>
        <v/>
      </c>
      <c r="G374" s="2" t="n"/>
      <c r="H374" s="37" t="n"/>
      <c r="I374" s="37" t="n"/>
    </row>
    <row r="375" ht="62" customHeight="1">
      <c r="A375" s="10" t="n"/>
      <c r="B375" s="36" t="inlineStr">
        <is>
          <t>TECHO ENTREPISO</t>
        </is>
      </c>
      <c r="C375" s="10" t="inlineStr"/>
      <c r="D375" s="9">
        <f>IF(COUNT(H375,I375)&lt;2,"",ROUND(H375*I375,2))</f>
        <v/>
      </c>
      <c r="E375" s="27" t="n">
        <v>15</v>
      </c>
      <c r="F375" s="30">
        <f>IF(D375="","",ROUND(D375*E375,1))</f>
        <v/>
      </c>
      <c r="G375" s="2" t="n"/>
      <c r="H375" s="37" t="n"/>
      <c r="I375" s="37" t="n"/>
    </row>
    <row r="376" ht="39.7" customHeight="1">
      <c r="A376" s="18" t="inlineStr">
        <is>
          <t>4</t>
        </is>
      </c>
      <c r="B376" s="35" t="inlineStr">
        <is>
          <t>PISO</t>
        </is>
      </c>
      <c r="C376" s="10" t="n"/>
      <c r="D376" s="10" t="n"/>
      <c r="E376" s="10" t="n"/>
      <c r="F376" s="10" t="n"/>
      <c r="G376" s="2" t="n"/>
      <c r="H376" s="2" t="n"/>
      <c r="I376" s="2" t="n"/>
    </row>
    <row r="377" ht="62" customHeight="1">
      <c r="A377" s="10" t="n"/>
      <c r="B377" s="36" t="inlineStr">
        <is>
          <t>SOBRE TIERRA</t>
        </is>
      </c>
      <c r="C377" s="10" t="inlineStr"/>
      <c r="D377" s="9">
        <f>IF(COUNT(H377,I377)&lt;2,"",ROUND(H377*I377,2))</f>
        <v/>
      </c>
      <c r="E377" s="27" t="n">
        <v>10</v>
      </c>
      <c r="F377" s="30">
        <f>IF(D377="","",ROUND(D377*E377,1))</f>
        <v/>
      </c>
      <c r="G377" s="2" t="n"/>
      <c r="H377" s="37" t="n"/>
      <c r="I377" s="37" t="n"/>
    </row>
    <row r="378" ht="39.7" customHeight="1">
      <c r="A378" s="10" t="n"/>
      <c r="B378" s="36" t="inlineStr">
        <is>
          <t>SOBRE LOCAL OCUPADO</t>
        </is>
      </c>
      <c r="C378" s="10" t="inlineStr">
        <is>
          <t>por croquis</t>
        </is>
      </c>
      <c r="D378" s="9" t="n">
        <v>3.52</v>
      </c>
      <c r="E378" s="27" t="n">
        <v>15</v>
      </c>
      <c r="F378" s="30">
        <f>IF(D378="","",ROUND(D378*E378,1))</f>
        <v/>
      </c>
      <c r="G378" s="2" t="n"/>
      <c r="H378" s="37" t="n"/>
      <c r="I378" s="37" t="n"/>
    </row>
    <row r="379" ht="39.7" customHeight="1">
      <c r="A379" s="18" t="inlineStr">
        <is>
          <t>5</t>
        </is>
      </c>
      <c r="B379" s="35" t="inlineStr">
        <is>
          <t>INFILTRACION</t>
        </is>
      </c>
      <c r="C379" s="10" t="n"/>
      <c r="D379" s="18" t="inlineStr">
        <is>
          <t>VOLUMEN (m3)</t>
        </is>
      </c>
      <c r="E379" s="10" t="n"/>
      <c r="F379" s="10" t="n"/>
      <c r="G379" s="2" t="n"/>
      <c r="H379" s="2" t="n"/>
      <c r="I379" s="2" t="n"/>
    </row>
    <row r="380" ht="62" customHeight="1">
      <c r="A380" s="10" t="n"/>
      <c r="B380" s="36" t="inlineStr">
        <is>
          <t>UNA PARED EXTERIOR</t>
        </is>
      </c>
      <c r="C380" s="10" t="inlineStr"/>
      <c r="D380" s="9">
        <f>IF(COUNT(H380,I380)&lt;2,"",ROUND(H380*I380,2))</f>
        <v/>
      </c>
      <c r="E380" s="27" t="n">
        <v>6</v>
      </c>
      <c r="F380" s="30">
        <f>IF(D380="","",ROUND(D380*E380,1))</f>
        <v/>
      </c>
      <c r="G380" s="2" t="n"/>
      <c r="H380" s="37" t="n"/>
      <c r="I380" s="37" t="n"/>
    </row>
    <row r="381" ht="39.7" customHeight="1">
      <c r="A381" s="10" t="n"/>
      <c r="B381" s="36" t="inlineStr">
        <is>
          <t>DOS PAREDES EXTERIORES</t>
        </is>
      </c>
      <c r="C381" s="10" t="inlineStr">
        <is>
          <t>3.52 m2 x 3.00</t>
        </is>
      </c>
      <c r="D381" s="9" t="n">
        <v>10.56</v>
      </c>
      <c r="E381" s="27" t="n">
        <v>9</v>
      </c>
      <c r="F381" s="30">
        <f>IF(D381="","",ROUND(D381*E381,1))</f>
        <v/>
      </c>
      <c r="G381" s="2" t="n"/>
      <c r="H381" s="37" t="n"/>
      <c r="I381" s="37" t="n"/>
    </row>
    <row r="382" ht="62" customHeight="1">
      <c r="A382" s="10" t="n"/>
      <c r="B382" s="36" t="inlineStr">
        <is>
          <t>TRES O MAS PAREDES EXTERIORES</t>
        </is>
      </c>
      <c r="C382" s="10" t="inlineStr"/>
      <c r="D382" s="9">
        <f>IF(COUNT(H382,I382)&lt;2,"",ROUND(H382*I382,2))</f>
        <v/>
      </c>
      <c r="E382" s="27" t="n">
        <v>12</v>
      </c>
      <c r="F382" s="30">
        <f>IF(D382="","",ROUND(D382*E382,1))</f>
        <v/>
      </c>
      <c r="G382" s="2" t="n"/>
      <c r="H382" s="37" t="n"/>
      <c r="I382" s="37" t="n"/>
    </row>
    <row r="383" ht="70" customHeight="1">
      <c r="A383" s="18" t="inlineStr">
        <is>
          <t>6</t>
        </is>
      </c>
      <c r="B383" s="35" t="inlineStr">
        <is>
          <t>SUBTOTAL</t>
        </is>
      </c>
      <c r="C383" s="10" t="n"/>
      <c r="D383" s="10" t="n"/>
      <c r="E383" s="10" t="n"/>
      <c r="F383" s="38">
        <f>IF(F366="",0,F366)+IF(F368="",0,F368)+IF(F369="",0,F369)+IF(F370="",0,F370)+IF(F371="",0,F371)+IF(F373="",0,F373)+IF(F374="",0,F374)+IF(F375="",0,F375)+IF(F377="",0,F377)+IF(F378="",0,F378)+IF(F380="",0,F380)+IF(F381="",0,F381)+IF(F382="",0,F382)</f>
        <v/>
      </c>
      <c r="G383" s="2" t="n"/>
      <c r="H383" s="2" t="n"/>
      <c r="I383" s="2" t="n"/>
    </row>
    <row r="384" ht="47" customHeight="1">
      <c r="A384" s="18" t="inlineStr">
        <is>
          <t>7</t>
        </is>
      </c>
      <c r="B384" s="35" t="inlineStr">
        <is>
          <t>PERDIDA TOTAL</t>
        </is>
      </c>
      <c r="C384" s="10">
        <f>TEXT(F383,"0.00")&amp;"  X  "&amp;Datos_balance!$B$4&amp;" (FI)  X  "&amp;Datos_balance!$B$5&amp;" (FO)  X  "&amp;Datos_balance!$B$6&amp;" (FZ)"</f>
        <v/>
      </c>
      <c r="D384" s="2" t="n"/>
      <c r="E384" s="2" t="n"/>
      <c r="F384" s="38">
        <f>ROUND(F383*Datos_balance!$B$4*Datos_balance!$B$5*Datos_balance!$B$6,1)</f>
        <v/>
      </c>
      <c r="G384" s="2" t="n"/>
      <c r="H384" s="2" t="n"/>
      <c r="I384" s="2" t="n"/>
    </row>
    <row r="385" ht="39.7" customHeight="1">
      <c r="A385" s="10" t="n"/>
      <c r="B385" s="11" t="inlineStr">
        <is>
          <t>Carga de locales sin emisor</t>
        </is>
      </c>
      <c r="C385" s="10" t="n"/>
      <c r="D385" s="2" t="n"/>
      <c r="E385" s="2" t="n"/>
      <c r="F385" s="30" t="n"/>
      <c r="G385" s="2" t="n"/>
      <c r="H385" s="2" t="n"/>
      <c r="I385" s="2" t="n"/>
    </row>
    <row r="386" ht="39.7" customHeight="1">
      <c r="A386" s="10" t="n"/>
      <c r="B386" s="35" t="inlineStr">
        <is>
          <t>CARGA TOTAL A CUBRIR</t>
        </is>
      </c>
      <c r="C386" s="10" t="n"/>
      <c r="D386" s="2" t="n"/>
      <c r="E386" s="2" t="n"/>
      <c r="F386" s="38">
        <f>F384+IF(F385="",0,F385)</f>
        <v/>
      </c>
      <c r="G386" s="2" t="n"/>
      <c r="H386" s="2" t="n"/>
      <c r="I386" s="2" t="n"/>
    </row>
    <row r="387">
      <c r="A387" s="2" t="n"/>
      <c r="B387" s="2" t="n"/>
      <c r="C387" s="2" t="n"/>
      <c r="D387" s="2" t="n"/>
      <c r="E387" s="2" t="n"/>
      <c r="F387" s="2" t="n"/>
      <c r="G387" s="2" t="n"/>
      <c r="H387" s="2" t="n"/>
      <c r="I387" s="2" t="n"/>
    </row>
    <row r="388" ht="62" customHeight="1">
      <c r="A388" s="10" t="n"/>
      <c r="B388" s="11" t="inlineStr">
        <is>
          <t>Salto termico:  dt = (te+ts)/2 - ti</t>
        </is>
      </c>
      <c r="C388" s="10">
        <f>TEXT((Datos_balance!$B$9+Datos_balance!$B$10)/2,"0")&amp;" - "&amp;TEXT(Datos_balance!$B$11,"0")&amp;" = "&amp;TEXT((Datos_balance!$B$9+Datos_balance!$B$10)/2-Datos_balance!$B$11,"0")&amp;" C"</f>
        <v/>
      </c>
      <c r="D388" s="2" t="n"/>
      <c r="E388" s="2" t="n"/>
      <c r="F388" s="10" t="n"/>
      <c r="G388" s="2" t="n"/>
      <c r="H388" s="2" t="n"/>
      <c r="I388" s="2" t="n"/>
    </row>
    <row r="389" ht="39.7" customHeight="1">
      <c r="A389" s="10" t="n"/>
      <c r="B389" s="11" t="inlineStr">
        <is>
          <t>Kcal/h del toallero Scala/Domino 80</t>
        </is>
      </c>
      <c r="C389" s="27">
        <f>ROUND(Datos_balance!$B$18*Datos_balance!$B$15,0)</f>
        <v/>
      </c>
      <c r="D389" s="2" t="n"/>
      <c r="E389" s="2" t="n"/>
      <c r="F389" s="10" t="n"/>
      <c r="G389" s="2" t="n"/>
      <c r="H389" s="2" t="n"/>
      <c r="I389" s="2" t="n"/>
    </row>
    <row r="390" ht="39.7" customHeight="1">
      <c r="A390" s="10" t="n"/>
      <c r="B390" s="11" t="inlineStr">
        <is>
          <t>Kcal/h del toallero Scala/Domino 150</t>
        </is>
      </c>
      <c r="C390" s="27">
        <f>ROUND(Datos_balance!$B$19*Datos_balance!$B$15,0)</f>
        <v/>
      </c>
      <c r="D390" s="2" t="n"/>
      <c r="E390" s="2" t="n"/>
      <c r="F390" s="10" t="n"/>
      <c r="G390" s="2" t="n"/>
      <c r="H390" s="2" t="n"/>
      <c r="I390" s="2" t="n"/>
    </row>
    <row r="391" ht="47" customHeight="1">
      <c r="A391" s="10" t="n"/>
      <c r="B391" s="11" t="inlineStr">
        <is>
          <t>Toalleros necesarios</t>
        </is>
      </c>
      <c r="C391" s="27">
        <f>IF(F386&lt;=Datos_balance!$B$18*Datos_balance!$B$15,1,ROUNDUP(F386/(Datos_balance!$B$19*Datos_balance!$B$15),0))</f>
        <v/>
      </c>
      <c r="D391" s="2" t="n"/>
      <c r="E391" s="2" t="n"/>
      <c r="F391" s="10" t="n"/>
      <c r="G391" s="2" t="n"/>
      <c r="H391" s="2" t="n"/>
      <c r="I391" s="2" t="n"/>
    </row>
    <row r="392" ht="47" customHeight="1">
      <c r="A392" s="14" t="n"/>
      <c r="B392" s="15" t="inlineStr">
        <is>
          <t>Toallero adoptado</t>
        </is>
      </c>
      <c r="C392" s="14">
        <f>IF(F386&lt;=Datos_balance!$B$18*Datos_balance!$B$15,"Peisa Scala / Domino 80  (500 x 800 mm)","Peisa Scala / Domino 150  (500 x 1500 mm)")</f>
        <v/>
      </c>
      <c r="D392" s="22" t="n"/>
      <c r="E392" s="22" t="n"/>
      <c r="F392" s="14" t="n"/>
      <c r="G392" s="2" t="n"/>
      <c r="H392" s="2" t="n"/>
      <c r="I392"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356:E356"/>
    <mergeCell ref="C130:E130"/>
    <mergeCell ref="C295:E295"/>
    <mergeCell ref="C61:E61"/>
    <mergeCell ref="C359:E359"/>
    <mergeCell ref="C159:E159"/>
    <mergeCell ref="C224:E224"/>
    <mergeCell ref="C32:E32"/>
    <mergeCell ref="C125:E125"/>
    <mergeCell ref="C352:E352"/>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191:E191"/>
    <mergeCell ref="C225:E225"/>
    <mergeCell ref="A1:F1"/>
    <mergeCell ref="C353:E353"/>
    <mergeCell ref="C227:E227"/>
    <mergeCell ref="A363:F363"/>
    <mergeCell ref="C93:E93"/>
    <mergeCell ref="C226:E226"/>
    <mergeCell ref="A264:F264"/>
    <mergeCell ref="C291:E291"/>
    <mergeCell ref="C388:E388"/>
    <mergeCell ref="C188:E188"/>
    <mergeCell ref="C222:E222"/>
    <mergeCell ref="C27:E27"/>
    <mergeCell ref="C132:E132"/>
    <mergeCell ref="A298:F298"/>
    <mergeCell ref="C253:E253"/>
    <mergeCell ref="C327:E327"/>
    <mergeCell ref="C358:E358"/>
    <mergeCell ref="C385:E385"/>
    <mergeCell ref="C66:E66"/>
    <mergeCell ref="C189:E189"/>
    <mergeCell ref="C68:E68"/>
    <mergeCell ref="C288:E288"/>
    <mergeCell ref="C294:E294"/>
    <mergeCell ref="C386:E386"/>
    <mergeCell ref="C97:E97"/>
    <mergeCell ref="C29:E29"/>
    <mergeCell ref="C384:E384"/>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0" t="inlineStr">
        <is>
          <t>MATERIALES</t>
        </is>
      </c>
      <c r="B4" s="3" t="inlineStr">
        <is>
          <t>valor</t>
        </is>
      </c>
      <c r="C4" s="3" t="inlineStr">
        <is>
          <t>unidad</t>
        </is>
      </c>
      <c r="D4" s="2" t="n"/>
      <c r="E4" s="2" t="n"/>
      <c r="F4" s="2" t="n"/>
    </row>
    <row r="5" ht="39.7" customHeight="1">
      <c r="A5" s="41" t="inlineStr">
        <is>
          <t>Hormigon H-21   f'c</t>
        </is>
      </c>
      <c r="B5" s="10" t="n">
        <v>210</v>
      </c>
      <c r="C5" s="10" t="inlineStr">
        <is>
          <t>kg/cm2</t>
        </is>
      </c>
      <c r="D5" s="2" t="n"/>
      <c r="E5" s="2" t="n"/>
      <c r="F5" s="2" t="n"/>
    </row>
    <row r="6" ht="39.7" customHeight="1">
      <c r="A6" s="41" t="inlineStr">
        <is>
          <t>Acero 42/50   fy</t>
        </is>
      </c>
      <c r="B6" s="10" t="n">
        <v>4200</v>
      </c>
      <c r="C6" s="10" t="inlineStr">
        <is>
          <t>kg/cm2</t>
        </is>
      </c>
      <c r="D6" s="2" t="n"/>
      <c r="E6" s="2" t="n"/>
      <c r="F6" s="2" t="n"/>
    </row>
    <row r="7" ht="39.7" customHeight="1">
      <c r="A7" s="41" t="inlineStr">
        <is>
          <t>Peso especifico H.A.</t>
        </is>
      </c>
      <c r="B7" s="10" t="n">
        <v>2400</v>
      </c>
      <c r="C7" s="10" t="inlineStr">
        <is>
          <t>kg/m3</t>
        </is>
      </c>
      <c r="D7" s="2" t="n"/>
      <c r="E7" s="2" t="n"/>
      <c r="F7" s="2" t="n"/>
    </row>
    <row r="8" ht="39.7" customHeight="1">
      <c r="A8" s="41" t="inlineStr">
        <is>
          <t>phi flexion</t>
        </is>
      </c>
      <c r="B8" s="10" t="n">
        <v>0.9</v>
      </c>
      <c r="C8" s="10" t="inlineStr">
        <is>
          <t>-</t>
        </is>
      </c>
      <c r="D8" s="2" t="n"/>
      <c r="E8" s="2" t="n"/>
      <c r="F8" s="2" t="n"/>
    </row>
    <row r="9" ht="39.7" customHeight="1">
      <c r="A9" s="41" t="inlineStr">
        <is>
          <t>phi corte</t>
        </is>
      </c>
      <c r="B9" s="10" t="n">
        <v>0.75</v>
      </c>
      <c r="C9" s="10" t="inlineStr">
        <is>
          <t>-</t>
        </is>
      </c>
      <c r="D9" s="2" t="n"/>
      <c r="E9" s="2" t="n"/>
      <c r="F9" s="2" t="n"/>
    </row>
    <row r="10" ht="39.7" customHeight="1">
      <c r="A10" s="41" t="inlineStr">
        <is>
          <t>Coef. mayoracion permanente</t>
        </is>
      </c>
      <c r="B10" s="10" t="n">
        <v>1.2</v>
      </c>
      <c r="C10" s="10" t="inlineStr">
        <is>
          <t>-</t>
        </is>
      </c>
      <c r="D10" s="2" t="n"/>
      <c r="E10" s="2" t="n"/>
      <c r="F10" s="2" t="n"/>
    </row>
    <row r="11" ht="39.7" customHeight="1">
      <c r="A11" s="41" t="inlineStr">
        <is>
          <t>Coef. mayoracion sobrecarga</t>
        </is>
      </c>
      <c r="B11" s="10" t="n">
        <v>1.6</v>
      </c>
      <c r="C11" s="10" t="inlineStr">
        <is>
          <t>-</t>
        </is>
      </c>
      <c r="D11" s="2" t="n"/>
      <c r="E11" s="2" t="n"/>
      <c r="F11" s="2" t="n"/>
    </row>
    <row r="12">
      <c r="A12" s="2" t="n"/>
      <c r="B12" s="2" t="n"/>
      <c r="C12" s="2" t="n"/>
      <c r="D12" s="2" t="n"/>
      <c r="E12" s="2" t="n"/>
      <c r="F12" s="2" t="n"/>
    </row>
    <row r="13" ht="39.7" customHeight="1">
      <c r="A13" s="40"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2" t="inlineStr">
        <is>
          <t>PA</t>
        </is>
      </c>
      <c r="B14" s="27" t="n">
        <v>550</v>
      </c>
      <c r="C14" s="27" t="n">
        <v>200</v>
      </c>
      <c r="D14" s="9" t="n">
        <v>2.6</v>
      </c>
      <c r="E14" s="9" t="n">
        <v>2</v>
      </c>
      <c r="F14" s="11" t="inlineStr">
        <is>
          <t>Losa 12 cm 300 + contrapiso 130 + carpeta 42 + piso 50 + cielorraso 20</t>
        </is>
      </c>
    </row>
    <row r="15" ht="39.7" customHeight="1">
      <c r="A15" s="42" t="inlineStr">
        <is>
          <t>TECHO</t>
        </is>
      </c>
      <c r="B15" s="27" t="n">
        <v>560</v>
      </c>
      <c r="C15" s="27" t="n">
        <v>100</v>
      </c>
      <c r="D15" s="9" t="n">
        <v>1</v>
      </c>
      <c r="E15" s="9" t="n">
        <v>2</v>
      </c>
      <c r="F15" s="11" t="inlineStr">
        <is>
          <t>Losa 12 cm 300 + contrapiso pendiente 140 + carpeta 42 + aislacion 50 + cielorraso 20</t>
        </is>
      </c>
    </row>
    <row r="16" ht="39.7" customHeight="1">
      <c r="A16" s="41" t="inlineStr">
        <is>
          <t>Mamposteria sobre viga</t>
        </is>
      </c>
      <c r="B16" s="10" t="n">
        <v>250</v>
      </c>
      <c r="C16" s="10" t="inlineStr">
        <is>
          <t>kg/m2</t>
        </is>
      </c>
      <c r="D16" s="2" t="n"/>
      <c r="E16" s="2" t="n"/>
      <c r="F16" s="41" t="inlineStr">
        <is>
          <t>Ladrillo hueco 18 cm + revoque en ambas caras</t>
        </is>
      </c>
    </row>
    <row r="17">
      <c r="A17" s="2" t="n"/>
      <c r="B17" s="2" t="n"/>
      <c r="C17" s="2" t="n"/>
      <c r="D17" s="2" t="n"/>
      <c r="E17" s="2" t="n"/>
      <c r="F17" s="2" t="n"/>
    </row>
    <row r="18" ht="39.7" customHeight="1">
      <c r="A18" s="40" t="inlineStr">
        <is>
          <t>COEFICIENTES SEGUN ESQUEMA</t>
        </is>
      </c>
      <c r="B18" s="3" t="inlineStr">
        <is>
          <t>M tramo</t>
        </is>
      </c>
      <c r="C18" s="3" t="inlineStr">
        <is>
          <t>M apoyo</t>
        </is>
      </c>
      <c r="D18" s="3" t="inlineStr">
        <is>
          <t>Reaccion</t>
        </is>
      </c>
      <c r="E18" s="3" t="inlineStr">
        <is>
          <t>L/d min</t>
        </is>
      </c>
      <c r="F18" s="2" t="n"/>
    </row>
    <row r="19" ht="39.7" customHeight="1">
      <c r="A19" s="41" t="inlineStr">
        <is>
          <t>Simplemente apoyada</t>
        </is>
      </c>
      <c r="B19" s="43" t="n">
        <v>0.125</v>
      </c>
      <c r="C19" s="43" t="n">
        <v>0</v>
      </c>
      <c r="D19" s="43" t="n">
        <v>0.5</v>
      </c>
      <c r="E19" s="30" t="n">
        <v>16</v>
      </c>
      <c r="F19" s="2" t="n"/>
    </row>
    <row r="20" ht="39.7" customHeight="1">
      <c r="A20" s="41" t="inlineStr">
        <is>
          <t>Continua</t>
        </is>
      </c>
      <c r="B20" s="43" t="n">
        <v>0.07142999999999999</v>
      </c>
      <c r="C20" s="43" t="n">
        <v>0.1</v>
      </c>
      <c r="D20" s="43" t="n">
        <v>0.575</v>
      </c>
      <c r="E20" s="30" t="n">
        <v>21</v>
      </c>
      <c r="F20" s="2" t="n"/>
    </row>
    <row r="21" ht="39.7" customHeight="1">
      <c r="A21" s="41" t="inlineStr">
        <is>
          <t>Empotrada-apoyada</t>
        </is>
      </c>
      <c r="B21" s="43" t="n">
        <v>0.07031</v>
      </c>
      <c r="C21" s="43" t="n">
        <v>0.125</v>
      </c>
      <c r="D21" s="43" t="n">
        <v>0.625</v>
      </c>
      <c r="E21" s="30" t="n">
        <v>18.5</v>
      </c>
      <c r="F21" s="2" t="n"/>
    </row>
    <row r="22" ht="39.7" customHeight="1">
      <c r="A22" s="41" t="inlineStr">
        <is>
          <t>Biempotrada</t>
        </is>
      </c>
      <c r="B22" s="43" t="n">
        <v>0.04167</v>
      </c>
      <c r="C22" s="43" t="n">
        <v>0.08333</v>
      </c>
      <c r="D22" s="43" t="n">
        <v>0.5</v>
      </c>
      <c r="E22" s="30" t="n">
        <v>21</v>
      </c>
      <c r="F22" s="2" t="n"/>
    </row>
    <row r="23" ht="39.7" customHeight="1">
      <c r="A23" s="41" t="inlineStr">
        <is>
          <t>Voladizo</t>
        </is>
      </c>
      <c r="B23" s="43" t="n">
        <v>0</v>
      </c>
      <c r="C23" s="43" t="n">
        <v>0.5</v>
      </c>
      <c r="D23" s="43"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0" t="inlineStr">
        <is>
          <t>MATERIALES Y METODO</t>
        </is>
      </c>
      <c r="B4" s="3" t="inlineStr">
        <is>
          <t>valor</t>
        </is>
      </c>
      <c r="C4" s="3" t="inlineStr">
        <is>
          <t>unidad</t>
        </is>
      </c>
      <c r="D4" s="2" t="n"/>
    </row>
    <row r="5" ht="39.7" customHeight="1">
      <c r="A5" s="41" t="inlineStr">
        <is>
          <t>Hormigon H-21   f'c</t>
        </is>
      </c>
      <c r="B5" s="10" t="n">
        <v>210</v>
      </c>
      <c r="C5" s="10" t="inlineStr">
        <is>
          <t>kg/cm2</t>
        </is>
      </c>
      <c r="D5" s="2" t="n"/>
    </row>
    <row r="6" ht="39.7" customHeight="1">
      <c r="A6" s="41" t="inlineStr">
        <is>
          <t>Acero 42/50   fy</t>
        </is>
      </c>
      <c r="B6" s="10" t="n">
        <v>4200</v>
      </c>
      <c r="C6" s="10" t="inlineStr">
        <is>
          <t>kg/cm2</t>
        </is>
      </c>
      <c r="D6" s="2" t="n"/>
    </row>
    <row r="7" ht="39.7" customHeight="1">
      <c r="A7" s="41" t="inlineStr">
        <is>
          <t>Tension admisible del acero</t>
        </is>
      </c>
      <c r="B7" s="10" t="n">
        <v>2400</v>
      </c>
      <c r="C7" s="10" t="inlineStr">
        <is>
          <t>kg/cm2</t>
        </is>
      </c>
      <c r="D7" s="2" t="n"/>
    </row>
    <row r="8" ht="39.7" customHeight="1">
      <c r="A8" s="41" t="inlineStr">
        <is>
          <t>Brazo elastico  z / h</t>
        </is>
      </c>
      <c r="B8" s="10" t="n">
        <v>0.9</v>
      </c>
      <c r="C8" s="10" t="inlineStr">
        <is>
          <t>-</t>
        </is>
      </c>
      <c r="D8" s="2" t="n"/>
    </row>
    <row r="9" ht="39.7" customHeight="1">
      <c r="A9" s="41" t="inlineStr">
        <is>
          <t>Peso especifico H.A.</t>
        </is>
      </c>
      <c r="B9" s="10" t="n">
        <v>2400</v>
      </c>
      <c r="C9" s="10" t="inlineStr">
        <is>
          <t>kg/m3</t>
        </is>
      </c>
      <c r="D9" s="2" t="n"/>
    </row>
    <row r="10" ht="39.7" customHeight="1">
      <c r="A10" s="41" t="inlineStr">
        <is>
          <t>Recubrimiento</t>
        </is>
      </c>
      <c r="B10" s="10" t="n">
        <v>1.5</v>
      </c>
      <c r="C10" s="10" t="inlineStr">
        <is>
          <t>cm</t>
        </is>
      </c>
      <c r="D10" s="2" t="n"/>
    </row>
    <row r="11" ht="39.7" customHeight="1">
      <c r="A11" s="41" t="inlineStr">
        <is>
          <t>Separacion maxima</t>
        </is>
      </c>
      <c r="B11" s="10" t="n">
        <v>20</v>
      </c>
      <c r="C11" s="10" t="inlineStr">
        <is>
          <t>cm</t>
        </is>
      </c>
      <c r="D11" s="2" t="n"/>
    </row>
    <row r="12" ht="39.7" customHeight="1">
      <c r="A12" s="41" t="inlineStr">
        <is>
          <t>Armadura de reparticion</t>
        </is>
      </c>
      <c r="B12" s="10" t="n">
        <v>0.2</v>
      </c>
      <c r="C12" s="10" t="inlineStr">
        <is>
          <t>de la principal</t>
        </is>
      </c>
      <c r="D12" s="2" t="n"/>
    </row>
    <row r="13" ht="39.7" customHeight="1">
      <c r="A13" s="41" t="inlineStr">
        <is>
          <t>Reparticion minima</t>
        </is>
      </c>
      <c r="B13" s="10" t="n">
        <v>0.3</v>
      </c>
      <c r="C13" s="10" t="inlineStr">
        <is>
          <t>cm2/m</t>
        </is>
      </c>
      <c r="D13" s="2" t="n"/>
    </row>
    <row r="14">
      <c r="A14" s="2" t="n"/>
      <c r="B14" s="2" t="n"/>
      <c r="C14" s="2" t="n"/>
      <c r="D14" s="2" t="n"/>
    </row>
    <row r="15" ht="39.7" customHeight="1">
      <c r="A15" s="40" t="inlineStr">
        <is>
          <t>CARGAS POR NIVEL</t>
        </is>
      </c>
      <c r="B15" s="3" t="inlineStr">
        <is>
          <t>terminaciones (kg/m2)</t>
        </is>
      </c>
      <c r="C15" s="3" t="inlineStr">
        <is>
          <t>q (kg/m2)</t>
        </is>
      </c>
      <c r="D15" s="3" t="inlineStr">
        <is>
          <t>composicion</t>
        </is>
      </c>
    </row>
    <row r="16" ht="70" customHeight="1">
      <c r="A16" s="42" t="inlineStr">
        <is>
          <t>S/PB</t>
        </is>
      </c>
      <c r="B16" s="10" t="n">
        <v>242</v>
      </c>
      <c r="C16" s="10" t="n">
        <v>200</v>
      </c>
      <c r="D16" s="11" t="inlineStr">
        <is>
          <t>Contrapiso 130 + carpeta 42 + piso 50 + cielorraso 20.  q vivienda 200</t>
        </is>
      </c>
    </row>
    <row r="17" ht="70" customHeight="1">
      <c r="A17" s="42"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0" t="inlineStr">
        <is>
          <t>GRADO DE EMPOTRAMIENTO</t>
        </is>
      </c>
      <c r="B20" s="3" t="inlineStr">
        <is>
          <t>coef. M</t>
        </is>
      </c>
      <c r="C20" s="3" t="inlineStr">
        <is>
          <t>coef. R</t>
        </is>
      </c>
      <c r="D20" s="3" t="inlineStr">
        <is>
          <t>esquema</t>
        </is>
      </c>
    </row>
    <row r="21" ht="39.7" customHeight="1">
      <c r="A21" s="18" t="inlineStr">
        <is>
          <t>1/8</t>
        </is>
      </c>
      <c r="B21" s="43" t="n">
        <v>0.125</v>
      </c>
      <c r="C21" s="31" t="n">
        <v>0.5</v>
      </c>
      <c r="D21" s="41" t="inlineStr">
        <is>
          <t>Simplemente apoyada</t>
        </is>
      </c>
    </row>
    <row r="22" ht="39.7" customHeight="1">
      <c r="A22" s="18" t="inlineStr">
        <is>
          <t>1/10</t>
        </is>
      </c>
      <c r="B22" s="43" t="n">
        <v>0.1</v>
      </c>
      <c r="C22" s="31" t="n">
        <v>0.55</v>
      </c>
      <c r="D22" s="41" t="inlineStr">
        <is>
          <t>Continua</t>
        </is>
      </c>
    </row>
    <row r="23" ht="39.7" customHeight="1">
      <c r="A23" s="18" t="inlineStr">
        <is>
          <t>1/12</t>
        </is>
      </c>
      <c r="B23" s="43" t="n">
        <v>0.0833</v>
      </c>
      <c r="C23" s="31" t="n">
        <v>0.5</v>
      </c>
      <c r="D23" s="41" t="inlineStr">
        <is>
          <t>Biempotrada</t>
        </is>
      </c>
    </row>
    <row r="24" ht="39.7" customHeight="1">
      <c r="A24" s="18" t="inlineStr">
        <is>
          <t>1/14</t>
        </is>
      </c>
      <c r="B24" s="43" t="n">
        <v>0.07140000000000001</v>
      </c>
      <c r="C24" s="31" t="n">
        <v>0.575</v>
      </c>
      <c r="D24" s="41" t="inlineStr">
        <is>
          <t>Continua</t>
        </is>
      </c>
    </row>
    <row r="25" ht="39.7" customHeight="1">
      <c r="A25" s="18" t="inlineStr">
        <is>
          <t>1/2</t>
        </is>
      </c>
      <c r="B25" s="43" t="n">
        <v>0.5</v>
      </c>
      <c r="C25" s="31" t="n">
        <v>1</v>
      </c>
      <c r="D25" s="41"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0" t="inlineStr">
        <is>
          <t>MATERIALES Y CRITERIOS</t>
        </is>
      </c>
      <c r="B3" s="3" t="inlineStr">
        <is>
          <t>valor</t>
        </is>
      </c>
      <c r="C3" s="3" t="inlineStr">
        <is>
          <t>unidad</t>
        </is>
      </c>
    </row>
    <row r="4" ht="39.7" customHeight="1">
      <c r="A4" s="41" t="inlineStr">
        <is>
          <t>Hormigon H-21   f'c</t>
        </is>
      </c>
      <c r="B4" s="10" t="n">
        <v>210</v>
      </c>
      <c r="C4" s="10" t="inlineStr">
        <is>
          <t>kg/cm2</t>
        </is>
      </c>
    </row>
    <row r="5" ht="39.7" customHeight="1">
      <c r="A5" s="41" t="inlineStr">
        <is>
          <t>Acero 42/50   fy</t>
        </is>
      </c>
      <c r="B5" s="10" t="n">
        <v>4200</v>
      </c>
      <c r="C5" s="10" t="inlineStr">
        <is>
          <t>kg/cm2</t>
        </is>
      </c>
    </row>
    <row r="6" ht="39.7" customHeight="1">
      <c r="A6" s="41" t="inlineStr">
        <is>
          <t>Peso especifico H.A.</t>
        </is>
      </c>
      <c r="B6" s="10" t="n">
        <v>2400</v>
      </c>
      <c r="C6" s="10" t="inlineStr">
        <is>
          <t>kg/m3</t>
        </is>
      </c>
    </row>
    <row r="7" ht="39.7" customHeight="1">
      <c r="A7" s="41" t="inlineStr">
        <is>
          <t>phi compresion (estribos)</t>
        </is>
      </c>
      <c r="B7" s="10" t="n">
        <v>0.65</v>
      </c>
      <c r="C7" s="10" t="inlineStr">
        <is>
          <t>-</t>
        </is>
      </c>
    </row>
    <row r="8" ht="39.7" customHeight="1">
      <c r="A8" s="41" t="inlineStr">
        <is>
          <t>Cuantia minima</t>
        </is>
      </c>
      <c r="B8" s="10" t="n">
        <v>0.008</v>
      </c>
      <c r="C8" s="10" t="inlineStr">
        <is>
          <t>de la seccion</t>
        </is>
      </c>
    </row>
    <row r="9" ht="39.7" customHeight="1">
      <c r="A9" s="41" t="inlineStr">
        <is>
          <t>Altura PB</t>
        </is>
      </c>
      <c r="B9" s="10" t="n">
        <v>3.15</v>
      </c>
      <c r="C9" s="10" t="inlineStr">
        <is>
          <t>m</t>
        </is>
      </c>
    </row>
    <row r="10" ht="39.7" customHeight="1">
      <c r="A10" s="41"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0" t="inlineStr">
        <is>
          <t>PARAMETRO</t>
        </is>
      </c>
      <c r="B3" s="3" t="inlineStr">
        <is>
          <t>valor</t>
        </is>
      </c>
      <c r="C3" s="3" t="inlineStr">
        <is>
          <t>unidad</t>
        </is>
      </c>
      <c r="D3" s="40" t="inlineStr">
        <is>
          <t>origen</t>
        </is>
      </c>
      <c r="E3" s="2" t="n"/>
      <c r="F3" s="2" t="n"/>
    </row>
    <row r="4" ht="39.7" customHeight="1">
      <c r="A4" s="41" t="inlineStr">
        <is>
          <t>Carga admisible por pilote</t>
        </is>
      </c>
      <c r="B4" s="10" t="n">
        <v>22</v>
      </c>
      <c r="C4" s="10" t="inlineStr">
        <is>
          <t>t</t>
        </is>
      </c>
      <c r="D4" s="41" t="inlineStr">
        <is>
          <t>ADOPTADA del propio diseno, NO verificada. Ver nota abajo. Cambiar aca cuando aparezca el estudio de suelos.</t>
        </is>
      </c>
      <c r="E4" s="2" t="n"/>
      <c r="F4" s="2" t="n"/>
    </row>
    <row r="5" ht="39.7" customHeight="1">
      <c r="A5" s="41" t="inlineStr">
        <is>
          <t>Tension admisible del terreno</t>
        </is>
      </c>
      <c r="B5" s="10" t="n">
        <v>2</v>
      </c>
      <c r="C5" s="10" t="inlineStr">
        <is>
          <t>kg/cm2</t>
        </is>
      </c>
      <c r="D5" s="41" t="inlineStr">
        <is>
          <t>Dato real, tomado del encabezado del calculo de bases.</t>
        </is>
      </c>
      <c r="E5" s="2" t="n"/>
      <c r="F5" s="2" t="n"/>
    </row>
    <row r="6" ht="39.7" customHeight="1">
      <c r="A6" s="41" t="inlineStr">
        <is>
          <t>Diametro del pilote</t>
        </is>
      </c>
      <c r="B6" s="10" t="n">
        <v>30</v>
      </c>
      <c r="C6" s="10" t="inlineStr">
        <is>
          <t>cm</t>
        </is>
      </c>
      <c r="D6" s="41" t="inlineStr">
        <is>
          <t>Nota del plano: todos los pilotes son O30.</t>
        </is>
      </c>
      <c r="E6" s="2" t="n"/>
      <c r="F6" s="2" t="n"/>
    </row>
    <row r="7" ht="39.7" customHeight="1">
      <c r="A7" s="41" t="inlineStr">
        <is>
          <t>Profundidad</t>
        </is>
      </c>
      <c r="B7" s="10" t="n">
        <v>-4.5</v>
      </c>
      <c r="C7" s="10" t="inlineStr">
        <is>
          <t>m</t>
        </is>
      </c>
      <c r="D7" s="41" t="inlineStr">
        <is>
          <t>Nota del plano: h = -4,50 m desde la cota +-0,00 de vereda.</t>
        </is>
      </c>
      <c r="E7" s="2" t="n"/>
      <c r="F7" s="2" t="n"/>
    </row>
    <row r="8" ht="39.7" customHeight="1">
      <c r="A8" s="41" t="inlineStr">
        <is>
          <t>Coef. de mayoracion adoptado</t>
        </is>
      </c>
      <c r="B8" s="10" t="n">
        <v>1.4</v>
      </c>
      <c r="C8" s="10" t="inlineStr">
        <is>
          <t>-</t>
        </is>
      </c>
      <c r="D8" s="41"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1" t="inlineStr">
        <is>
          <t>Pilote tipo "A"</t>
        </is>
      </c>
      <c r="B12" s="10" t="n">
        <v>8</v>
      </c>
      <c r="C12" s="10" t="n">
        <v>-4.5</v>
      </c>
      <c r="D12" s="10" t="n">
        <v>-0.4</v>
      </c>
      <c r="E12" s="10" t="n">
        <v>4.6</v>
      </c>
      <c r="F12" s="41" t="inlineStr">
        <is>
          <t>bajo cabezales de 70 cm (CBZ02 y CBZ03)</t>
        </is>
      </c>
    </row>
    <row r="13" ht="39.7" customHeight="1">
      <c r="A13" s="41" t="inlineStr">
        <is>
          <t>Pilote tipo "B"</t>
        </is>
      </c>
      <c r="B13" s="10" t="n">
        <v>5</v>
      </c>
      <c r="C13" s="10" t="n">
        <v>-4.5</v>
      </c>
      <c r="D13" s="10" t="n">
        <v>-0.35</v>
      </c>
      <c r="E13" s="10" t="n">
        <v>4.5</v>
      </c>
      <c r="F13" s="41" t="inlineStr">
        <is>
          <t>bajo cabezales de 65 cm (CBZ01)</t>
        </is>
      </c>
    </row>
    <row r="14" ht="39.7" customHeight="1">
      <c r="A14" s="41" t="inlineStr">
        <is>
          <t>Pilote tipo "C"</t>
        </is>
      </c>
      <c r="B14" s="10" t="n">
        <v>16</v>
      </c>
      <c r="C14" s="10" t="n">
        <v>-4.5</v>
      </c>
      <c r="D14" s="10" t="n">
        <v>-0.05</v>
      </c>
      <c r="E14" s="10" t="n">
        <v>4.35</v>
      </c>
      <c r="F14" s="41" t="inlineStr">
        <is>
          <t>bajo VF de 25x35 y 20x35</t>
        </is>
      </c>
    </row>
    <row r="15" ht="39.7" customHeight="1">
      <c r="A15" s="41" t="inlineStr">
        <is>
          <t>Pilote tipo "D"</t>
        </is>
      </c>
      <c r="B15" s="10" t="n">
        <v>4</v>
      </c>
      <c r="C15" s="10" t="n">
        <v>-4.5</v>
      </c>
      <c r="D15" s="10" t="n">
        <v>-0.1</v>
      </c>
      <c r="E15" s="10" t="n">
        <v>4.4</v>
      </c>
      <c r="F15" s="41"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Transmitancia maxima admitida</t>
        </is>
      </c>
      <c r="B4" s="10" t="n">
        <v>2.9</v>
      </c>
      <c r="C4" s="10" t="inlineStr">
        <is>
          <t>W/m2K</t>
        </is>
      </c>
      <c r="D4" s="41" t="inlineStr">
        <is>
          <t>Es el valor que usa la planilla de la catedra en todas las filas.</t>
        </is>
      </c>
    </row>
    <row r="5" ht="39.7" customHeight="1">
      <c r="A5" s="41" t="inlineStr">
        <is>
          <t>K maximo si los vanos superan el 60% de la fachada</t>
        </is>
      </c>
      <c r="B5" s="10" t="n">
        <v>1.8</v>
      </c>
      <c r="C5" s="10" t="inlineStr">
        <is>
          <t>W/m2K</t>
        </is>
      </c>
      <c r="D5" s="41"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0" t="inlineStr">
        <is>
          <t>descripcion</t>
        </is>
      </c>
      <c r="B9" s="3" t="inlineStr">
        <is>
          <t>K orientativo</t>
        </is>
      </c>
      <c r="C9" s="2" t="n"/>
      <c r="D9" s="2" t="n"/>
    </row>
    <row r="10" ht="39.7" customHeight="1">
      <c r="A10" s="41" t="inlineStr">
        <is>
          <t>DVH 6+9+3+3 (el de obra, aluminio linea A30)</t>
        </is>
      </c>
      <c r="B10" s="10" t="n">
        <v>2.8</v>
      </c>
      <c r="C10" s="2" t="n"/>
      <c r="D10" s="2" t="n"/>
    </row>
    <row r="11" ht="39.7" customHeight="1">
      <c r="A11" s="41" t="inlineStr">
        <is>
          <t>Simple incoloro 3 mm</t>
        </is>
      </c>
      <c r="B11" s="10" t="n">
        <v>5.8</v>
      </c>
      <c r="C11" s="2" t="n"/>
      <c r="D11" s="2" t="n"/>
    </row>
    <row r="12" ht="39.7" customHeight="1">
      <c r="A12" s="41" t="inlineStr">
        <is>
          <t>Simple incoloro 6 mm</t>
        </is>
      </c>
      <c r="B12" s="10" t="n">
        <v>5.7</v>
      </c>
      <c r="C12" s="2" t="n"/>
      <c r="D12" s="2" t="n"/>
    </row>
    <row r="13" ht="39.7" customHeight="1">
      <c r="A13" s="41" t="inlineStr">
        <is>
          <t>DVH Incoloro ext; incoloro interior (3+12+3 mm)</t>
        </is>
      </c>
      <c r="B13" s="10" t="n">
        <v>2.8</v>
      </c>
      <c r="C13" s="2" t="n"/>
      <c r="D13" s="2" t="n"/>
    </row>
    <row r="14" ht="39.7" customHeight="1">
      <c r="A14" s="41" t="inlineStr">
        <is>
          <t>DVH Incoloro ext; incoloro interior (4+12+4 mm)</t>
        </is>
      </c>
      <c r="B14" s="10" t="n">
        <v>2.75</v>
      </c>
      <c r="C14" s="2" t="n"/>
      <c r="D14" s="2" t="n"/>
    </row>
    <row r="15" ht="39.7" customHeight="1">
      <c r="A15" s="41" t="inlineStr">
        <is>
          <t>DVH con lamina de baja emisividad (3+12+3 mm)</t>
        </is>
      </c>
      <c r="B15" s="10" t="n">
        <v>1.8</v>
      </c>
      <c r="C15" s="2" t="n"/>
      <c r="D15" s="2" t="n"/>
    </row>
    <row r="16" ht="39.7" customHeight="1">
      <c r="A16" s="41" t="inlineStr">
        <is>
          <t>DVH con camara de argon (4+16+4 mm)</t>
        </is>
      </c>
      <c r="B16" s="10" t="n">
        <v>1.6</v>
      </c>
      <c r="C16" s="2" t="n"/>
      <c r="D16" s="2" t="n"/>
    </row>
    <row r="17" ht="39.7" customHeight="1">
      <c r="A17" s="41"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0" t="inlineStr">
        <is>
          <t>descripcion</t>
        </is>
      </c>
      <c r="B20" s="3" t="inlineStr">
        <is>
          <t>FES orientativo</t>
        </is>
      </c>
      <c r="C20" s="2" t="n"/>
      <c r="D20" s="2" t="n"/>
    </row>
    <row r="21" ht="39.7" customHeight="1">
      <c r="A21" s="41" t="inlineStr">
        <is>
          <t>Sin Proteccion</t>
        </is>
      </c>
      <c r="B21" s="10" t="n">
        <v>0.88</v>
      </c>
      <c r="C21" s="2" t="n"/>
      <c r="D21" s="2" t="n"/>
    </row>
    <row r="22" ht="39.7" customHeight="1">
      <c r="A22" s="41" t="inlineStr">
        <is>
          <t>Cortina blackout INTERIOR (no computa)</t>
        </is>
      </c>
      <c r="B22" s="10" t="n">
        <v>0.88</v>
      </c>
      <c r="C22" s="2" t="n"/>
      <c r="D22" s="2" t="n"/>
    </row>
    <row r="23" ht="39.7" customHeight="1">
      <c r="A23" s="41" t="inlineStr">
        <is>
          <t>Parasol horizontal fijo 1:2</t>
        </is>
      </c>
      <c r="B23" s="10" t="n">
        <v>0.35</v>
      </c>
      <c r="C23" s="2" t="n"/>
      <c r="D23" s="2" t="n"/>
    </row>
    <row r="24" ht="39.7" customHeight="1">
      <c r="A24" s="41" t="inlineStr">
        <is>
          <t>Parasol horizontal fijo 1:1</t>
        </is>
      </c>
      <c r="B24" s="10" t="n">
        <v>0.5</v>
      </c>
      <c r="C24" s="2" t="n"/>
      <c r="D24" s="2" t="n"/>
    </row>
    <row r="25" ht="39.7" customHeight="1">
      <c r="A25" s="41" t="inlineStr">
        <is>
          <t>Alero</t>
        </is>
      </c>
      <c r="B25" s="10" t="n">
        <v>0.6</v>
      </c>
      <c r="C25" s="2" t="n"/>
      <c r="D25" s="2" t="n"/>
    </row>
    <row r="26" ht="39.7" customHeight="1">
      <c r="A26" s="41" t="inlineStr">
        <is>
          <t>Cortina de enrollar exterior</t>
        </is>
      </c>
      <c r="B26" s="10" t="n">
        <v>0.25</v>
      </c>
      <c r="C26" s="2" t="n"/>
      <c r="D26" s="2" t="n"/>
    </row>
    <row r="27" ht="39.7" customHeight="1">
      <c r="A27" s="41" t="inlineStr">
        <is>
          <t>Persiana de madera</t>
        </is>
      </c>
      <c r="B27" s="10" t="n">
        <v>0.3</v>
      </c>
      <c r="C27" s="2" t="n"/>
      <c r="D27" s="2" t="n"/>
    </row>
    <row r="28" ht="39.7" customHeight="1">
      <c r="A28" s="41"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0" t="inlineStr">
        <is>
          <t>local</t>
        </is>
      </c>
      <c r="B30" s="3" t="inlineStr">
        <is>
          <t>ilum. (m2)</t>
        </is>
      </c>
      <c r="C30" s="3" t="inlineStr">
        <is>
          <t>vent. (m2)</t>
        </is>
      </c>
      <c r="D30" s="2" t="n"/>
    </row>
    <row r="31" ht="39.7" customHeight="1">
      <c r="A31" s="41" t="inlineStr">
        <is>
          <t>01 - Cocina / comedor</t>
        </is>
      </c>
      <c r="B31" s="10" t="n">
        <v>16.95</v>
      </c>
      <c r="C31" s="10" t="n">
        <v>8.48</v>
      </c>
      <c r="D31" s="2" t="n"/>
    </row>
    <row r="32" ht="39.7" customHeight="1">
      <c r="A32" s="41" t="inlineStr">
        <is>
          <t>03 - Lavadero</t>
        </is>
      </c>
      <c r="B32" s="10" t="n">
        <v>10.5</v>
      </c>
      <c r="C32" s="10" t="n">
        <v>1.6</v>
      </c>
      <c r="D32" s="2" t="n"/>
    </row>
    <row r="33" ht="39.7" customHeight="1">
      <c r="A33" s="41" t="inlineStr">
        <is>
          <t>06 - Living / comedor</t>
        </is>
      </c>
      <c r="B33" s="10" t="n">
        <v>34.05</v>
      </c>
      <c r="C33" s="10" t="n">
        <v>15</v>
      </c>
      <c r="D33" s="2" t="n"/>
    </row>
    <row r="34" ht="39.7" customHeight="1">
      <c r="A34" s="41" t="inlineStr">
        <is>
          <t>07 - Hall / ingreso</t>
        </is>
      </c>
      <c r="B34" s="10" t="n">
        <v>10.5</v>
      </c>
      <c r="C34" s="10" t="n">
        <v>1.6</v>
      </c>
      <c r="D34" s="2" t="n"/>
    </row>
    <row r="35" ht="39.7" customHeight="1">
      <c r="A35" s="41" t="inlineStr">
        <is>
          <t>09 - Dormitorio suite</t>
        </is>
      </c>
      <c r="B35" s="10" t="n">
        <v>6</v>
      </c>
      <c r="C35" s="10" t="n">
        <v>3</v>
      </c>
      <c r="D35" s="2" t="n"/>
    </row>
    <row r="36" ht="39.7" customHeight="1">
      <c r="A36" s="41" t="inlineStr">
        <is>
          <t>13 - Dormitorio 1</t>
        </is>
      </c>
      <c r="B36" s="10" t="n">
        <v>8.75</v>
      </c>
      <c r="C36" s="10" t="n">
        <v>4.38</v>
      </c>
      <c r="D36" s="2" t="n"/>
    </row>
    <row r="37" ht="39.7" customHeight="1">
      <c r="A37" s="41" t="inlineStr">
        <is>
          <t>14 - Estar / Playroom</t>
        </is>
      </c>
      <c r="B37" s="10" t="n">
        <v>5</v>
      </c>
      <c r="C37" s="10" t="n">
        <v>5</v>
      </c>
      <c r="D37" s="2" t="n"/>
    </row>
    <row r="38" ht="39.7" customHeight="1">
      <c r="A38" s="41" t="inlineStr">
        <is>
          <t>15 - Dormitorio 2</t>
        </is>
      </c>
      <c r="B38" s="10" t="n">
        <v>3.75</v>
      </c>
      <c r="C38" s="10" t="n">
        <v>1.88</v>
      </c>
      <c r="D38" s="2" t="n"/>
    </row>
    <row r="39" ht="39.7" customHeight="1">
      <c r="A39" s="41" t="inlineStr">
        <is>
          <t>17 - Bano</t>
        </is>
      </c>
      <c r="B39" s="10" t="n">
        <v>1.875</v>
      </c>
      <c r="C39" s="10" t="n">
        <v>0.9399999999999999</v>
      </c>
      <c r="D39" s="2" t="n"/>
    </row>
    <row r="40" ht="39.7" customHeight="1">
      <c r="A40" s="42"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0" t="inlineStr">
        <is>
          <t>orientacion</t>
        </is>
      </c>
      <c r="B45" s="3" t="inlineStr">
        <is>
          <t>FES max</t>
        </is>
      </c>
      <c r="C45" s="3" t="inlineStr">
        <is>
          <t>cuadrante</t>
        </is>
      </c>
      <c r="D45" s="40" t="inlineStr">
        <is>
          <t>observacion</t>
        </is>
      </c>
    </row>
    <row r="46" ht="39.7" customHeight="1">
      <c r="A46" s="41" t="inlineStr">
        <is>
          <t>Norte</t>
        </is>
      </c>
      <c r="B46" s="10" t="n">
        <v>0.45</v>
      </c>
      <c r="C46" s="10" t="inlineStr">
        <is>
          <t>341 a 20 grados</t>
        </is>
      </c>
      <c r="D46" s="41" t="inlineStr">
        <is>
          <t>Cuadrante Norte (NNE-NNO).</t>
        </is>
      </c>
    </row>
    <row r="47" ht="39.7" customHeight="1">
      <c r="A47" s="41" t="inlineStr">
        <is>
          <t>Este</t>
        </is>
      </c>
      <c r="B47" s="10" t="n">
        <v>0.3</v>
      </c>
      <c r="C47" s="10" t="inlineStr">
        <is>
          <t>21 a 160 grados</t>
        </is>
      </c>
      <c r="D47" s="41" t="inlineStr">
        <is>
          <t>Modificado a 0,39 por decreto de 2021. Verificar vigencia.</t>
        </is>
      </c>
    </row>
    <row r="48" ht="39.7" customHeight="1">
      <c r="A48" s="41" t="inlineStr">
        <is>
          <t>Oeste</t>
        </is>
      </c>
      <c r="B48" s="10" t="n">
        <v>0.3</v>
      </c>
      <c r="C48" s="10" t="inlineStr">
        <is>
          <t>201 a 340 grados</t>
        </is>
      </c>
      <c r="D48" s="41" t="inlineStr">
        <is>
          <t>Modificado a 0,39 por decreto de 2021. Verificar vigencia.</t>
        </is>
      </c>
    </row>
    <row r="49" ht="39.7" customHeight="1">
      <c r="A49" s="41" t="inlineStr">
        <is>
          <t>Sur</t>
        </is>
      </c>
      <c r="B49" s="10" t="n">
        <v>0.9</v>
      </c>
      <c r="C49" s="10" t="inlineStr">
        <is>
          <t>161 a 200 grados</t>
        </is>
      </c>
      <c r="D49" s="41" t="inlineStr">
        <is>
          <t>Cuadrante Sur (SSE-SSO).</t>
        </is>
      </c>
    </row>
    <row r="50" ht="39.7" customHeight="1">
      <c r="A50" s="41" t="inlineStr">
        <is>
          <t>Noreste</t>
        </is>
      </c>
      <c r="B50" s="10" t="n">
        <v>0.3</v>
      </c>
      <c r="C50" s="10" t="inlineStr">
        <is>
          <t>cae en cuadrante Este</t>
        </is>
      </c>
      <c r="D50" s="41" t="inlineStr">
        <is>
          <t>45 grados: entra en el cuadrante Este (21 a 160).</t>
        </is>
      </c>
    </row>
    <row r="51" ht="39.7" customHeight="1">
      <c r="A51" s="41" t="inlineStr">
        <is>
          <t>Sudeste</t>
        </is>
      </c>
      <c r="B51" s="10" t="n">
        <v>0.3</v>
      </c>
      <c r="C51" s="10" t="inlineStr">
        <is>
          <t>cae en cuadrante Este</t>
        </is>
      </c>
      <c r="D51" s="41" t="inlineStr">
        <is>
          <t>135 grados: entra en el cuadrante Este (21 a 160).</t>
        </is>
      </c>
    </row>
    <row r="52" ht="39.7" customHeight="1">
      <c r="A52" s="41" t="inlineStr">
        <is>
          <t>Sudoeste</t>
        </is>
      </c>
      <c r="B52" s="10" t="n">
        <v>0.3</v>
      </c>
      <c r="C52" s="10" t="inlineStr">
        <is>
          <t>cae en cuadrante Oeste</t>
        </is>
      </c>
      <c r="D52" s="41" t="inlineStr">
        <is>
          <t>225 grados: entra en el cuadrante Oeste (201 a 340).</t>
        </is>
      </c>
    </row>
    <row r="53" ht="39.7" customHeight="1">
      <c r="A53" s="41" t="inlineStr">
        <is>
          <t>Noroeste</t>
        </is>
      </c>
      <c r="B53" s="10" t="n">
        <v>0.3</v>
      </c>
      <c r="C53" s="10" t="inlineStr">
        <is>
          <t>cae en cuadrante Oeste</t>
        </is>
      </c>
      <c r="D53" s="41" t="inlineStr">
        <is>
          <t>315 grados: entra en el cuadrante Oeste (201 a 340).</t>
        </is>
      </c>
    </row>
    <row r="54" ht="39.7" customHeight="1">
      <c r="A54" s="41" t="inlineStr">
        <is>
          <t>Horizontal</t>
        </is>
      </c>
      <c r="B54" s="10" t="n">
        <v>0.25</v>
      </c>
      <c r="C54" s="10" t="inlineStr">
        <is>
          <t>lucernarios</t>
        </is>
      </c>
      <c r="D54" s="41"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FI - factor de interrupcion</t>
        </is>
      </c>
      <c r="B4" s="10" t="n">
        <v>1.07</v>
      </c>
      <c r="C4" s="10" t="inlineStr">
        <is>
          <t>-</t>
        </is>
      </c>
      <c r="D4" s="41" t="inlineStr">
        <is>
          <t>Del formulario modelo.</t>
        </is>
      </c>
    </row>
    <row r="5" ht="39.7" customHeight="1">
      <c r="A5" s="41" t="inlineStr">
        <is>
          <t>FO - factor de orientacion</t>
        </is>
      </c>
      <c r="B5" s="10" t="n">
        <v>1</v>
      </c>
      <c r="C5" s="10" t="inlineStr">
        <is>
          <t>-</t>
        </is>
      </c>
      <c r="D5" s="41" t="inlineStr">
        <is>
          <t>FALTA la tabla de la catedra. Se adopta 1,00.</t>
        </is>
      </c>
    </row>
    <row r="6" ht="39.7" customHeight="1">
      <c r="A6" s="41" t="inlineStr">
        <is>
          <t>FZ - factor de zona</t>
        </is>
      </c>
      <c r="B6" s="10" t="n">
        <v>1</v>
      </c>
      <c r="C6" s="10" t="inlineStr">
        <is>
          <t>-</t>
        </is>
      </c>
      <c r="D6" s="41" t="inlineStr">
        <is>
          <t>FALTA la tabla de la catedra. Se adopta 1,00.</t>
        </is>
      </c>
    </row>
    <row r="7">
      <c r="A7" s="2" t="n"/>
      <c r="B7" s="2" t="n"/>
      <c r="C7" s="2" t="n"/>
      <c r="D7" s="2" t="n"/>
    </row>
    <row r="8" ht="39.7" customHeight="1">
      <c r="A8" s="24" t="inlineStr">
        <is>
          <t>TEMPERATURAS</t>
        </is>
      </c>
      <c r="B8" s="2" t="n"/>
      <c r="C8" s="2" t="n"/>
      <c r="D8" s="2" t="n"/>
    </row>
    <row r="9" ht="39.7" customHeight="1">
      <c r="A9" s="41" t="inlineStr">
        <is>
          <t>te - temperatura de ida del agua</t>
        </is>
      </c>
      <c r="B9" s="10" t="n">
        <v>90</v>
      </c>
      <c r="C9" s="10" t="inlineStr">
        <is>
          <t>C</t>
        </is>
      </c>
      <c r="D9" s="41" t="inlineStr">
        <is>
          <t>Del formulario modelo.</t>
        </is>
      </c>
    </row>
    <row r="10" ht="39.7" customHeight="1">
      <c r="A10" s="41" t="inlineStr">
        <is>
          <t>ts - temperatura de retorno</t>
        </is>
      </c>
      <c r="B10" s="10" t="n">
        <v>82</v>
      </c>
      <c r="C10" s="10" t="inlineStr">
        <is>
          <t>C</t>
        </is>
      </c>
      <c r="D10" s="41" t="inlineStr">
        <is>
          <t>Del formulario modelo.</t>
        </is>
      </c>
    </row>
    <row r="11" ht="39.7" customHeight="1">
      <c r="A11" s="41" t="inlineStr">
        <is>
          <t>ti - temperatura interior de diseno</t>
        </is>
      </c>
      <c r="B11" s="10" t="n">
        <v>20</v>
      </c>
      <c r="C11" s="10" t="inlineStr">
        <is>
          <t>C</t>
        </is>
      </c>
      <c r="D11" s="41"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1" t="inlineStr">
        <is>
          <t>Kcal/h por elemento del radiador</t>
        </is>
      </c>
      <c r="B14" s="10" t="n">
        <v>245</v>
      </c>
      <c r="C14" s="10" t="inlineStr">
        <is>
          <t>Kcal/h</t>
        </is>
      </c>
      <c r="D14" s="41" t="inlineStr">
        <is>
          <t>Peisa Tropical 80-500, valor de catalogo a salto termico 60 C.</t>
        </is>
      </c>
    </row>
    <row r="15" ht="39.7" customHeight="1">
      <c r="A15" s="41" t="inlineStr">
        <is>
          <t>Factor de correccion por salto termico</t>
        </is>
      </c>
      <c r="B15" s="10" t="n">
        <v>1.12</v>
      </c>
      <c r="C15" s="10" t="inlineStr">
        <is>
          <t>-</t>
        </is>
      </c>
      <c r="D15" s="41" t="inlineStr">
        <is>
          <t>Pasa del salto de catalogo (60 C) al de la instalacion (66 C). (66/60)^1,3 = 1,13.</t>
        </is>
      </c>
    </row>
    <row r="16" ht="39.7" customHeight="1">
      <c r="A16" s="41" t="inlineStr">
        <is>
          <t>Ancho de cada elemento</t>
        </is>
      </c>
      <c r="B16" s="10" t="n">
        <v>8</v>
      </c>
      <c r="C16" s="10" t="inlineStr">
        <is>
          <t>cm</t>
        </is>
      </c>
      <c r="D16" s="41" t="inlineStr">
        <is>
          <t>Peisa Tropical: 80 mm por elemento.</t>
        </is>
      </c>
    </row>
    <row r="17" ht="39.7" customHeight="1">
      <c r="A17" s="24" t="inlineStr">
        <is>
          <t>TOALLEROS (banos)</t>
        </is>
      </c>
      <c r="B17" s="2" t="n"/>
      <c r="C17" s="2" t="n"/>
      <c r="D17" s="2" t="n"/>
    </row>
    <row r="18" ht="39.7" customHeight="1">
      <c r="A18" s="41" t="inlineStr">
        <is>
          <t>Toallero Scala / Domino 80</t>
        </is>
      </c>
      <c r="B18" s="10" t="n">
        <v>632</v>
      </c>
      <c r="C18" s="10" t="inlineStr">
        <is>
          <t>Kcal/h</t>
        </is>
      </c>
      <c r="D18" s="41" t="inlineStr">
        <is>
          <t>500 x 800 mm. Valor de catalogo a 60 C.</t>
        </is>
      </c>
    </row>
    <row r="19" ht="39.7" customHeight="1">
      <c r="A19" s="41" t="inlineStr">
        <is>
          <t>Toallero Scala / Domino 150</t>
        </is>
      </c>
      <c r="B19" s="10" t="n">
        <v>1174</v>
      </c>
      <c r="C19" s="10" t="inlineStr">
        <is>
          <t>Kcal/h</t>
        </is>
      </c>
      <c r="D19" s="41"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0" t="inlineStr">
        <is>
          <t>elemento</t>
        </is>
      </c>
      <c r="B22" s="3" t="inlineStr">
        <is>
          <t>factor</t>
        </is>
      </c>
      <c r="C22" s="2" t="n"/>
      <c r="D22" s="2" t="n"/>
    </row>
    <row r="23" ht="39.7" customHeight="1">
      <c r="A23" s="41" t="inlineStr">
        <is>
          <t>Ventana</t>
        </is>
      </c>
      <c r="B23" s="10" t="n">
        <v>60</v>
      </c>
      <c r="C23" s="2" t="n"/>
      <c r="D23" s="2" t="n"/>
    </row>
    <row r="24" ht="39.7" customHeight="1">
      <c r="A24" s="41" t="inlineStr">
        <is>
          <t>Pared exterior aislada</t>
        </is>
      </c>
      <c r="B24" s="10" t="n">
        <v>20</v>
      </c>
      <c r="C24" s="2" t="n"/>
      <c r="D24" s="2" t="n"/>
    </row>
    <row r="25" ht="39.7" customHeight="1">
      <c r="A25" s="41" t="inlineStr">
        <is>
          <t>Pared interior</t>
        </is>
      </c>
      <c r="B25" s="10" t="n">
        <v>25</v>
      </c>
      <c r="C25" s="2" t="n"/>
      <c r="D25" s="2" t="n"/>
    </row>
    <row r="26" ht="39.7" customHeight="1">
      <c r="A26" s="41" t="inlineStr">
        <is>
          <t>Techo no aislado</t>
        </is>
      </c>
      <c r="B26" s="10" t="n">
        <v>30</v>
      </c>
      <c r="C26" s="2" t="n"/>
      <c r="D26" s="2" t="n"/>
    </row>
    <row r="27" ht="39.7" customHeight="1">
      <c r="A27" s="41" t="inlineStr">
        <is>
          <t>Techo aislado</t>
        </is>
      </c>
      <c r="B27" s="10" t="n">
        <v>20</v>
      </c>
      <c r="C27" s="2" t="n"/>
      <c r="D27" s="2" t="n"/>
    </row>
    <row r="28" ht="39.7" customHeight="1">
      <c r="A28" s="41" t="inlineStr">
        <is>
          <t>Techo entrepiso</t>
        </is>
      </c>
      <c r="B28" s="10" t="n">
        <v>15</v>
      </c>
      <c r="C28" s="2" t="n"/>
      <c r="D28" s="2" t="n"/>
    </row>
    <row r="29" ht="39.7" customHeight="1">
      <c r="A29" s="41" t="inlineStr">
        <is>
          <t>Piso sobre tierra</t>
        </is>
      </c>
      <c r="B29" s="10" t="n">
        <v>10</v>
      </c>
      <c r="C29" s="2" t="n"/>
      <c r="D29" s="2" t="n"/>
    </row>
    <row r="30" ht="39.7" customHeight="1">
      <c r="A30" s="41" t="inlineStr">
        <is>
          <t>Piso sobre local ocupado</t>
        </is>
      </c>
      <c r="B30" s="10" t="n">
        <v>15</v>
      </c>
      <c r="C30" s="2" t="n"/>
      <c r="D30" s="2" t="n"/>
    </row>
    <row r="31" ht="39.7" customHeight="1">
      <c r="A31" s="41" t="inlineStr">
        <is>
          <t>Infiltracion, una pared exterior</t>
        </is>
      </c>
      <c r="B31" s="10" t="n">
        <v>6</v>
      </c>
      <c r="C31" s="2" t="n"/>
      <c r="D31" s="2" t="n"/>
    </row>
    <row r="32" ht="39.7" customHeight="1">
      <c r="A32" s="41" t="inlineStr">
        <is>
          <t>Infiltracion, dos paredes exteriores</t>
        </is>
      </c>
      <c r="B32" s="10" t="n">
        <v>9</v>
      </c>
      <c r="C32" s="2" t="n"/>
      <c r="D32" s="2" t="n"/>
    </row>
    <row r="33" ht="39.7" customHeight="1">
      <c r="A33" s="41"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4" t="inlineStr">
        <is>
          <t>MEMORIA - ILUMINACION Y VENTILACION</t>
        </is>
      </c>
      <c r="B1" s="44" t="inlineStr"/>
    </row>
    <row r="2" ht="39.7" customHeight="1">
      <c r="A2" s="44" t="inlineStr"/>
      <c r="B2" s="45" t="inlineStr"/>
    </row>
    <row r="3" ht="39.7" customHeight="1">
      <c r="A3" s="44" t="inlineStr">
        <is>
          <t>CRITERIO</t>
        </is>
      </c>
      <c r="B3" s="44" t="inlineStr">
        <is>
          <t>Area de iluminacion requerida = superficie del local / 9</t>
        </is>
      </c>
    </row>
    <row r="4" ht="39.7" customHeight="1">
      <c r="A4" s="44" t="inlineStr"/>
      <c r="B4" s="45" t="inlineStr">
        <is>
          <t>Area de ventilacion requerida = un tercio de la de iluminacion = superficie / 27</t>
        </is>
      </c>
    </row>
    <row r="5" ht="39.7" customHeight="1">
      <c r="A5" s="44" t="inlineStr"/>
      <c r="B5" s="45" t="inlineStr">
        <is>
          <t>Area proyectada: la vidriada de la carpinteria para iluminacion, y la parte que</t>
        </is>
      </c>
    </row>
    <row r="6" ht="39.7" customHeight="1">
      <c r="A6" s="44" t="inlineStr"/>
      <c r="B6" s="45" t="inlineStr">
        <is>
          <t>realmente abre para ventilacion.</t>
        </is>
      </c>
    </row>
    <row r="7" ht="39.7" customHeight="1">
      <c r="A7" s="44" t="inlineStr"/>
      <c r="B7" s="45" t="inlineStr"/>
    </row>
    <row r="8" ht="39.7" customHeight="1">
      <c r="A8" s="44" t="inlineStr">
        <is>
          <t>RESULTADO</t>
        </is>
      </c>
      <c r="B8" s="44" t="inlineStr">
        <is>
          <t>Los trece locales cumplen holgadamente iluminacion y ventilacion.</t>
        </is>
      </c>
    </row>
    <row r="9" ht="39.7" customHeight="1">
      <c r="A9" s="44" t="inlineStr"/>
      <c r="B9" s="45" t="inlineStr"/>
    </row>
    <row r="10" ht="39.7" customHeight="1">
      <c r="A10" s="44" t="inlineStr">
        <is>
          <t>CORRECCION</t>
        </is>
      </c>
      <c r="B10" s="44" t="inlineStr">
        <is>
          <t>Local 07, Hall / ingreso: la planilla original traia 0,66 y 0,22, que son los</t>
        </is>
      </c>
    </row>
    <row r="11" ht="39.7" customHeight="1">
      <c r="A11" s="44" t="inlineStr"/>
      <c r="B11" s="45" t="inlineStr">
        <is>
          <t>valores del local 03 (Lavadero, 6,0 m2). Con sus 3,50 x 2,15 = 7,53 m2 corresponden</t>
        </is>
      </c>
    </row>
    <row r="12" ht="39.7" customHeight="1">
      <c r="A12" s="44" t="inlineStr"/>
      <c r="B12" s="45" t="inlineStr">
        <is>
          <t>0,84 y 0,28. No cambia el resultado, pero el numero no cerraba con la superficie</t>
        </is>
      </c>
    </row>
    <row r="13" ht="39.7" customHeight="1">
      <c r="A13" s="44" t="inlineStr"/>
      <c r="B13" s="45" t="inlineStr">
        <is>
          <t>declarada y un verificador lo puede observar.</t>
        </is>
      </c>
    </row>
    <row r="14" ht="39.7" customHeight="1">
      <c r="A14" s="44" t="inlineStr"/>
      <c r="B14" s="45" t="inlineStr"/>
    </row>
    <row r="15" ht="39.7" customHeight="1">
      <c r="A15" s="44" t="inlineStr">
        <is>
          <t>A REVISAR</t>
        </is>
      </c>
      <c r="B15" s="44" t="inlineStr">
        <is>
          <t>Local 14, Estar / Playroom: declara 5,00 m2 de ventilacion sobre 5,00 m2 de</t>
        </is>
      </c>
    </row>
    <row r="16" ht="39.7" customHeight="1">
      <c r="A16" s="44" t="inlineStr"/>
      <c r="B16" s="45" t="inlineStr">
        <is>
          <t>iluminacion, es decir una carpinteria enteramente abrible. En los demas locales</t>
        </is>
      </c>
    </row>
    <row r="17" ht="39.7" customHeight="1">
      <c r="A17" s="44" t="inlineStr"/>
      <c r="B17" s="45" t="inlineStr">
        <is>
          <t>la relacion es del 50 por ciento. Conviene verificar la carpinteria real.</t>
        </is>
      </c>
    </row>
    <row r="18" ht="39.7" customHeight="1">
      <c r="A18" s="44" t="inlineStr"/>
      <c r="B18" s="45" t="inlineStr"/>
    </row>
    <row r="19" ht="39.7" customHeight="1">
      <c r="A19" s="44" t="inlineStr"/>
      <c r="B19" s="45" t="inlineStr">
        <is>
          <t>Local 02, Deposito: figura sin exigencia por no ser habitable. Son 11,8 m2</t>
        </is>
      </c>
    </row>
    <row r="20" ht="39.7" customHeight="1">
      <c r="A20" s="44" t="inlineStr"/>
      <c r="B20" s="45" t="inlineStr">
        <is>
          <t>cerrados: si se lo considera habitable hay que preverle conducto.</t>
        </is>
      </c>
    </row>
    <row r="21" ht="39.7" customHeight="1">
      <c r="A21" s="44" t="inlineStr"/>
      <c r="B21" s="45" t="inlineStr"/>
    </row>
    <row r="22" ht="39.7" customHeight="1">
      <c r="A22" s="44" t="inlineStr">
        <is>
          <t>REDONDEOS</t>
        </is>
      </c>
      <c r="B22" s="44" t="inlineStr">
        <is>
          <t>Diferencias menores que no afectan: local 03 da 5,95 m2 y figura 6,0;</t>
        </is>
      </c>
    </row>
    <row r="23" ht="39.7" customHeight="1">
      <c r="A23" s="44" t="inlineStr"/>
      <c r="B23" s="45"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VIGAS H°A°</t>
        </is>
      </c>
      <c r="B1" s="44" t="inlineStr"/>
    </row>
    <row r="2" ht="39.7" customHeight="1">
      <c r="A2" s="44" t="inlineStr"/>
      <c r="B2" s="45" t="inlineStr"/>
    </row>
    <row r="3" ht="39.7" customHeight="1">
      <c r="A3" s="44" t="inlineStr">
        <is>
          <t>NORMATIVA</t>
        </is>
      </c>
      <c r="B3" s="44" t="inlineStr">
        <is>
          <t>CIRSOC 201. Hormigon H-21 (f'c 210 kg/cm2). Acero 42/50 (fy 4200 kg/cm2).</t>
        </is>
      </c>
    </row>
    <row r="4" ht="39.7" customHeight="1">
      <c r="A4" s="44" t="inlineStr">
        <is>
          <t>UNIDADES</t>
        </is>
      </c>
      <c r="B4" s="44" t="inlineStr">
        <is>
          <t>Longitudes en m y cm. Cargas en kg/m. Momentos en kgm. Tensiones en kg/cm2.</t>
        </is>
      </c>
    </row>
    <row r="5" ht="39.7" customHeight="1">
      <c r="A5" s="44" t="inlineStr">
        <is>
          <t>DIMENSIONES</t>
        </is>
      </c>
      <c r="B5" s="44" t="inlineStr">
        <is>
          <t>b = ancho | h = altura util | d = altura total (igual criterio que la planilla de catedra).</t>
        </is>
      </c>
    </row>
    <row r="6" ht="39.7" customHeight="1">
      <c r="A6" s="44" t="inlineStr"/>
      <c r="B6" s="45" t="inlineStr"/>
    </row>
    <row r="7" ht="39.7" customHeight="1">
      <c r="A7" s="44" t="inlineStr">
        <is>
          <t>1. CARGAS</t>
        </is>
      </c>
      <c r="B7" s="44" t="inlineStr"/>
    </row>
    <row r="8" ht="39.7" customHeight="1">
      <c r="A8" s="44" t="inlineStr">
        <is>
          <t>Entrepiso PA</t>
        </is>
      </c>
      <c r="B8" s="45" t="inlineStr">
        <is>
          <t>Losa maciza 12 cm 300 + contrapiso 130 + carpeta 42 + piso 50 + cielorraso 20</t>
        </is>
      </c>
    </row>
    <row r="9" ht="39.7" customHeight="1">
      <c r="A9" s="44" t="inlineStr"/>
      <c r="B9" s="45" t="inlineStr">
        <is>
          <t>g = 550 kg/m2       q = 200 kg/m2 (vivienda)</t>
        </is>
      </c>
    </row>
    <row r="10" ht="39.7" customHeight="1">
      <c r="A10" s="44" t="inlineStr">
        <is>
          <t>Azotea</t>
        </is>
      </c>
      <c r="B10" s="45" t="inlineStr">
        <is>
          <t>Losa 300 + contrapiso de pendiente 140 + carpeta 42 + aislacion y membrana 50 + cielorraso 20</t>
        </is>
      </c>
    </row>
    <row r="11" ht="39.7" customHeight="1">
      <c r="A11" s="44" t="inlineStr"/>
      <c r="B11" s="45" t="inlineStr">
        <is>
          <t>g = 560 kg/m2       q = 100 kg/m2 (cubierta no accesible)</t>
        </is>
      </c>
    </row>
    <row r="12" ht="39.7" customHeight="1">
      <c r="A12" s="44" t="inlineStr">
        <is>
          <t>Mamposteria</t>
        </is>
      </c>
      <c r="B12" s="45" t="inlineStr">
        <is>
          <t>250 kg/m2. Altura 2,60 m en PA y 1,00 m de parapeto en azotea.</t>
        </is>
      </c>
    </row>
    <row r="13" ht="39.7" customHeight="1">
      <c r="A13" s="44" t="inlineStr">
        <is>
          <t>Peso propio</t>
        </is>
      </c>
      <c r="B13" s="45" t="inlineStr">
        <is>
          <t>2400 kg/m3 x b x d, viga por viga.</t>
        </is>
      </c>
    </row>
    <row r="14" ht="39.7" customHeight="1">
      <c r="A14" s="44" t="inlineStr">
        <is>
          <t>Carga de calculo</t>
        </is>
      </c>
      <c r="B14" s="45" t="inlineStr">
        <is>
          <t>p = 1,2 (g x B + peso propio + muro) + 1,6 (q x B)        B = ancho tributario</t>
        </is>
      </c>
    </row>
    <row r="15" ht="39.7" customHeight="1">
      <c r="A15" s="44" t="inlineStr"/>
      <c r="B15" s="45" t="inlineStr"/>
    </row>
    <row r="16" ht="39.7" customHeight="1">
      <c r="A16" s="44" t="inlineStr">
        <is>
          <t>2. SOLICITACIONES</t>
        </is>
      </c>
      <c r="B16" s="44" t="inlineStr">
        <is>
          <t>Coeficientes segun esquema (tabla en hoja Datos):</t>
        </is>
      </c>
    </row>
    <row r="17" ht="39.7" customHeight="1">
      <c r="A17" s="44" t="inlineStr"/>
      <c r="B17" s="45" t="inlineStr">
        <is>
          <t xml:space="preserve">  Simplemente apoyada   M = pL2/8                    R = 0,500 pL</t>
        </is>
      </c>
    </row>
    <row r="18" ht="39.7" customHeight="1">
      <c r="A18" s="44" t="inlineStr"/>
      <c r="B18" s="45" t="inlineStr">
        <is>
          <t xml:space="preserve">  Continua              M = pL2/14   Mapoyo = pL2/10  R = 0,575 pL</t>
        </is>
      </c>
    </row>
    <row r="19" ht="39.7" customHeight="1">
      <c r="A19" s="44" t="inlineStr"/>
      <c r="B19" s="45" t="inlineStr">
        <is>
          <t xml:space="preserve">  Empotrada-apoyada     M = 9pL2/128 Mapoyo = pL2/8   R = 0,625 pL</t>
        </is>
      </c>
    </row>
    <row r="20" ht="39.7" customHeight="1">
      <c r="A20" s="44" t="inlineStr"/>
      <c r="B20" s="45" t="inlineStr">
        <is>
          <t xml:space="preserve">  Biempotrada           M = pL2/24   Mapoyo = pL2/12  R = 0,500 pL</t>
        </is>
      </c>
    </row>
    <row r="21" ht="39.7" customHeight="1">
      <c r="A21" s="44" t="inlineStr"/>
      <c r="B21" s="45" t="inlineStr">
        <is>
          <t xml:space="preserve">  Voladizo                           Mapoyo = pL2/2   R = 1,000 pL</t>
        </is>
      </c>
    </row>
    <row r="22" ht="39.7" customHeight="1">
      <c r="A22" s="44" t="inlineStr"/>
      <c r="B22" s="45" t="inlineStr"/>
    </row>
    <row r="23" ht="39.7" customHeight="1">
      <c r="A23" s="44" t="inlineStr">
        <is>
          <t>3. FLEXION</t>
        </is>
      </c>
      <c r="B23" s="44" t="inlineStr">
        <is>
          <t>k = M / (phi b h2 f'c)      w = 1 - RAIZ(1 - 2k)      As = w b h f'c / fy</t>
        </is>
      </c>
    </row>
    <row r="24" ht="39.7" customHeight="1">
      <c r="A24" s="44" t="inlineStr"/>
      <c r="B24" s="45" t="inlineStr">
        <is>
          <t>As min = 0,0033 b h       As max = 0,0163 b h (0,75 de la cuantia balanceada)</t>
        </is>
      </c>
    </row>
    <row r="25" ht="39.7" customHeight="1">
      <c r="A25" s="44" t="inlineStr"/>
      <c r="B25" s="45" t="inlineStr">
        <is>
          <t>Si la armadura no entra en una capa se disponen dos y el recubrimiento pasa a 6 cm.</t>
        </is>
      </c>
    </row>
    <row r="26" ht="39.7" customHeight="1">
      <c r="A26" s="44" t="inlineStr"/>
      <c r="B26" s="45" t="inlineStr"/>
    </row>
    <row r="27" ht="39.7" customHeight="1">
      <c r="A27" s="44" t="inlineStr">
        <is>
          <t>4. CORTE</t>
        </is>
      </c>
      <c r="B27" s="44" t="inlineStr">
        <is>
          <t>T = R / (b x 0,85 h)       tension tangencial en el apoyo</t>
        </is>
      </c>
    </row>
    <row r="28" ht="39.7" customHeight="1">
      <c r="A28" s="44" t="inlineStr"/>
      <c r="B28" s="45" t="inlineStr">
        <is>
          <t>Vc = 0,53 RAIZ(f'c) b h        phi Vn = 0,75 (Vc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w r="31" ht="39.7" customHeight="1">
      <c r="A31" s="44" t="inlineStr">
        <is>
          <t>5. FLECHA</t>
        </is>
      </c>
      <c r="B31" s="44" t="inlineStr">
        <is>
          <t>Altura minima: simplemente apoyada L/16, un extremo continuo L/18,5,</t>
        </is>
      </c>
    </row>
    <row r="32" ht="39.7" customHeight="1">
      <c r="A32" s="44" t="inlineStr"/>
      <c r="B32" s="45" t="inlineStr">
        <is>
          <t>ambos extremos continuos L/21, voladizo L/8.</t>
        </is>
      </c>
    </row>
    <row r="33" ht="39.7" customHeight="1">
      <c r="A33" s="44" t="inlineStr"/>
      <c r="B33" s="45" t="inlineStr"/>
    </row>
    <row r="34" ht="39.7" customHeight="1">
      <c r="A34" s="44" t="inlineStr">
        <is>
          <t>6. VIGAS INVERTIDAS</t>
        </is>
      </c>
      <c r="B34" s="44" t="inlineStr">
        <is>
          <t>Las vigas de BORDE son invertidas: sobresalen 70 cm por encima del fondo de</t>
        </is>
      </c>
    </row>
    <row r="35" ht="39.7" customHeight="1">
      <c r="A35" s="44" t="inlineStr"/>
      <c r="B35" s="45" t="inlineStr">
        <is>
          <t>losa (cotas N.F.L +3,50 / N.S.V +4,20 y N.F.L +6,80 / N.S.V +7,50 del plano).</t>
        </is>
      </c>
    </row>
    <row r="36" ht="39.7" customHeight="1">
      <c r="A36" s="44" t="inlineStr"/>
      <c r="B36" s="45" t="inlineStr">
        <is>
          <t>losa. Lo confirman las cotas del plano y el hecho de que el cielorraso sea de</t>
        </is>
      </c>
    </row>
    <row r="37" ht="39.7" customHeight="1">
      <c r="A37" s="44" t="inlineStr"/>
      <c r="B37" s="45" t="inlineStr">
        <is>
          <t>VI 06 mide 14,00 m en total y es el cuarto borde de L07. Sobre su eje hay cuatro</t>
        </is>
      </c>
    </row>
    <row r="38" ht="39.7" customHeight="1">
      <c r="A38" s="44" t="inlineStr"/>
      <c r="B38" s="45" t="inlineStr">
        <is>
          <t>columnas, de modo que trabaja como viga continua de tres tramos de 4,10, 4,32 y</t>
        </is>
      </c>
    </row>
    <row r="39" ht="39.7" customHeight="1">
      <c r="A39" s="44" t="inlineStr"/>
      <c r="B39" s="45" t="inlineStr">
        <is>
          <t>6,53 m. Se calcula con el mayor, 6,53 m, que es el que gobierna.</t>
        </is>
      </c>
    </row>
    <row r="40" ht="39.7" customHeight="1">
      <c r="A40" s="44" t="inlineStr"/>
      <c r="B40" s="45" t="inlineStr">
        <is>
          <t>hormigon visto: una viga colgante quedaria a la vista. El computo metrico las</t>
        </is>
      </c>
    </row>
    <row r="41" ht="39.7" customHeight="1">
      <c r="A41" s="44" t="inlineStr"/>
      <c r="B41" s="45" t="inlineStr">
        <is>
          <t>agrupa a las 28 bajo el rubro Vigas invertidas 15x70.</t>
        </is>
      </c>
    </row>
    <row r="42" ht="39.7" customHeight="1">
      <c r="A42" s="44" t="inlineStr"/>
      <c r="B42" s="45" t="inlineStr">
        <is>
          <t>Esto define donde la losa aporta ala comprimida:</t>
        </is>
      </c>
    </row>
    <row r="43" ht="39.7" customHeight="1">
      <c r="A43" s="44" t="inlineStr"/>
      <c r="B43" s="45" t="inlineStr">
        <is>
          <t xml:space="preserve">  viga COLGANTE  -&gt; la losa esta arriba  -&gt; ala util en el TRAMO (momento positivo)</t>
        </is>
      </c>
    </row>
    <row r="44" ht="39.7" customHeight="1">
      <c r="A44" s="44" t="inlineStr"/>
      <c r="B44" s="45" t="inlineStr">
        <is>
          <t xml:space="preserve">  viga INVERTIDA -&gt; la losa esta abajo   -&gt; ala util en el APOYO (momento negativo)</t>
        </is>
      </c>
    </row>
    <row r="45" ht="39.7" customHeight="1">
      <c r="A45" s="44" t="inlineStr"/>
      <c r="B45" s="45" t="inlineStr">
        <is>
          <t>En la zona con ala se adopta b efectivo = min(L/4 ; b + 16 hf); en la otra, la</t>
        </is>
      </c>
    </row>
    <row r="46" ht="39.7" customHeight="1">
      <c r="A46" s="44" t="inlineStr"/>
      <c r="B46" s="45" t="inlineStr">
        <is>
          <t>seccion es rectangular de ancho b. Las columnas b ef tramo y b ef apoyo lo muestran.</t>
        </is>
      </c>
    </row>
    <row r="47" ht="39.7" customHeight="1">
      <c r="A47" s="44" t="inlineStr"/>
      <c r="B47" s="45" t="inlineStr">
        <is>
          <t>PENDIENTE: las invertidas de BORDE (VI 01a, 01b, 07a, 07b, 07c, 11a, 11b, 11c,</t>
        </is>
      </c>
    </row>
    <row r="48" ht="39.7" customHeight="1">
      <c r="A48" s="44" t="inlineStr"/>
      <c r="B48" s="45" t="inlineStr">
        <is>
          <t>15a y 15b) reciben la reaccion de la losa de un solo lado, excentrica respecto</t>
        </is>
      </c>
    </row>
    <row r="49" ht="39.7" customHeight="1">
      <c r="A49" s="44" t="inlineStr"/>
      <c r="B49" s="45" t="inlineStr">
        <is>
          <t>de su eje, y quedan sometidas a TORSION. Esta planilla no la verifica.</t>
        </is>
      </c>
    </row>
    <row r="50" ht="39.7" customHeight="1">
      <c r="A50" s="44" t="inlineStr"/>
      <c r="B50" s="45" t="inlineStr"/>
    </row>
    <row r="51" ht="39.7" customHeight="1">
      <c r="A51" s="44" t="inlineStr">
        <is>
          <t>7. RESULTADO</t>
        </is>
      </c>
      <c r="B51" s="44" t="inlineStr">
        <is>
          <t>30 vigas: 21 del entrepiso PA y 9 de la losa de techo. 28 verifican.</t>
        </is>
      </c>
    </row>
    <row r="52" ht="39.7" customHeight="1">
      <c r="A52" s="44" t="inlineStr"/>
      <c r="B52" s="45" t="inlineStr">
        <is>
          <t>VI 02 (15x60, 9,88 m): recibe L02 y L03, B = 2,88 m. La armadura de apoyo</t>
        </is>
      </c>
    </row>
    <row r="53" ht="39.7" customHeight="1">
      <c r="A53" s="44" t="inlineStr"/>
      <c r="B53" s="45" t="inlineStr">
        <is>
          <t xml:space="preserve">   necesaria ronda los 25 cm2 y supera la cuantia maxima. Los apoyos estan</t>
        </is>
      </c>
    </row>
    <row r="54" ht="39.7" customHeight="1">
      <c r="A54" s="44" t="inlineStr"/>
      <c r="B54" s="45" t="inlineStr">
        <is>
          <t xml:space="preserve">   confirmados en obra: tabique T07 perpendicular arriba y COL 02 abajo, sin apoyo</t>
        </is>
      </c>
    </row>
    <row r="55" ht="39.7" customHeight="1">
      <c r="A55" s="44" t="inlineStr"/>
      <c r="B55" s="45" t="inlineStr">
        <is>
          <t xml:space="preserve">   intermedio. Para esta carga la seccion necesaria es 15x75.</t>
        </is>
      </c>
    </row>
    <row r="56" ht="39.7" customHeight="1">
      <c r="A56" s="44" t="inlineStr"/>
      <c r="B56" s="45" t="inlineStr">
        <is>
          <t>VCH 03a (40x13, 3,83 m). Recibe L03, B = 2,08 m, y no</t>
        </is>
      </c>
    </row>
    <row r="57" ht="39.7" customHeight="1">
      <c r="A57" s="44" t="inlineStr"/>
      <c r="B57" s="45" t="inlineStr">
        <is>
          <t xml:space="preserve">   verifica: haria falta mas espesor. Tampoco verifica con B = 0,60 m, asi</t>
        </is>
      </c>
    </row>
    <row r="58" ht="39.7" customHeight="1">
      <c r="A58" s="44" t="inlineStr"/>
      <c r="B58" s="45" t="inlineStr">
        <is>
          <t xml:space="preserve">   que el problema no es la hipotesis de carga sino la relacion luz/espesor. Una viga</t>
        </is>
      </c>
    </row>
    <row r="59" ht="39.7" customHeight="1">
      <c r="A59" s="44" t="inlineStr"/>
      <c r="B59" s="45" t="inlineStr">
        <is>
          <t xml:space="preserve">   chata del mismo espesor que la losa no puede ser apoyo lineal de un pano de 4,15 m.</t>
        </is>
      </c>
    </row>
    <row r="60" ht="39.7" customHeight="1">
      <c r="A60" s="44" t="inlineStr"/>
      <c r="B60" s="45" t="inlineStr">
        <is>
          <t xml:space="preserve">   Revisar si tiene un muro debajo que acorte su luz libre.</t>
        </is>
      </c>
    </row>
    <row r="61" ht="39.7" customHeight="1">
      <c r="A61" s="44" t="inlineStr"/>
      <c r="B61" s="45" t="inlineStr">
        <is>
          <t>VCH 03a (40x13, 3,71 m): excede la cuantia maxima y no llega a la altura minima por</t>
        </is>
      </c>
    </row>
    <row r="62" ht="39.7" customHeight="1">
      <c r="A62" s="44" t="inlineStr"/>
      <c r="B62" s="45" t="inlineStr">
        <is>
          <t xml:space="preserve">   flecha. Revisar el ancho tributario: si solo recibe el muro y no losa, baja mucho.</t>
        </is>
      </c>
    </row>
    <row r="63" ht="39.7" customHeight="1">
      <c r="A63" s="44" t="inlineStr"/>
      <c r="B63" s="45" t="inlineStr"/>
    </row>
    <row r="64" ht="39.7" customHeight="1">
      <c r="A64" s="44" t="inlineStr">
        <is>
          <t>8. ALCANCE</t>
        </is>
      </c>
      <c r="B64" s="45" t="inlineStr">
        <is>
          <t>No se incluyen las 31 vigas de fundacion (VF01 a VF18c): su calculo depende de las</t>
        </is>
      </c>
    </row>
    <row r="65" ht="39.7" customHeight="1">
      <c r="A65" s="44" t="inlineStr"/>
      <c r="B65" s="45" t="inlineStr">
        <is>
          <t>cargas que bajan por las columnas y corresponde hacerlo despues. Tampoco losas ni columnas.</t>
        </is>
      </c>
    </row>
    <row r="66" ht="39.7" customHeight="1">
      <c r="A66" s="44" t="inlineStr"/>
      <c r="B66" s="45" t="inlineStr"/>
    </row>
    <row r="67" ht="39.7" customHeight="1">
      <c r="A67" s="44" t="inlineStr">
        <is>
          <t>LIMITACIONES</t>
        </is>
      </c>
      <c r="B67" s="44" t="inlineStr">
        <is>
          <t>El ancho tributario B esta relevado solo en</t>
        </is>
      </c>
    </row>
    <row r="68" ht="39.7" customHeight="1">
      <c r="A68" s="44" t="inlineStr"/>
      <c r="B68" s="45" t="inlineStr">
        <is>
          <t>VI 02 (0,80 m) y VCH 03a (2,08 m). En las demas sigue adoptado en 2,00 m, a falta</t>
        </is>
      </c>
    </row>
    <row r="69" ht="39.7" customHeight="1">
      <c r="A69" s="44" t="inlineStr"/>
      <c r="B69" s="45" t="inlineStr">
        <is>
          <t>hipotesis mas influyente del calculo: ajustarla viga por viga en la columna B trib.</t>
        </is>
      </c>
    </row>
    <row r="70" ht="39.7" customHeight="1">
      <c r="A70" s="44" t="inlineStr"/>
      <c r="B70" s="45" t="inlineStr">
        <is>
          <t>El esquema se asigno por criterio: continua si integra una serie a-b-c o si supera 5,5 m.</t>
        </is>
      </c>
    </row>
    <row r="71" ht="39.7" customHeight="1">
      <c r="A71" s="44" t="inlineStr"/>
      <c r="B71" s="45"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4" t="inlineStr">
        <is>
          <t>MEMORIA DE CALCULO - LOSAS</t>
        </is>
      </c>
      <c r="B1" s="44" t="inlineStr"/>
    </row>
    <row r="2" ht="39.7" customHeight="1">
      <c r="A2" s="44" t="inlineStr"/>
      <c r="B2" s="45" t="inlineStr"/>
    </row>
    <row r="3" ht="39.7" customHeight="1">
      <c r="A3" s="44" t="inlineStr">
        <is>
          <t>METODO</t>
        </is>
      </c>
      <c r="B3" s="44" t="inlineStr">
        <is>
          <t>Tensiones admisibles, igual criterio que la planilla modelo de la catedra.</t>
        </is>
      </c>
    </row>
    <row r="4" ht="39.7" customHeight="1">
      <c r="A4" s="44" t="inlineStr"/>
      <c r="B4" s="45" t="inlineStr">
        <is>
          <t>Se verifico contra la fila de ejemplo: momentos y reacciones coinciden exactamente.</t>
        </is>
      </c>
    </row>
    <row r="5" ht="39.7" customHeight="1">
      <c r="A5" s="44" t="inlineStr">
        <is>
          <t>MATERIALES</t>
        </is>
      </c>
      <c r="B5" s="44" t="inlineStr">
        <is>
          <t>H-21 (f'c 210 kg/cm2). Acero 42/50 (fy 4200). Tension admisible 2400 kg/cm2.</t>
        </is>
      </c>
    </row>
    <row r="6" ht="39.7" customHeight="1">
      <c r="A6" s="44" t="inlineStr">
        <is>
          <t>DIMENSIONES</t>
        </is>
      </c>
      <c r="B6" s="44" t="inlineStr">
        <is>
          <t>h = altura util | d = espesor total. Recubrimiento 1,5 cm.</t>
        </is>
      </c>
    </row>
    <row r="7" ht="39.7" customHeight="1">
      <c r="A7" s="44" t="inlineStr"/>
      <c r="B7" s="45" t="inlineStr"/>
    </row>
    <row r="8" ht="39.7" customHeight="1">
      <c r="A8" s="44" t="inlineStr">
        <is>
          <t>1. CARGAS</t>
        </is>
      </c>
      <c r="B8" s="44" t="inlineStr">
        <is>
          <t>p = peso propio + terminaciones + q      (cargas de servicio, sin mayorar)</t>
        </is>
      </c>
    </row>
    <row r="9" ht="39.7" customHeight="1">
      <c r="A9" s="44" t="inlineStr"/>
      <c r="B9" s="45" t="inlineStr">
        <is>
          <t>Peso propio = 2400 x d / 100, calculado con el espesor propio de cada losa.</t>
        </is>
      </c>
    </row>
    <row r="10" ht="39.7" customHeight="1">
      <c r="A10" s="44" t="inlineStr">
        <is>
          <t>S/PB</t>
        </is>
      </c>
      <c r="B10" s="45" t="inlineStr">
        <is>
          <t>Terminaciones 242 kg/m2 (contrapiso 130 + carpeta 42 + piso 50 + cielorraso 20)</t>
        </is>
      </c>
    </row>
    <row r="11" ht="39.7" customHeight="1">
      <c r="A11" s="44" t="inlineStr"/>
      <c r="B11" s="45" t="inlineStr">
        <is>
          <t>q = 200 kg/m2 (vivienda)</t>
        </is>
      </c>
    </row>
    <row r="12" ht="39.7" customHeight="1">
      <c r="A12" s="44" t="inlineStr">
        <is>
          <t>S/PA</t>
        </is>
      </c>
      <c r="B12" s="45" t="inlineStr">
        <is>
          <t>Terminaciones 252 kg/m2 (contrapiso pendiente 140 + carpeta 42 + aislacion 50 +</t>
        </is>
      </c>
    </row>
    <row r="13" ht="39.7" customHeight="1">
      <c r="A13" s="44" t="inlineStr"/>
      <c r="B13" s="45" t="inlineStr">
        <is>
          <t>cielorraso 20).  q = 100 kg/m2 (azotea no accesible)</t>
        </is>
      </c>
    </row>
    <row r="14" ht="39.7" customHeight="1">
      <c r="A14" s="44" t="inlineStr"/>
      <c r="B14" s="45" t="inlineStr"/>
    </row>
    <row r="15" ht="39.7" customHeight="1">
      <c r="A15" s="44" t="inlineStr">
        <is>
          <t>2. SOLICITACIONES</t>
        </is>
      </c>
      <c r="B15" s="44" t="inlineStr">
        <is>
          <t>M = coeficiente x p x L2, segun el grado de empotramiento:</t>
        </is>
      </c>
    </row>
    <row r="16" ht="39.7" customHeight="1">
      <c r="A16" s="44" t="inlineStr"/>
      <c r="B16" s="45" t="inlineStr">
        <is>
          <t xml:space="preserve">  1/8 simplemente apoyada    1/10 y 1/14 continua    1/12 biempotrada    1/2 voladizo</t>
        </is>
      </c>
    </row>
    <row r="17" ht="39.7" customHeight="1">
      <c r="A17" s="44" t="inlineStr"/>
      <c r="B17" s="45" t="inlineStr">
        <is>
          <t>R = coeficiente x p x L. En voladizo Rx = p x L y Ry no corresponde.</t>
        </is>
      </c>
    </row>
    <row r="18" ht="39.7" customHeight="1">
      <c r="A18" s="44" t="inlineStr"/>
      <c r="B18" s="45" t="inlineStr"/>
    </row>
    <row r="19" ht="39.7" customHeight="1">
      <c r="A19" s="44" t="inlineStr">
        <is>
          <t>3. ARMADURA</t>
        </is>
      </c>
      <c r="B19" s="44" t="inlineStr">
        <is>
          <t>As = M x 100 / (2400 x 0,9 x h)        [cm2/m]</t>
        </is>
      </c>
    </row>
    <row r="20" ht="39.7" customHeight="1">
      <c r="A20" s="44" t="inlineStr"/>
      <c r="B20" s="45" t="inlineStr">
        <is>
          <t>separacion = 100 x area de la barra / As, redondeada, con maximo 20 cm</t>
        </is>
      </c>
    </row>
    <row r="21" ht="39.7" customHeight="1">
      <c r="A21" s="44" t="inlineStr"/>
      <c r="B21" s="45" t="inlineStr">
        <is>
          <t>Armadura de reparticion = As / 5, con un minimo de 0,30 cm2/m</t>
        </is>
      </c>
    </row>
    <row r="22" ht="39.7" customHeight="1">
      <c r="A22" s="44" t="inlineStr"/>
      <c r="B22" s="45" t="inlineStr"/>
    </row>
    <row r="23" ht="39.7" customHeight="1">
      <c r="A23" s="44" t="inlineStr">
        <is>
          <t>4. ESPESORES</t>
        </is>
      </c>
      <c r="B23" s="44" t="inlineStr">
        <is>
          <t>Los espesores d se leyeron del plano: estan escritos debajo del rotulo de cada losa.</t>
        </is>
      </c>
    </row>
    <row r="24" ht="39.7" customHeight="1">
      <c r="A24" s="44" t="inlineStr"/>
      <c r="B24" s="45" t="inlineStr">
        <is>
          <t>S/PB:  L01 11 | L02 9 | L03 13 | L04 11 | L05 11 | L06 8 | L07 12 | L08 10</t>
        </is>
      </c>
    </row>
    <row r="25" ht="39.7" customHeight="1">
      <c r="A25" s="44" t="inlineStr"/>
      <c r="B25" s="45" t="inlineStr">
        <is>
          <t>S/PA:  L09 13 | L10 12</t>
        </is>
      </c>
    </row>
    <row r="26" ht="39.7" customHeight="1">
      <c r="A26" s="44" t="inlineStr"/>
      <c r="B26" s="45" t="inlineStr"/>
    </row>
    <row r="27" ht="39.7" customHeight="1">
      <c r="A27" s="44" t="inlineStr">
        <is>
          <t>5. LUCES</t>
        </is>
      </c>
      <c r="B27" s="44" t="inlineStr">
        <is>
          <t>Relevadas en obra y aportadas por el proyectista. Dos losas son voladizo</t>
        </is>
      </c>
    </row>
    <row r="28" ht="39.7" customHeight="1">
      <c r="A28" s="44" t="inlineStr"/>
      <c r="B28" s="45" t="inlineStr">
        <is>
          <t>(L02 de 0,80 m y L08 de 0,75 m) y se calculan con M = p L2 / 2.</t>
        </is>
      </c>
    </row>
    <row r="29" ht="39.7" customHeight="1">
      <c r="A29" s="44" t="inlineStr"/>
      <c r="B29" s="45" t="inlineStr"/>
    </row>
    <row r="30" ht="39.7" customHeight="1">
      <c r="A30" s="44" t="inlineStr">
        <is>
          <t>6. LOSAS CRUZADAS</t>
        </is>
      </c>
      <c r="B30" s="45" t="inlineStr">
        <is>
          <t>L07 (4,85 x 5,60) y L10 (4,85 x 6,00) apoyan en los cuatro bordes y su relacion</t>
        </is>
      </c>
    </row>
    <row r="31" ht="39.7" customHeight="1">
      <c r="A31" s="44" t="inlineStr"/>
      <c r="B31" s="45" t="inlineStr">
        <is>
          <t>de lados es menor que 2, por lo que trabajan en las dos direcciones.</t>
        </is>
      </c>
    </row>
    <row r="32" ht="39.7" customHeight="1">
      <c r="A32" s="44" t="inlineStr"/>
      <c r="B32" s="45" t="inlineStr">
        <is>
          <t>Se reparte la carga por el metodo de Marcus:   kx = ly4 / (lx4 + ly4)</t>
        </is>
      </c>
    </row>
    <row r="33" ht="39.7" customHeight="1">
      <c r="A33" s="44" t="inlineStr"/>
      <c r="B33" s="45" t="inlineStr">
        <is>
          <t xml:space="preserve">  L07: ly/lx = 1,15  -&gt;  64% en la direccion corta, 36% en la larga</t>
        </is>
      </c>
    </row>
    <row r="34" ht="39.7" customHeight="1">
      <c r="A34" s="44" t="inlineStr"/>
      <c r="B34" s="45" t="inlineStr">
        <is>
          <t xml:space="preserve">  L10: ly/lx = 1,24  -&gt;  70% en la direccion corta, 30% en la larga</t>
        </is>
      </c>
    </row>
    <row r="35" ht="39.7" customHeight="1">
      <c r="A35" s="44" t="inlineStr"/>
      <c r="B35" s="45" t="inlineStr">
        <is>
          <t>Cada una ocupa dos renglones, uno por direccion, con la fraccion de carga que</t>
        </is>
      </c>
    </row>
    <row r="36" ht="39.7" customHeight="1">
      <c r="A36" s="44" t="inlineStr"/>
      <c r="B36" s="45" t="inlineStr">
        <is>
          <t>le toca ya aplicada en la columna CARGAS. Las dos armaduras se cruzan en obra:</t>
        </is>
      </c>
    </row>
    <row r="37" ht="39.7" customHeight="1">
      <c r="A37" s="44" t="inlineStr"/>
      <c r="B37" s="45" t="inlineStr">
        <is>
          <t>la de la direccion corta va abajo, la de la larga arriba de aquella.</t>
        </is>
      </c>
    </row>
    <row r="38" ht="39.7" customHeight="1">
      <c r="A38" s="44" t="inlineStr"/>
      <c r="B38" s="45" t="inlineStr">
        <is>
          <t>La columna auxiliar luz transv. es la que dispara el reparto: si se borra, la</t>
        </is>
      </c>
    </row>
    <row r="39" ht="39.7" customHeight="1">
      <c r="A39" s="44" t="inlineStr"/>
      <c r="B39" s="45" t="inlineStr">
        <is>
          <t>fila vuelve a calcularse como losa armada en una direccion.</t>
        </is>
      </c>
    </row>
    <row r="40" ht="39.7" customHeight="1">
      <c r="A40" s="44" t="inlineStr"/>
      <c r="B40" s="45" t="inlineStr"/>
    </row>
    <row r="41" ht="39.7" customHeight="1">
      <c r="A41" s="44" t="inlineStr">
        <is>
          <t>LIMITACIONES</t>
        </is>
      </c>
      <c r="B41" s="44" t="inlineStr">
        <is>
          <t>El grado de empotramiento esta cargado en 1/8 salvo los dos voladizos (1/2). Si</t>
        </is>
      </c>
    </row>
    <row r="42" ht="39.7" customHeight="1">
      <c r="A42" s="44" t="inlineStr"/>
      <c r="B42" s="45" t="inlineStr">
        <is>
          <t>alguna losa es continua sobre una viga corresponde 1/10 o 1/14: corregir en la columna.</t>
        </is>
      </c>
    </row>
    <row r="43" ht="39.7" customHeight="1">
      <c r="A43" s="44" t="inlineStr"/>
      <c r="B43" s="45" t="inlineStr">
        <is>
          <t>El diagrama de cargas es una imagen fija: si cambias el grado, cambialo a mano.</t>
        </is>
      </c>
    </row>
    <row r="44" ht="39.7" customHeight="1">
      <c r="A44" s="44" t="inlineStr"/>
      <c r="B44" s="45"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COLUMNAS</t>
        </is>
      </c>
      <c r="B1" s="44" t="inlineStr"/>
    </row>
    <row r="2" ht="39.7" customHeight="1">
      <c r="A2" s="44" t="inlineStr"/>
      <c r="B2" s="45" t="inlineStr"/>
    </row>
    <row r="3" ht="39.7" customHeight="1">
      <c r="A3" s="44" t="inlineStr">
        <is>
          <t>MATERIALES</t>
        </is>
      </c>
      <c r="B3" s="44" t="inlineStr">
        <is>
          <t>H-21 (f'c 210 kg/cm2). Acero 42/50 (fy 4200). phi compresion 0,65.</t>
        </is>
      </c>
    </row>
    <row r="4" ht="39.7" customHeight="1">
      <c r="A4" s="44" t="inlineStr"/>
      <c r="B4" s="45" t="inlineStr"/>
    </row>
    <row r="5" ht="39.7" customHeight="1">
      <c r="A5" s="44" t="inlineStr">
        <is>
          <t>1. RELEVAMIENTO</t>
        </is>
      </c>
      <c r="B5" s="44" t="inlineStr">
        <is>
          <t>Las columnas se identificaron en el plano cruzando el rotulo COL con un rectangulo</t>
        </is>
      </c>
    </row>
    <row r="6" ht="39.7" customHeight="1">
      <c r="A6" s="44" t="inlineStr"/>
      <c r="B6" s="45" t="inlineStr">
        <is>
          <t>de la misma seccion a menos de 26 pt. Resultaron 9 en PB y 4 en PA.</t>
        </is>
      </c>
    </row>
    <row r="7" ht="39.7" customHeight="1">
      <c r="A7" s="44" t="inlineStr"/>
      <c r="B7" s="45" t="inlineStr">
        <is>
          <t>Las 4 de PA caen exactamente sobre C6, C7, C8 y C9 de PB, y ademas tienen la misma</t>
        </is>
      </c>
    </row>
    <row r="8" ht="39.7" customHeight="1">
      <c r="A8" s="44" t="inlineStr"/>
      <c r="B8" s="45" t="inlineStr">
        <is>
          <t>seccion, lo que confirma que la correspondencia entre plantas es correcta.</t>
        </is>
      </c>
    </row>
    <row r="9" ht="39.7" customHeight="1">
      <c r="A9" s="44" t="inlineStr"/>
      <c r="B9" s="45" t="inlineStr">
        <is>
          <t>La C01 de 10x10 esta confirmada por el proyectista aunque el computo metrico no</t>
        </is>
      </c>
    </row>
    <row r="10" ht="39.7" customHeight="1">
      <c r="A10" s="44" t="inlineStr"/>
      <c r="B10" s="45" t="inlineStr">
        <is>
          <t>la incluya en su item 4.1.3: ese computo esta incompleto en ese punto.</t>
        </is>
      </c>
    </row>
    <row r="11" ht="39.7" customHeight="1">
      <c r="A11" s="44" t="inlineStr"/>
      <c r="B11" s="45" t="inlineStr"/>
    </row>
    <row r="12" ht="39.7" customHeight="1">
      <c r="A12" s="44" t="inlineStr">
        <is>
          <t>2. ALTURAS</t>
        </is>
      </c>
      <c r="B12" s="44" t="inlineStr">
        <is>
          <t>PB 3,15 m y PA 3,22 m, los mismos valores de la planilla de la catedra, coherentes</t>
        </is>
      </c>
    </row>
    <row r="13" ht="39.7" customHeight="1">
      <c r="A13" s="44" t="inlineStr"/>
      <c r="B13" s="45" t="inlineStr">
        <is>
          <t>con los niveles del plano (N.F.L +3,50 del entrepiso y +6,80 del techo).</t>
        </is>
      </c>
    </row>
    <row r="14" ht="39.7" customHeight="1">
      <c r="A14" s="44" t="inlineStr"/>
      <c r="B14" s="45" t="inlineStr"/>
    </row>
    <row r="15" ht="39.7" customHeight="1">
      <c r="A15" s="44" t="inlineStr">
        <is>
          <t>3. ARMADURA</t>
        </is>
      </c>
      <c r="B15" s="44" t="inlineStr">
        <is>
          <t>As = 0,008 x area (cuantia minima, el mismo criterio de la planilla modelo).</t>
        </is>
      </c>
    </row>
    <row r="16" ht="39.7" customHeight="1">
      <c r="A16" s="44" t="inlineStr"/>
      <c r="B16" s="45" t="inlineStr">
        <is>
          <t>Se adoptan 4 barras del 12 en todas: 4,52 cm2, que cubre la minima en toda seccion.</t>
        </is>
      </c>
    </row>
    <row r="17" ht="39.7" customHeight="1">
      <c r="A17" s="44" t="inlineStr"/>
      <c r="B17" s="45" t="inlineStr">
        <is>
          <t>Separacion de estribos = min(12 x diam. long. ; 48 x diam. estribo ; lado menor),</t>
        </is>
      </c>
    </row>
    <row r="18" ht="39.7" customHeight="1">
      <c r="A18" s="44" t="inlineStr"/>
      <c r="B18" s="45" t="inlineStr">
        <is>
          <t>redondeada hacia abajo a multiplo de 5. Para 4d12 con estribo d6 da 10 cm.</t>
        </is>
      </c>
    </row>
    <row r="19" ht="39.7" customHeight="1">
      <c r="A19" s="44" t="inlineStr"/>
      <c r="B19" s="45" t="inlineStr">
        <is>
          <t>La planilla de la catedra adopta 20 cm: ese valor supera el limite reglamentario.</t>
        </is>
      </c>
    </row>
    <row r="20" ht="39.7" customHeight="1">
      <c r="A20" s="44" t="inlineStr"/>
      <c r="B20" s="45" t="inlineStr"/>
    </row>
    <row r="21" ht="39.7" customHeight="1">
      <c r="A21" s="44" t="inlineStr">
        <is>
          <t>4. CAPACIDAD</t>
        </is>
      </c>
      <c r="B21" s="44" t="inlineStr">
        <is>
          <t>phi Pn = 0,65 x 0,80 x [0,85 f'c (Ag - As) + fy As]     (columna zunchada con estribos)</t>
        </is>
      </c>
    </row>
    <row r="22" ht="39.7" customHeight="1">
      <c r="A22" s="44" t="inlineStr"/>
      <c r="B22" s="45" t="inlineStr">
        <is>
          <t xml:space="preserve">  15x30 con 4d12 -&gt; 51,2 t        20x20 con 4d12 -&gt; 46,6 t</t>
        </is>
      </c>
    </row>
    <row r="23" ht="39.7" customHeight="1">
      <c r="A23" s="44" t="inlineStr"/>
      <c r="B23" s="45" t="inlineStr"/>
    </row>
    <row r="24" ht="39.7" customHeight="1">
      <c r="A24" s="44" t="inlineStr">
        <is>
          <t>5. CARGAS</t>
        </is>
      </c>
      <c r="B24" s="44" t="inlineStr">
        <is>
          <t>La columna CARGA (t) viene cargada con una bajada automatica: suma de las</t>
        </is>
      </c>
    </row>
    <row r="25" ht="39.7" customHeight="1">
      <c r="A25" s="44" t="inlineStr"/>
      <c r="B25" s="45" t="inlineStr">
        <is>
          <t>reacciones de las vigas que apoyan en cada columna (tomadas de la planilla de</t>
        </is>
      </c>
    </row>
    <row r="26" ht="39.7" customHeight="1">
      <c r="A26" s="44" t="inlineStr"/>
      <c r="B26" s="45" t="inlineStr">
        <is>
          <t>vigas), mas el peso propio, mas lo que baja de la columna del nivel superior.</t>
        </is>
      </c>
    </row>
    <row r="27" ht="39.7" customHeight="1">
      <c r="A27" s="44" t="inlineStr"/>
      <c r="B27" s="45" t="inlineStr">
        <is>
          <t>ES UNA CARGA PROVISORIA Y ES UN PISO, NO EL VALOR REAL: 20 de los 60 extremos</t>
        </is>
      </c>
    </row>
    <row r="28" ht="39.7" customHeight="1">
      <c r="A28" s="44" t="inlineStr"/>
      <c r="B28" s="45" t="inlineStr">
        <is>
          <t>de viga no pudieron asignarse a ninguna columna porque apoyan en otra viga, en</t>
        </is>
      </c>
    </row>
    <row r="29" ht="39.7" customHeight="1">
      <c r="A29" s="44" t="inlineStr"/>
      <c r="B29" s="45" t="inlineStr">
        <is>
          <t>un tabique o en la medianera, y esas reacciones no estan sumadas.</t>
        </is>
      </c>
    </row>
    <row r="30" ht="39.7" customHeight="1">
      <c r="A30" s="44" t="inlineStr"/>
      <c r="B30" s="45" t="inlineStr">
        <is>
          <t>Para cerrarla hay que indicar, para cada uno de esos 20 extremos, en que apoya.</t>
        </is>
      </c>
    </row>
    <row r="31" ht="39.7" customHeight="1">
      <c r="A31" s="44" t="inlineStr"/>
      <c r="B31" s="45" t="inlineStr">
        <is>
          <t>Mientras tanto la columna es editable: al corregir un valor todo recalcula.</t>
        </is>
      </c>
    </row>
    <row r="32" ht="39.7" customHeight="1">
      <c r="A32" s="44" t="inlineStr"/>
      <c r="B32" s="45" t="inlineStr">
        <is>
          <t>Ademas son cargas MAYORADAS, coherentes con la planilla de vigas. Si la catedra</t>
        </is>
      </c>
    </row>
    <row r="33" ht="39.7" customHeight="1">
      <c r="A33" s="44" t="inlineStr"/>
      <c r="B33" s="45" t="inlineStr">
        <is>
          <t>pide cargas de servicio, dividir por el coeficiente que corresponda.</t>
        </is>
      </c>
    </row>
    <row r="34" ht="39.7" customHeight="1">
      <c r="A34" s="44" t="inlineStr"/>
      <c r="B34" s="45" t="inlineStr"/>
    </row>
    <row r="35" ht="39.7" customHeight="1">
      <c r="A35" s="44" t="inlineStr">
        <is>
          <t>6. ESBELTEZ</t>
        </is>
      </c>
      <c r="B35" s="44" t="inlineStr">
        <is>
          <t>Todas las columnas son esbeltas: con lado menor de 15 cm y 3,15 m de altura,</t>
        </is>
      </c>
    </row>
    <row r="36" ht="39.7" customHeight="1">
      <c r="A36" s="44" t="inlineStr"/>
      <c r="B36" s="45" t="inlineStr">
        <is>
          <t>k lu / r = 70, muy por encima del limite de 34 por debajo del cual se puede</t>
        </is>
      </c>
    </row>
    <row r="37" ht="39.7" customHeight="1">
      <c r="A37" s="44" t="inlineStr"/>
      <c r="B37" s="45" t="inlineStr">
        <is>
          <t>despreciar el pandeo. En la practica el llenado de mamposteria las arriostra, pero</t>
        </is>
      </c>
    </row>
    <row r="38" ht="39.7" customHeight="1">
      <c r="A38" s="44" t="inlineStr"/>
      <c r="B38" s="45" t="inlineStr">
        <is>
          <t>si la catedra lo pide hay que verificar segundo orden. La planilla lo marca.</t>
        </is>
      </c>
    </row>
    <row r="39" ht="39.7" customHeight="1">
      <c r="A39" s="44" t="inlineStr"/>
      <c r="B39" s="45" t="inlineStr"/>
    </row>
    <row r="40" ht="39.7" customHeight="1">
      <c r="A40" s="44" t="inlineStr">
        <is>
          <t>7. LA DE 10x10</t>
        </is>
      </c>
      <c r="B40" s="44" t="inlineStr">
        <is>
          <t>Existe, confirmada por el proyectista, y el computo metrico la omite. Con 10 cm</t>
        </is>
      </c>
    </row>
    <row r="41" ht="39.7" customHeight="1">
      <c r="A41" s="44" t="inlineStr"/>
      <c r="B41" s="45" t="inlineStr">
        <is>
          <t>de lado y 3,15 m de altura su esbeltez es k lu / r = 105, tres veces el limite</t>
        </is>
      </c>
    </row>
    <row r="42" ht="39.7" customHeight="1">
      <c r="A42" s="44" t="inlineStr"/>
      <c r="B42" s="45" t="inlineStr">
        <is>
          <t>por debajo del cual se puede despreciar el pandeo, y su capacidad es de 18,7 t</t>
        </is>
      </c>
    </row>
    <row r="43" ht="39.7" customHeight="1">
      <c r="A43" s="44" t="inlineStr"/>
      <c r="B43" s="45" t="inlineStr">
        <is>
          <t>contra los 51 de una 15x30. Es el punto mas delicado del conjunto: conviene</t>
        </is>
      </c>
    </row>
    <row r="44" ht="39.7" customHeight="1">
      <c r="A44" s="44" t="inlineStr"/>
      <c r="B44" s="45" t="inlineStr">
        <is>
          <t>verificarla a segundo orden en serio, no con la formula de compresion simple.</t>
        </is>
      </c>
    </row>
    <row r="45" ht="39.7" customHeight="1">
      <c r="A45" s="44" t="inlineStr"/>
      <c r="B45" s="45" t="inlineStr"/>
    </row>
    <row r="46" ht="39.7" customHeight="1">
      <c r="A46" s="44" t="inlineStr">
        <is>
          <t>LIMITACIONES</t>
        </is>
      </c>
      <c r="B46" s="44" t="inlineStr">
        <is>
          <t>Trabajo academico. Requiere verificacion y firma de profesional matriculado.</t>
        </is>
      </c>
    </row>
    <row r="47" ht="39.7" customHeight="1">
      <c r="A47" s="44" t="inlineStr"/>
      <c r="B47" s="45" t="inlineStr">
        <is>
          <t>No se verifica flexion compuesta: las columnas de borde reciben momento de las</t>
        </is>
      </c>
    </row>
    <row r="48" ht="39.7" customHeight="1">
      <c r="A48" s="44" t="inlineStr"/>
      <c r="B48" s="45"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2026-10-26T21:44:02Z</dcterms:created>
  <dcterms:modified xmlns:dcterms="http://purl.org/dc/terms/" xmlns:xsi="http://www.w3.org/2001/XMLSchema-instance" xsi:type="dcterms:W3CDTF">2026-10-26T21:44:03Z</dcterms:modified>
</cp:coreProperties>
</file>