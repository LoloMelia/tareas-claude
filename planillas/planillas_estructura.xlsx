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Datos_vigas" sheetId="9" state="visible" r:id="rId9"/>
    <sheet xmlns:r="http://schemas.openxmlformats.org/officeDocument/2006/relationships" name="Datos_losas" sheetId="10" state="visible" r:id="rId10"/>
    <sheet xmlns:r="http://schemas.openxmlformats.org/officeDocument/2006/relationships" name="Datos_columnas" sheetId="11" state="visible" r:id="rId11"/>
    <sheet xmlns:r="http://schemas.openxmlformats.org/officeDocument/2006/relationships" name="Datos_pilotes" sheetId="12" state="visible" r:id="rId12"/>
    <sheet xmlns:r="http://schemas.openxmlformats.org/officeDocument/2006/relationships" name="Datos_higro" sheetId="13" state="visible" r:id="rId13"/>
    <sheet xmlns:r="http://schemas.openxmlformats.org/officeDocument/2006/relationships" name="Memoria ilum. y vent." sheetId="14" state="visible" r:id="rId14"/>
    <sheet xmlns:r="http://schemas.openxmlformats.org/officeDocument/2006/relationships" name="Memoria vigas" sheetId="15" state="visible" r:id="rId15"/>
    <sheet xmlns:r="http://schemas.openxmlformats.org/officeDocument/2006/relationships" name="Memoria losas" sheetId="16" state="visible" r:id="rId16"/>
    <sheet xmlns:r="http://schemas.openxmlformats.org/officeDocument/2006/relationships" name="Memoria columnas" sheetId="17" state="visible" r:id="rId17"/>
    <sheet xmlns:r="http://schemas.openxmlformats.org/officeDocument/2006/relationships" name="Fundacion (inventario)" sheetId="18" state="visible" r:id="rId18"/>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3">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1"/>
    </font>
    <font>
      <name val="Bahnschrift Light Condensed"/>
      <color theme="1"/>
      <sz val="10"/>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39">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0" fillId="2" borderId="1" applyAlignment="1" pivotButton="0" quotePrefix="0" xfId="0">
      <alignment horizontal="center" vertical="center" wrapText="1"/>
    </xf>
    <xf numFmtId="0" fontId="11" fillId="0" borderId="1" pivotButton="0" quotePrefix="0" xfId="0"/>
    <xf numFmtId="0" fontId="10" fillId="3" borderId="1" applyAlignment="1" pivotButton="0" quotePrefix="0" xfId="0">
      <alignment horizontal="center" vertical="center" wrapText="1"/>
    </xf>
    <xf numFmtId="0" fontId="10" fillId="2" borderId="1" applyAlignment="1" pivotButton="0" quotePrefix="0" xfId="0">
      <alignment horizontal="left" vertical="center"/>
    </xf>
    <xf numFmtId="0" fontId="12" fillId="0" borderId="1" applyAlignment="1" pivotButton="0" quotePrefix="0" xfId="0">
      <alignment horizontal="left" vertical="center"/>
    </xf>
    <xf numFmtId="2" fontId="12"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center" wrapText="1"/>
    </xf>
    <xf numFmtId="0" fontId="12" fillId="0" borderId="2" applyAlignment="1" pivotButton="0" quotePrefix="0" xfId="0">
      <alignment horizontal="left" vertical="center"/>
    </xf>
    <xf numFmtId="2" fontId="12"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2" fillId="0" borderId="2" applyAlignment="1" pivotButton="0" quotePrefix="0" xfId="0">
      <alignment horizontal="left" vertical="center" wrapText="1"/>
    </xf>
    <xf numFmtId="0" fontId="10" fillId="0" borderId="1" applyAlignment="1" pivotButton="0" quotePrefix="0" xfId="0">
      <alignment horizontal="left" vertical="center"/>
    </xf>
    <xf numFmtId="0" fontId="10" fillId="0" borderId="1" applyAlignment="1" pivotButton="0" quotePrefix="0" xfId="0">
      <alignment horizontal="center" vertical="center" wrapText="1"/>
    </xf>
    <xf numFmtId="2" fontId="10" fillId="0" borderId="1" applyAlignment="1" pivotButton="0" quotePrefix="0" xfId="0">
      <alignment horizontal="center" vertical="center" wrapText="1"/>
    </xf>
    <xf numFmtId="167" fontId="12" fillId="0" borderId="1" applyAlignment="1" pivotButton="0" quotePrefix="0" xfId="0">
      <alignment horizontal="center" vertical="center" wrapText="1"/>
    </xf>
    <xf numFmtId="0" fontId="11" fillId="0" borderId="4" pivotButton="0" quotePrefix="0" xfId="0"/>
    <xf numFmtId="0" fontId="11" fillId="0" borderId="2" pivotButton="0" quotePrefix="0" xfId="0"/>
    <xf numFmtId="167" fontId="12" fillId="0" borderId="2" applyAlignment="1" pivotButton="0" quotePrefix="0" xfId="0">
      <alignment horizontal="center" vertical="center" wrapText="1"/>
    </xf>
    <xf numFmtId="0" fontId="10" fillId="0" borderId="0" pivotButton="0" quotePrefix="0" xfId="0"/>
    <xf numFmtId="0" fontId="12" fillId="0" borderId="0" pivotButton="0" quotePrefix="0" xfId="0"/>
    <xf numFmtId="0" fontId="10" fillId="0" borderId="0" applyAlignment="1" pivotButton="0" quotePrefix="0" xfId="0">
      <alignment horizontal="left" vertical="center"/>
    </xf>
    <xf numFmtId="1" fontId="12" fillId="0" borderId="1" applyAlignment="1" pivotButton="0" quotePrefix="0" xfId="0">
      <alignment horizontal="center" vertical="center" wrapText="1"/>
    </xf>
    <xf numFmtId="0" fontId="10" fillId="0" borderId="2" applyAlignment="1" pivotButton="0" quotePrefix="0" xfId="0">
      <alignment horizontal="center" vertical="center" wrapText="1"/>
    </xf>
    <xf numFmtId="1" fontId="12" fillId="0" borderId="2" applyAlignment="1" pivotButton="0" quotePrefix="0" xfId="0">
      <alignment horizontal="center" vertical="center" wrapText="1"/>
    </xf>
    <xf numFmtId="165" fontId="12" fillId="0" borderId="1" applyAlignment="1" pivotButton="0" quotePrefix="0" xfId="0">
      <alignment horizontal="center" vertical="center" wrapText="1"/>
    </xf>
    <xf numFmtId="166" fontId="12" fillId="0" borderId="1" applyAlignment="1" pivotButton="0" quotePrefix="0" xfId="0">
      <alignment horizontal="center" vertical="center" wrapText="1"/>
    </xf>
    <xf numFmtId="165" fontId="12" fillId="0" borderId="2" applyAlignment="1" pivotButton="0" quotePrefix="0" xfId="0">
      <alignment horizontal="center" vertical="center" wrapText="1"/>
    </xf>
    <xf numFmtId="166" fontId="12" fillId="0" borderId="2" applyAlignment="1" pivotButton="0" quotePrefix="0" xfId="0">
      <alignment horizontal="center" vertical="center" wrapText="1"/>
    </xf>
    <xf numFmtId="0" fontId="10" fillId="0" borderId="0" applyAlignment="1" pivotButton="0" quotePrefix="0" xfId="0">
      <alignment horizontal="center" vertical="center"/>
    </xf>
    <xf numFmtId="0" fontId="10" fillId="2" borderId="1" pivotButton="0" quotePrefix="0" xfId="0"/>
    <xf numFmtId="0" fontId="12" fillId="0" borderId="1" pivotButton="0" quotePrefix="0" xfId="0"/>
    <xf numFmtId="0" fontId="10" fillId="0" borderId="1" pivotButton="0" quotePrefix="0" xfId="0"/>
    <xf numFmtId="164" fontId="12" fillId="0" borderId="1" applyAlignment="1" pivotButton="0" quotePrefix="0" xfId="0">
      <alignment horizontal="center" vertical="center" wrapText="1"/>
    </xf>
    <xf numFmtId="0" fontId="1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4">
    <dxf>
      <font>
        <b val="1"/>
        <color rgb="00006100"/>
        <sz val="9"/>
      </font>
    </dxf>
    <dxf>
      <font>
        <b val="1"/>
        <color rgb="009C0006"/>
        <sz val="9"/>
      </font>
    </dxf>
    <dxf>
      <font>
        <b val="1"/>
        <color rgb="00006100"/>
        <sz val="8"/>
      </font>
    </dxf>
    <dxf>
      <font>
        <b val="1"/>
        <color rgb="009C0006"/>
        <sz val="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9.9" customWidth="1" min="1" max="1"/>
    <col width="10.3" customWidth="1" min="2" max="2"/>
    <col width="10.3" customWidth="1" min="3" max="3"/>
    <col width="11.5" customWidth="1" min="4" max="4"/>
    <col width="9.199999999999999" customWidth="1" min="5" max="5"/>
    <col width="13.8" customWidth="1" min="6" max="6"/>
    <col width="13.8" customWidth="1" min="7" max="7"/>
    <col width="9.199999999999999" customWidth="1" min="8" max="8"/>
    <col width="13.8" customWidth="1" min="9" max="9"/>
    <col width="13.8" customWidth="1" min="10" max="10"/>
    <col width="16.1" customWidth="1" min="11" max="11"/>
    <col width="46"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29.5"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9.5"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6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39.5"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6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6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6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6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6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6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6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6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6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6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6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8.4" customWidth="1" min="1" max="1"/>
    <col width="11.5" customWidth="1" min="2" max="2"/>
    <col width="11.5" customWidth="1" min="3" max="3"/>
    <col width="12.6" customWidth="1" min="4" max="4"/>
    <col width="13.8" customWidth="1" min="5" max="5"/>
    <col width="13.8" customWidth="1" min="6" max="6"/>
    <col width="13.8" customWidth="1" min="7" max="7"/>
    <col width="39.1" customWidth="1" min="8" max="8"/>
    <col width="27.6" customWidth="1" min="9" max="9"/>
    <col width="12.6" customWidth="1" min="10" max="10"/>
    <col width="12.6" customWidth="1" min="11" max="11"/>
    <col width="12.6" customWidth="1" min="12" max="12"/>
    <col width="14.9" customWidth="1" min="13" max="13"/>
  </cols>
  <sheetData>
    <row r="1" ht="29.5" customHeight="1">
      <c r="A1" s="4" t="n"/>
      <c r="B1" s="15" t="inlineStr">
        <is>
          <t>Municipalidad de Rosario</t>
        </is>
      </c>
      <c r="C1" s="4" t="n"/>
      <c r="D1" s="4" t="n"/>
      <c r="E1" s="4" t="n"/>
      <c r="F1" s="4" t="n"/>
      <c r="G1" s="4" t="n"/>
      <c r="H1" s="4" t="n"/>
      <c r="I1" s="4" t="n"/>
      <c r="J1" s="4" t="n"/>
      <c r="K1" s="4" t="n"/>
      <c r="L1" s="4" t="n"/>
      <c r="M1" s="16" t="inlineStr">
        <is>
          <t>ORDENANZA N 8757/11</t>
        </is>
      </c>
    </row>
    <row r="2" ht="13"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13"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20"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42"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15.8" customHeight="1">
      <c r="A6" s="5" t="inlineStr">
        <is>
          <t>Plano: Fachada Noreste (borde derecho del plano)</t>
        </is>
      </c>
      <c r="B6" s="4" t="n"/>
      <c r="C6" s="4" t="n"/>
      <c r="D6" s="4" t="n"/>
      <c r="E6" s="4" t="n"/>
      <c r="F6" s="4" t="n"/>
      <c r="G6" s="4" t="n"/>
      <c r="H6" s="4" t="n"/>
      <c r="I6" s="4" t="n"/>
      <c r="J6" s="4" t="n"/>
      <c r="K6" s="4" t="n"/>
      <c r="L6" s="4" t="n"/>
      <c r="M6" s="4" t="n"/>
    </row>
    <row r="7" ht="6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Cortina de enrollar exterior</t>
        </is>
      </c>
      <c r="J7" s="8" t="n">
        <v>2.8</v>
      </c>
      <c r="K7" s="9" t="inlineStr">
        <is>
          <t>Noreste</t>
        </is>
      </c>
      <c r="L7" s="8">
        <f>IF(I7="","",IFERROR(VLOOKUP(I7,Datos_higro!$A$21:$B$27,2,0),""))</f>
        <v/>
      </c>
      <c r="M7" s="9">
        <f>IF(OR(D7="",J7=""),"",IF(J7&lt;=G7,"CUMPLE","NO CUMPLE"))</f>
        <v/>
      </c>
    </row>
    <row r="8" ht="6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IF(I8="","",IFERROR(VLOOKUP(I8,Datos_higro!$A$21:$B$27,2,0),""))</f>
        <v/>
      </c>
      <c r="M8" s="9">
        <f>IF(OR(D8="",J8=""),"",IF(J8&lt;=G8,"CUMPLE","NO CUMPLE"))</f>
        <v/>
      </c>
    </row>
    <row r="9" ht="6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Cortina de enrollar exterior</t>
        </is>
      </c>
      <c r="J9" s="8" t="n">
        <v>2.8</v>
      </c>
      <c r="K9" s="9" t="inlineStr">
        <is>
          <t>Noreste</t>
        </is>
      </c>
      <c r="L9" s="8">
        <f>IF(I9="","",IFERROR(VLOOKUP(I9,Datos_higro!$A$21:$B$27,2,0),""))</f>
        <v/>
      </c>
      <c r="M9" s="9">
        <f>IF(OR(D9="",J9=""),"",IF(J9&lt;=G9,"CUMPLE","NO CUMPLE"))</f>
        <v/>
      </c>
    </row>
    <row r="10" ht="6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Cortina de enrollar exterior</t>
        </is>
      </c>
      <c r="J10" s="8" t="n">
        <v>2.8</v>
      </c>
      <c r="K10" s="9" t="inlineStr">
        <is>
          <t>Noreste</t>
        </is>
      </c>
      <c r="L10" s="8">
        <f>IF(I10="","",IFERROR(VLOOKUP(I10,Datos_higro!$A$21:$B$27,2,0),""))</f>
        <v/>
      </c>
      <c r="M10" s="9">
        <f>IF(OR(D10="",J10=""),"",IF(J10&lt;=G10,"CUMPLE","NO CUMPLE"))</f>
        <v/>
      </c>
    </row>
    <row r="11" ht="6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Cortina de enrollar exterior</t>
        </is>
      </c>
      <c r="J11" s="8" t="n">
        <v>2.8</v>
      </c>
      <c r="K11" s="9" t="inlineStr">
        <is>
          <t>Noreste</t>
        </is>
      </c>
      <c r="L11" s="8">
        <f>IF(I11="","",IFERROR(VLOOKUP(I11,Datos_higro!$A$21:$B$27,2,0),""))</f>
        <v/>
      </c>
      <c r="M11" s="9">
        <f>IF(OR(D11="",J11=""),"",IF(J11&lt;=G11,"CUMPLE","NO CUMPLE"))</f>
        <v/>
      </c>
    </row>
    <row r="12" ht="6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IF(I12="","",IFERROR(VLOOKUP(I12,Datos_higro!$A$21:$B$27,2,0),""))</f>
        <v/>
      </c>
      <c r="M12" s="9">
        <f>IF(OR(D12="",J12=""),"",IF(J12&lt;=G12,"CUMPLE","NO CUMPLE"))</f>
        <v/>
      </c>
    </row>
    <row r="13" ht="60" customHeight="1">
      <c r="A13" s="9" t="n"/>
      <c r="B13" s="8" t="n"/>
      <c r="C13" s="8" t="n"/>
      <c r="D13" s="8">
        <f>IF(COUNT(B13,C13)&lt;2,"",B13*C13)</f>
        <v/>
      </c>
      <c r="E13" s="19" t="n"/>
      <c r="F13" s="18">
        <f>IF(OR(D13="",$E$7=""),"",D13/$E$7)</f>
        <v/>
      </c>
      <c r="G13" s="8">
        <f>IF(A13="","",Datos_higro!$B$4)</f>
        <v/>
      </c>
      <c r="H13" s="9" t="n"/>
      <c r="I13" s="9" t="n"/>
      <c r="J13" s="8" t="n"/>
      <c r="K13" s="9" t="n"/>
      <c r="L13" s="8">
        <f>IF(I13="","",IFERROR(VLOOKUP(I13,Datos_higro!$A$21:$B$27,2,0),""))</f>
        <v/>
      </c>
      <c r="M13" s="9">
        <f>IF(OR(D13="",J13=""),"",IF(J13&lt;=G13,"CUMPLE","NO CUMPLE"))</f>
        <v/>
      </c>
    </row>
    <row r="14" ht="6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IF(I14="","",IFERROR(VLOOKUP(I14,Datos_higro!$A$21:$B$27,2,0),""))</f>
        <v/>
      </c>
      <c r="M14" s="13">
        <f>IF(OR(D14="",J14=""),"",IF(J14&lt;=G14,"CUMPLE","NO CUMPLE"))</f>
        <v/>
      </c>
    </row>
    <row r="15" ht="15.8" customHeight="1">
      <c r="A15" s="5" t="inlineStr">
        <is>
          <t>Plano: Fachada Sudoeste (borde izquierdo)</t>
        </is>
      </c>
      <c r="B15" s="4" t="n"/>
      <c r="C15" s="4" t="n"/>
      <c r="D15" s="4" t="n"/>
      <c r="E15" s="4" t="n"/>
      <c r="F15" s="4" t="n"/>
      <c r="G15" s="4" t="n"/>
      <c r="H15" s="4" t="n"/>
      <c r="I15" s="4" t="n"/>
      <c r="J15" s="4" t="n"/>
      <c r="K15" s="4" t="n"/>
      <c r="L15" s="4" t="n"/>
      <c r="M15" s="4" t="n"/>
    </row>
    <row r="16" ht="6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Cortina de enrollar exterior</t>
        </is>
      </c>
      <c r="J16" s="8" t="n">
        <v>2.8</v>
      </c>
      <c r="K16" s="9" t="inlineStr">
        <is>
          <t>Sudoeste</t>
        </is>
      </c>
      <c r="L16" s="8">
        <f>IF(I16="","",IFERROR(VLOOKUP(I16,Datos_higro!$A$21:$B$27,2,0),""))</f>
        <v/>
      </c>
      <c r="M16" s="9">
        <f>IF(OR(D16="",J16=""),"",IF(J16&lt;=G16,"CUMPLE","NO CUMPLE"))</f>
        <v/>
      </c>
    </row>
    <row r="17" ht="6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IF(I17="","",IFERROR(VLOOKUP(I17,Datos_higro!$A$21:$B$27,2,0),""))</f>
        <v/>
      </c>
      <c r="M17" s="9">
        <f>IF(OR(D17="",J17=""),"",IF(J17&lt;=G17,"CUMPLE","NO CUMPLE"))</f>
        <v/>
      </c>
    </row>
    <row r="18" ht="60" customHeight="1">
      <c r="A18" s="9" t="n"/>
      <c r="B18" s="8" t="n"/>
      <c r="C18" s="8" t="n"/>
      <c r="D18" s="8">
        <f>IF(COUNT(B18,C18)&lt;2,"",B18*C18)</f>
        <v/>
      </c>
      <c r="E18" s="19" t="n"/>
      <c r="F18" s="18">
        <f>IF(OR(D18="",$E$16=""),"",D18/$E$16)</f>
        <v/>
      </c>
      <c r="G18" s="8">
        <f>IF(A18="","",Datos_higro!$B$4)</f>
        <v/>
      </c>
      <c r="H18" s="9" t="n"/>
      <c r="I18" s="9" t="n"/>
      <c r="J18" s="8" t="n"/>
      <c r="K18" s="9" t="n"/>
      <c r="L18" s="8">
        <f>IF(I18="","",IFERROR(VLOOKUP(I18,Datos_higro!$A$21:$B$27,2,0),""))</f>
        <v/>
      </c>
      <c r="M18" s="9">
        <f>IF(OR(D18="",J18=""),"",IF(J18&lt;=G18,"CUMPLE","NO CUMPLE"))</f>
        <v/>
      </c>
    </row>
    <row r="19" ht="6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IF(I19="","",IFERROR(VLOOKUP(I19,Datos_higro!$A$21:$B$27,2,0),""))</f>
        <v/>
      </c>
      <c r="M19" s="13">
        <f>IF(OR(D19="",J19=""),"",IF(J19&lt;=G19,"CUMPLE","NO CUMPLE"))</f>
        <v/>
      </c>
    </row>
    <row r="20" ht="15.8" customHeight="1">
      <c r="A20" s="5" t="inlineStr">
        <is>
          <t>Plano: Fachada Sudeste (borde inferior)</t>
        </is>
      </c>
      <c r="B20" s="4" t="n"/>
      <c r="C20" s="4" t="n"/>
      <c r="D20" s="4" t="n"/>
      <c r="E20" s="4" t="n"/>
      <c r="F20" s="4" t="n"/>
      <c r="G20" s="4" t="n"/>
      <c r="H20" s="4" t="n"/>
      <c r="I20" s="4" t="n"/>
      <c r="J20" s="4" t="n"/>
      <c r="K20" s="4" t="n"/>
      <c r="L20" s="4" t="n"/>
      <c r="M20" s="4" t="n"/>
    </row>
    <row r="21" ht="6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Cortina de enrollar exterior</t>
        </is>
      </c>
      <c r="J21" s="8" t="n">
        <v>2.8</v>
      </c>
      <c r="K21" s="9" t="inlineStr">
        <is>
          <t>Sudeste</t>
        </is>
      </c>
      <c r="L21" s="8">
        <f>IF(I21="","",IFERROR(VLOOKUP(I21,Datos_higro!$A$21:$B$27,2,0),""))</f>
        <v/>
      </c>
      <c r="M21" s="9">
        <f>IF(OR(D21="",J21=""),"",IF(J21&lt;=G21,"CUMPLE","NO CUMPLE"))</f>
        <v/>
      </c>
    </row>
    <row r="22" ht="6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IF(I22="","",IFERROR(VLOOKUP(I22,Datos_higro!$A$21:$B$27,2,0),""))</f>
        <v/>
      </c>
      <c r="M22" s="9">
        <f>IF(OR(D22="",J22=""),"",IF(J22&lt;=G22,"CUMPLE","NO CUMPLE"))</f>
        <v/>
      </c>
    </row>
    <row r="23" ht="6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Cortina de enrollar exterior</t>
        </is>
      </c>
      <c r="J23" s="8" t="n">
        <v>2.8</v>
      </c>
      <c r="K23" s="9" t="inlineStr">
        <is>
          <t>Sudeste</t>
        </is>
      </c>
      <c r="L23" s="8">
        <f>IF(I23="","",IFERROR(VLOOKUP(I23,Datos_higro!$A$21:$B$27,2,0),""))</f>
        <v/>
      </c>
      <c r="M23" s="9">
        <f>IF(OR(D23="",J23=""),"",IF(J23&lt;=G23,"CUMPLE","NO CUMPLE"))</f>
        <v/>
      </c>
    </row>
    <row r="24" ht="6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Cortina de enrollar exterior</t>
        </is>
      </c>
      <c r="J24" s="8" t="n">
        <v>2.8</v>
      </c>
      <c r="K24" s="9" t="inlineStr">
        <is>
          <t>Sudeste</t>
        </is>
      </c>
      <c r="L24" s="8">
        <f>IF(I24="","",IFERROR(VLOOKUP(I24,Datos_higro!$A$21:$B$27,2,0),""))</f>
        <v/>
      </c>
      <c r="M24" s="9">
        <f>IF(OR(D24="",J24=""),"",IF(J24&lt;=G24,"CUMPLE","NO CUMPLE"))</f>
        <v/>
      </c>
    </row>
    <row r="25" ht="6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Cortina de enrollar exterior</t>
        </is>
      </c>
      <c r="J25" s="8" t="n">
        <v>2.8</v>
      </c>
      <c r="K25" s="9" t="inlineStr">
        <is>
          <t>Sudeste</t>
        </is>
      </c>
      <c r="L25" s="8">
        <f>IF(I25="","",IFERROR(VLOOKUP(I25,Datos_higro!$A$21:$B$27,2,0),""))</f>
        <v/>
      </c>
      <c r="M25" s="9">
        <f>IF(OR(D25="",J25=""),"",IF(J25&lt;=G25,"CUMPLE","NO CUMPLE"))</f>
        <v/>
      </c>
    </row>
    <row r="26" ht="6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Cortina de enrollar exterior</t>
        </is>
      </c>
      <c r="J26" s="8" t="n">
        <v>2.8</v>
      </c>
      <c r="K26" s="9" t="inlineStr">
        <is>
          <t>Sudeste</t>
        </is>
      </c>
      <c r="L26" s="8">
        <f>IF(I26="","",IFERROR(VLOOKUP(I26,Datos_higro!$A$21:$B$27,2,0),""))</f>
        <v/>
      </c>
      <c r="M26" s="9">
        <f>IF(OR(D26="",J26=""),"",IF(J26&lt;=G26,"CUMPLE","NO CUMPLE"))</f>
        <v/>
      </c>
    </row>
    <row r="27" ht="6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IF(I27="","",IFERROR(VLOOKUP(I27,Datos_higro!$A$21:$B$27,2,0),""))</f>
        <v/>
      </c>
      <c r="M27" s="9">
        <f>IF(OR(D27="",J27=""),"",IF(J27&lt;=G27,"CUMPLE","NO CUMPLE"))</f>
        <v/>
      </c>
    </row>
    <row r="28" ht="60" customHeight="1">
      <c r="A28" s="9" t="n"/>
      <c r="B28" s="8" t="n"/>
      <c r="C28" s="8" t="n"/>
      <c r="D28" s="8">
        <f>IF(COUNT(B28,C28)&lt;2,"",B28*C28)</f>
        <v/>
      </c>
      <c r="E28" s="19" t="n"/>
      <c r="F28" s="18">
        <f>IF(OR(D28="",$E$21=""),"",D28/$E$21)</f>
        <v/>
      </c>
      <c r="G28" s="8">
        <f>IF(A28="","",Datos_higro!$B$4)</f>
        <v/>
      </c>
      <c r="H28" s="9" t="n"/>
      <c r="I28" s="9" t="n"/>
      <c r="J28" s="8" t="n"/>
      <c r="K28" s="9" t="n"/>
      <c r="L28" s="8">
        <f>IF(I28="","",IFERROR(VLOOKUP(I28,Datos_higro!$A$21:$B$27,2,0),""))</f>
        <v/>
      </c>
      <c r="M28" s="9">
        <f>IF(OR(D28="",J28=""),"",IF(J28&lt;=G28,"CUMPLE","NO CUMPLE"))</f>
        <v/>
      </c>
    </row>
    <row r="29" ht="6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IF(I29="","",IFERROR(VLOOKUP(I29,Datos_higro!$A$21:$B$27,2,0),""))</f>
        <v/>
      </c>
      <c r="M29" s="13">
        <f>IF(OR(D29="",J29=""),"",IF(J29&lt;=G29,"CUMPLE","NO CUMPLE"))</f>
        <v/>
      </c>
    </row>
    <row r="30" ht="15.8" customHeight="1">
      <c r="A30" s="5" t="inlineStr">
        <is>
          <t>Plano: Fachada Noroeste (borde superior)</t>
        </is>
      </c>
      <c r="B30" s="4" t="n"/>
      <c r="C30" s="4" t="n"/>
      <c r="D30" s="4" t="n"/>
      <c r="E30" s="4" t="n"/>
      <c r="F30" s="4" t="n"/>
      <c r="G30" s="4" t="n"/>
      <c r="H30" s="4" t="n"/>
      <c r="I30" s="4" t="n"/>
      <c r="J30" s="4" t="n"/>
      <c r="K30" s="4" t="n"/>
      <c r="L30" s="4" t="n"/>
      <c r="M30" s="4" t="n"/>
    </row>
    <row r="31" ht="6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Cortina de enrollar exterior</t>
        </is>
      </c>
      <c r="J31" s="8" t="n">
        <v>2.8</v>
      </c>
      <c r="K31" s="9" t="inlineStr">
        <is>
          <t>Noroeste</t>
        </is>
      </c>
      <c r="L31" s="8">
        <f>IF(I31="","",IFERROR(VLOOKUP(I31,Datos_higro!$A$21:$B$27,2,0),""))</f>
        <v/>
      </c>
      <c r="M31" s="9">
        <f>IF(OR(D31="",J31=""),"",IF(J31&lt;=G31,"CUMPLE","NO CUMPLE"))</f>
        <v/>
      </c>
    </row>
    <row r="32" ht="6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Cortina de enrollar exterior</t>
        </is>
      </c>
      <c r="J32" s="8" t="n">
        <v>2.8</v>
      </c>
      <c r="K32" s="9" t="inlineStr">
        <is>
          <t>Noroeste</t>
        </is>
      </c>
      <c r="L32" s="8">
        <f>IF(I32="","",IFERROR(VLOOKUP(I32,Datos_higro!$A$21:$B$27,2,0),""))</f>
        <v/>
      </c>
      <c r="M32" s="9">
        <f>IF(OR(D32="",J32=""),"",IF(J32&lt;=G32,"CUMPLE","NO CUMPLE"))</f>
        <v/>
      </c>
    </row>
    <row r="33" ht="6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Cortina de enrollar exterior</t>
        </is>
      </c>
      <c r="J33" s="8" t="n">
        <v>2.8</v>
      </c>
      <c r="K33" s="9" t="inlineStr">
        <is>
          <t>Noroeste</t>
        </is>
      </c>
      <c r="L33" s="8">
        <f>IF(I33="","",IFERROR(VLOOKUP(I33,Datos_higro!$A$21:$B$27,2,0),""))</f>
        <v/>
      </c>
      <c r="M33" s="9">
        <f>IF(OR(D33="",J33=""),"",IF(J33&lt;=G33,"CUMPLE","NO CUMPLE"))</f>
        <v/>
      </c>
    </row>
    <row r="34" ht="6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Cortina de enrollar exterior</t>
        </is>
      </c>
      <c r="J34" s="8" t="n">
        <v>2.8</v>
      </c>
      <c r="K34" s="9" t="inlineStr">
        <is>
          <t>Noroeste</t>
        </is>
      </c>
      <c r="L34" s="8">
        <f>IF(I34="","",IFERROR(VLOOKUP(I34,Datos_higro!$A$21:$B$27,2,0),""))</f>
        <v/>
      </c>
      <c r="M34" s="9">
        <f>IF(OR(D34="",J34=""),"",IF(J34&lt;=G34,"CUMPLE","NO CUMPLE"))</f>
        <v/>
      </c>
    </row>
    <row r="35" ht="6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IF(I35="","",IFERROR(VLOOKUP(I35,Datos_higro!$A$21:$B$27,2,0),""))</f>
        <v/>
      </c>
      <c r="M35" s="9">
        <f>IF(OR(D35="",J35=""),"",IF(J35&lt;=G35,"CUMPLE","NO CUMPLE"))</f>
        <v/>
      </c>
    </row>
    <row r="36" ht="60" customHeight="1">
      <c r="A36" s="9" t="n"/>
      <c r="B36" s="8" t="n"/>
      <c r="C36" s="8" t="n"/>
      <c r="D36" s="8">
        <f>IF(COUNT(B36,C36)&lt;2,"",B36*C36)</f>
        <v/>
      </c>
      <c r="E36" s="19" t="n"/>
      <c r="F36" s="18">
        <f>IF(OR(D36="",$E$31=""),"",D36/$E$31)</f>
        <v/>
      </c>
      <c r="G36" s="8">
        <f>IF(A36="","",Datos_higro!$B$4)</f>
        <v/>
      </c>
      <c r="H36" s="9" t="n"/>
      <c r="I36" s="9" t="n"/>
      <c r="J36" s="8" t="n"/>
      <c r="K36" s="9" t="n"/>
      <c r="L36" s="8">
        <f>IF(I36="","",IFERROR(VLOOKUP(I36,Datos_higro!$A$21:$B$27,2,0),""))</f>
        <v/>
      </c>
      <c r="M36" s="9">
        <f>IF(OR(D36="",J36=""),"",IF(J36&lt;=G36,"CUMPLE","NO CUMPLE"))</f>
        <v/>
      </c>
    </row>
    <row r="37" ht="6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IF(I37="","",IFERROR(VLOOKUP(I37,Datos_higro!$A$21:$B$27,2,0),""))</f>
        <v/>
      </c>
      <c r="M37" s="13">
        <f>IF(OR(D37="",J37=""),"",IF(J37&lt;=G37,"CUMPLE","NO CUMPLE"))</f>
        <v/>
      </c>
    </row>
    <row r="38">
      <c r="A38" s="2" t="n"/>
      <c r="B38" s="2" t="n"/>
      <c r="C38" s="2" t="n"/>
      <c r="D38" s="2" t="n"/>
      <c r="E38" s="2" t="n"/>
      <c r="F38" s="2" t="n"/>
      <c r="G38" s="2" t="n"/>
      <c r="H38" s="2" t="n"/>
      <c r="I38" s="2" t="n"/>
      <c r="J38" s="2" t="n"/>
      <c r="K38" s="2" t="n"/>
      <c r="L38" s="2" t="n"/>
      <c r="M38" s="2" t="n"/>
    </row>
    <row r="39">
      <c r="A39" s="22" t="inlineStr">
        <is>
          <t>COMO SE COMPLETA</t>
        </is>
      </c>
      <c r="B39" s="2" t="n"/>
      <c r="C39" s="2" t="n"/>
      <c r="D39" s="2" t="n"/>
      <c r="E39" s="2" t="n"/>
      <c r="F39" s="2" t="n"/>
      <c r="G39" s="2" t="n"/>
      <c r="H39" s="2" t="n"/>
      <c r="I39" s="2" t="n"/>
      <c r="J39" s="2" t="n"/>
      <c r="K39" s="2" t="n"/>
      <c r="L39" s="2" t="n"/>
      <c r="M39" s="2" t="n"/>
    </row>
    <row r="40">
      <c r="A40" s="23" t="inlineStr">
        <is>
          <t>Descripcion, altura y ancho del vano: de la planilla de carpinterias.</t>
        </is>
      </c>
      <c r="B40" s="2" t="n"/>
      <c r="C40" s="2" t="n"/>
      <c r="D40" s="2" t="n"/>
      <c r="E40" s="2" t="n"/>
      <c r="F40" s="2" t="n"/>
      <c r="G40" s="2" t="n"/>
      <c r="H40" s="2" t="n"/>
      <c r="I40" s="2" t="n"/>
      <c r="J40" s="2" t="n"/>
      <c r="K40" s="2" t="n"/>
      <c r="L40" s="2" t="n"/>
      <c r="M40" s="2" t="n"/>
    </row>
    <row r="41">
      <c r="A41" s="23" t="inlineStr">
        <is>
          <t>Area del vano, area total por plano y porcentaje: se calculan solos.</t>
        </is>
      </c>
      <c r="B41" s="2" t="n"/>
      <c r="C41" s="2" t="n"/>
      <c r="D41" s="2" t="n"/>
      <c r="E41" s="2" t="n"/>
      <c r="F41" s="2" t="n"/>
      <c r="G41" s="2" t="n"/>
      <c r="H41" s="2" t="n"/>
      <c r="I41" s="2" t="n"/>
      <c r="J41" s="2" t="n"/>
      <c r="K41" s="2" t="n"/>
      <c r="L41" s="2" t="n"/>
      <c r="M41" s="2" t="n"/>
    </row>
    <row r="42">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c r="A43" s="23" t="inlineStr">
        <is>
          <t>Transmitancia del cerramiento: cargarla segun el vidrio y el marco adoptados.</t>
        </is>
      </c>
      <c r="B43" s="2" t="n"/>
      <c r="C43" s="2" t="n"/>
      <c r="D43" s="2" t="n"/>
      <c r="E43" s="2" t="n"/>
      <c r="F43" s="2" t="n"/>
      <c r="G43" s="2" t="n"/>
      <c r="H43" s="2" t="n"/>
      <c r="I43" s="2" t="n"/>
      <c r="J43" s="2" t="n"/>
      <c r="K43" s="2" t="n"/>
      <c r="L43" s="2" t="n"/>
      <c r="M43" s="2" t="n"/>
    </row>
    <row r="44">
      <c r="A44" s="23" t="inlineStr">
        <is>
          <t>PROTECCION: ningun pano fijo PF tiene cortina: PF01, su gemelo, PF02, PF03, PF04 y PF05 van</t>
        </is>
      </c>
      <c r="B44" s="2" t="n"/>
      <c r="C44" s="2" t="n"/>
      <c r="D44" s="2" t="n"/>
      <c r="E44" s="2" t="n"/>
      <c r="F44" s="2" t="n"/>
      <c r="G44" s="2" t="n"/>
      <c r="H44" s="2" t="n"/>
      <c r="I44" s="2" t="n"/>
      <c r="J44" s="2" t="n"/>
      <c r="K44" s="2" t="n"/>
      <c r="L44" s="2" t="n"/>
      <c r="M44" s="2" t="n"/>
    </row>
    <row r="45">
      <c r="A45" s="23" t="inlineStr">
        <is>
          <t>Sin Proteccion (FES 0,88). Las otras doce llevan cortina de enrollar exterior (FES 0,25).</t>
        </is>
      </c>
      <c r="B45" s="2" t="n"/>
      <c r="C45" s="2" t="n"/>
      <c r="D45" s="2" t="n"/>
      <c r="E45" s="2" t="n"/>
      <c r="F45" s="2" t="n"/>
      <c r="G45" s="2" t="n"/>
      <c r="H45" s="2" t="n"/>
      <c r="I45" s="2" t="n"/>
      <c r="J45" s="2" t="n"/>
      <c r="K45" s="2" t="n"/>
      <c r="L45" s="2" t="n"/>
      <c r="M45" s="2" t="n"/>
    </row>
    <row r="46">
      <c r="A46" s="23" t="inlineStr"/>
      <c r="B46" s="2" t="n"/>
      <c r="C46" s="2" t="n"/>
      <c r="D46" s="2" t="n"/>
      <c r="E46" s="2" t="n"/>
      <c r="F46" s="2" t="n"/>
      <c r="G46" s="2" t="n"/>
      <c r="H46" s="2" t="n"/>
      <c r="I46" s="2" t="n"/>
      <c r="J46" s="2" t="n"/>
      <c r="K46" s="2" t="n"/>
      <c r="L46" s="2" t="n"/>
      <c r="M46" s="2" t="n"/>
    </row>
    <row r="47">
      <c r="A47" s="23" t="inlineStr">
        <is>
          <t>OJO con esas seis: 0,88 esta muy por encima del maximo de 0,30 que la ordenanza admite para</t>
        </is>
      </c>
      <c r="B47" s="2" t="n"/>
      <c r="C47" s="2" t="n"/>
      <c r="D47" s="2" t="n"/>
      <c r="E47" s="2" t="n"/>
      <c r="F47" s="2" t="n"/>
      <c r="G47" s="2" t="n"/>
      <c r="H47" s="2" t="n"/>
      <c r="I47" s="2" t="n"/>
      <c r="J47" s="2" t="n"/>
      <c r="K47" s="2" t="n"/>
      <c r="L47" s="2" t="n"/>
      <c r="M47" s="2" t="n"/>
    </row>
    <row r="48">
      <c r="A48" s="23" t="inlineStr">
        <is>
          <t>el cuadrante Este/Oeste, donde caen las cuatro fachadas de esta casa por estar girada 45</t>
        </is>
      </c>
      <c r="B48" s="2" t="n"/>
      <c r="C48" s="2" t="n"/>
      <c r="D48" s="2" t="n"/>
      <c r="E48" s="2" t="n"/>
      <c r="F48" s="2" t="n"/>
      <c r="G48" s="2" t="n"/>
      <c r="H48" s="2" t="n"/>
      <c r="I48" s="2" t="n"/>
      <c r="J48" s="2" t="n"/>
      <c r="K48" s="2" t="n"/>
      <c r="L48" s="2" t="n"/>
      <c r="M48" s="2" t="n"/>
    </row>
    <row r="49">
      <c r="A49" s="23" t="inlineStr">
        <is>
          <t>grados. La verificacion de la planilla no lo controla, igual que la de la catedra, pero si lo</t>
        </is>
      </c>
      <c r="B49" s="2" t="n"/>
      <c r="C49" s="2" t="n"/>
      <c r="D49" s="2" t="n"/>
      <c r="E49" s="2" t="n"/>
      <c r="F49" s="2" t="n"/>
      <c r="G49" s="2" t="n"/>
      <c r="H49" s="2" t="n"/>
      <c r="I49" s="2" t="n"/>
      <c r="J49" s="2" t="n"/>
      <c r="K49" s="2" t="n"/>
      <c r="L49" s="2" t="n"/>
      <c r="M49" s="2" t="n"/>
    </row>
    <row r="50">
      <c r="A50" s="23" t="inlineStr">
        <is>
          <t>presentas en el municipio esas cinco aberturas no pasarian el factor de exposicion solar.</t>
        </is>
      </c>
      <c r="B50" s="2" t="n"/>
      <c r="C50" s="2" t="n"/>
      <c r="D50" s="2" t="n"/>
      <c r="E50" s="2" t="n"/>
      <c r="F50" s="2" t="n"/>
      <c r="G50" s="2" t="n"/>
      <c r="H50" s="2" t="n"/>
      <c r="I50" s="2" t="n"/>
      <c r="J50" s="2" t="n"/>
      <c r="K50" s="2" t="n"/>
      <c r="L50" s="2" t="n"/>
      <c r="M50" s="2" t="n"/>
    </row>
    <row r="51">
      <c r="A51" s="23" t="inlineStr">
        <is>
          <t>Hay una salida: si la abertura ocupa menos del 20% del lado expuesto del local, no se verifica</t>
        </is>
      </c>
      <c r="B51" s="2" t="n"/>
      <c r="C51" s="2" t="n"/>
      <c r="D51" s="2" t="n"/>
      <c r="E51" s="2" t="n"/>
      <c r="F51" s="2" t="n"/>
      <c r="G51" s="2" t="n"/>
      <c r="H51" s="2" t="n"/>
      <c r="I51" s="2" t="n"/>
      <c r="J51" s="2" t="n"/>
      <c r="K51" s="2" t="n"/>
      <c r="L51" s="2" t="n"/>
      <c r="M51" s="2" t="n"/>
    </row>
    <row r="52">
      <c r="A52" s="23" t="inlineStr">
        <is>
          <t>el FES. Conviene chequearlo local por local.</t>
        </is>
      </c>
      <c r="B52" s="2" t="n"/>
      <c r="C52" s="2" t="n"/>
      <c r="D52" s="2" t="n"/>
      <c r="E52" s="2" t="n"/>
      <c r="F52" s="2" t="n"/>
      <c r="G52" s="2" t="n"/>
      <c r="H52" s="2" t="n"/>
      <c r="I52" s="2" t="n"/>
      <c r="J52" s="2" t="n"/>
      <c r="K52" s="2" t="n"/>
      <c r="L52" s="2" t="n"/>
      <c r="M52" s="2" t="n"/>
    </row>
    <row r="53">
      <c r="A53" s="23" t="inlineStr"/>
      <c r="B53" s="2" t="n"/>
      <c r="C53" s="2" t="n"/>
      <c r="D53" s="2" t="n"/>
      <c r="E53" s="2" t="n"/>
      <c r="F53" s="2" t="n"/>
      <c r="G53" s="2" t="n"/>
      <c r="H53" s="2" t="n"/>
      <c r="I53" s="2" t="n"/>
      <c r="J53" s="2" t="n"/>
      <c r="K53" s="2" t="n"/>
      <c r="L53" s="2" t="n"/>
      <c r="M53" s="2" t="n"/>
    </row>
    <row r="54">
      <c r="A54" s="23" t="inlineStr">
        <is>
          <t>Orientacion: ya cargada. Factor de exposicion solar: se completa SOLO al elegir el tipo de</t>
        </is>
      </c>
      <c r="B54" s="2" t="n"/>
      <c r="C54" s="2" t="n"/>
      <c r="D54" s="2" t="n"/>
      <c r="E54" s="2" t="n"/>
      <c r="F54" s="2" t="n"/>
      <c r="G54" s="2" t="n"/>
      <c r="H54" s="2" t="n"/>
      <c r="I54" s="2" t="n"/>
      <c r="J54" s="2" t="n"/>
      <c r="K54" s="2" t="n"/>
      <c r="L54" s="2" t="n"/>
      <c r="M54" s="2" t="n"/>
    </row>
    <row r="55">
      <c r="A55" s="23" t="inlineStr">
        <is>
          <t>proteccion, con los valores de la tabla de Datos_higro (Sin Proteccion 0,88; Parasol</t>
        </is>
      </c>
      <c r="B55" s="2" t="n"/>
      <c r="C55" s="2" t="n"/>
      <c r="D55" s="2" t="n"/>
      <c r="E55" s="2" t="n"/>
      <c r="F55" s="2" t="n"/>
      <c r="G55" s="2" t="n"/>
      <c r="H55" s="2" t="n"/>
      <c r="I55" s="2" t="n"/>
      <c r="J55" s="2" t="n"/>
      <c r="K55" s="2" t="n"/>
      <c r="L55" s="2" t="n"/>
      <c r="M55" s="2" t="n"/>
    </row>
    <row r="56">
      <c r="A56" s="23" t="inlineStr">
        <is>
          <t>horizontal fijo 1:2 0,35), que son los mismos de la planilla de la catedra.</t>
        </is>
      </c>
      <c r="B56" s="2" t="n"/>
      <c r="C56" s="2" t="n"/>
      <c r="D56" s="2" t="n"/>
      <c r="E56" s="2" t="n"/>
      <c r="F56" s="2" t="n"/>
      <c r="G56" s="2" t="n"/>
      <c r="H56" s="2" t="n"/>
      <c r="I56" s="2" t="n"/>
      <c r="J56" s="2" t="n"/>
      <c r="K56" s="2" t="n"/>
      <c r="L56" s="2" t="n"/>
      <c r="M56" s="2" t="n"/>
    </row>
    <row r="57">
      <c r="A57" s="23" t="inlineStr">
        <is>
          <t>En Datos_higro esta ademas el FES maximo admitido por cuadrante segun la ordenanza, como</t>
        </is>
      </c>
      <c r="B57" s="2" t="n"/>
      <c r="C57" s="2" t="n"/>
      <c r="D57" s="2" t="n"/>
      <c r="E57" s="2" t="n"/>
      <c r="F57" s="2" t="n"/>
      <c r="G57" s="2" t="n"/>
      <c r="H57" s="2" t="n"/>
      <c r="I57" s="2" t="n"/>
      <c r="J57" s="2" t="n"/>
      <c r="K57" s="2" t="n"/>
      <c r="L57" s="2" t="n"/>
      <c r="M57" s="2" t="n"/>
    </row>
    <row r="58">
      <c r="A58" s="23" t="inlineStr">
        <is>
          <t>referencia: la verificacion no lo controla, igual que en la planilla de la catedra.</t>
        </is>
      </c>
      <c r="B58" s="2" t="n"/>
      <c r="C58" s="2" t="n"/>
      <c r="D58" s="2" t="n"/>
      <c r="E58" s="2" t="n"/>
      <c r="F58" s="2" t="n"/>
      <c r="G58" s="2" t="n"/>
      <c r="H58" s="2" t="n"/>
      <c r="I58" s="2" t="n"/>
      <c r="J58" s="2" t="n"/>
      <c r="K58" s="2" t="n"/>
      <c r="L58" s="2" t="n"/>
      <c r="M58" s="2" t="n"/>
    </row>
    <row r="59">
      <c r="A59" s="23" t="inlineStr"/>
      <c r="B59" s="2" t="n"/>
      <c r="C59" s="2" t="n"/>
      <c r="D59" s="2" t="n"/>
      <c r="E59" s="2" t="n"/>
      <c r="F59" s="2" t="n"/>
      <c r="G59" s="2" t="n"/>
      <c r="H59" s="2" t="n"/>
      <c r="I59" s="2" t="n"/>
      <c r="J59" s="2" t="n"/>
      <c r="K59" s="2" t="n"/>
      <c r="L59" s="2" t="n"/>
      <c r="M59" s="2" t="n"/>
    </row>
    <row r="60">
      <c r="A60" s="23" t="inlineStr">
        <is>
          <t>CARGADO de la planilla de carpinterias: designacion, ubicacion, ancho y tipo de vidrio</t>
        </is>
      </c>
      <c r="B60" s="2" t="n"/>
      <c r="C60" s="2" t="n"/>
      <c r="D60" s="2" t="n"/>
      <c r="E60" s="2" t="n"/>
      <c r="F60" s="2" t="n"/>
      <c r="G60" s="2" t="n"/>
      <c r="H60" s="2" t="n"/>
      <c r="I60" s="2" t="n"/>
      <c r="J60" s="2" t="n"/>
      <c r="K60" s="2" t="n"/>
      <c r="L60" s="2" t="n"/>
      <c r="M60" s="2" t="n"/>
    </row>
    <row r="61">
      <c r="A61" s="23" t="inlineStr">
        <is>
          <t>(DVH 6+9+3+3, carpinteria de aluminio linea A30 pintado negro, igual en todas las aberturas).</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c r="A63" s="23" t="inlineStr">
        <is>
          <t>ALTURAS: medidas sobre el dibujo de las vistas de la planilla de carpinterias, con la escala</t>
        </is>
      </c>
      <c r="B63" s="2" t="n"/>
      <c r="C63" s="2" t="n"/>
      <c r="D63" s="2" t="n"/>
      <c r="E63" s="2" t="n"/>
      <c r="F63" s="2" t="n"/>
      <c r="G63" s="2" t="n"/>
      <c r="H63" s="2" t="n"/>
      <c r="I63" s="2" t="n"/>
      <c r="J63" s="2" t="n"/>
      <c r="K63" s="2" t="n"/>
      <c r="L63" s="2" t="n"/>
      <c r="M63" s="2" t="n"/>
    </row>
    <row r="64">
      <c r="A64" s="23" t="inlineStr">
        <is>
          <t>verificada contra los anchos acotados (error menor a 2 cm). La mayoria de las aberturas son de</t>
        </is>
      </c>
      <c r="B64" s="2" t="n"/>
      <c r="C64" s="2" t="n"/>
      <c r="D64" s="2" t="n"/>
      <c r="E64" s="2" t="n"/>
      <c r="F64" s="2" t="n"/>
      <c r="G64" s="2" t="n"/>
      <c r="H64" s="2" t="n"/>
      <c r="I64" s="2" t="n"/>
      <c r="J64" s="2" t="n"/>
      <c r="K64" s="2" t="n"/>
      <c r="L64" s="2" t="n"/>
      <c r="M64" s="2" t="n"/>
    </row>
    <row r="65">
      <c r="A65" s="23" t="inlineStr">
        <is>
          <t>piso a cielorraso, 3,00 m. VERIFICARLAS contra el plano antes de presentar.</t>
        </is>
      </c>
      <c r="B65" s="2" t="n"/>
      <c r="C65" s="2" t="n"/>
      <c r="D65" s="2" t="n"/>
      <c r="E65" s="2" t="n"/>
      <c r="F65" s="2" t="n"/>
      <c r="G65" s="2" t="n"/>
      <c r="H65" s="2" t="n"/>
      <c r="I65" s="2" t="n"/>
      <c r="J65" s="2" t="n"/>
      <c r="K65" s="2" t="n"/>
      <c r="L65" s="2" t="n"/>
      <c r="M65" s="2" t="n"/>
    </row>
    <row r="66">
      <c r="A66" s="23" t="inlineStr">
        <is>
          <t>PF04 es la unica con antepecho: arranca a 1,09 y mide 0,60 de alto. El resto llega al piso.</t>
        </is>
      </c>
      <c r="B66" s="2" t="n"/>
      <c r="C66" s="2" t="n"/>
      <c r="D66" s="2" t="n"/>
      <c r="E66" s="2" t="n"/>
      <c r="F66" s="2" t="n"/>
      <c r="G66" s="2" t="n"/>
      <c r="H66" s="2" t="n"/>
      <c r="I66" s="2" t="n"/>
      <c r="J66" s="2" t="n"/>
      <c r="K66" s="2" t="n"/>
      <c r="L66" s="2" t="n"/>
      <c r="M66" s="2" t="n"/>
    </row>
    <row r="67">
      <c r="A67" s="23" t="inlineStr">
        <is>
          <t>Las alturas de PV01 (3,00), PF04 (0,60) y PV04 (2) (2,95) las aporto el autor del proyecto.</t>
        </is>
      </c>
      <c r="B67" s="2" t="n"/>
      <c r="C67" s="2" t="n"/>
      <c r="D67" s="2" t="n"/>
      <c r="E67" s="2" t="n"/>
      <c r="F67" s="2" t="n"/>
      <c r="G67" s="2" t="n"/>
      <c r="H67" s="2" t="n"/>
      <c r="I67" s="2" t="n"/>
      <c r="J67" s="2" t="n"/>
      <c r="K67" s="2" t="n"/>
      <c r="L67" s="2" t="n"/>
      <c r="M67" s="2" t="n"/>
    </row>
    <row r="68">
      <c r="A68" s="23" t="inlineStr"/>
      <c r="B68" s="2" t="n"/>
      <c r="C68" s="2" t="n"/>
      <c r="D68" s="2" t="n"/>
      <c r="E68" s="2" t="n"/>
      <c r="F68" s="2" t="n"/>
      <c r="G68" s="2" t="n"/>
      <c r="H68" s="2" t="n"/>
      <c r="I68" s="2" t="n"/>
      <c r="J68" s="2" t="n"/>
      <c r="K68" s="2" t="n"/>
      <c r="L68" s="2" t="n"/>
      <c r="M68" s="2" t="n"/>
    </row>
    <row r="69">
      <c r="A69" s="23" t="inlineStr">
        <is>
          <t>ORIENTACION: el simbolo de norte del plano (circulo con aguja, en el patio interno) apunta a</t>
        </is>
      </c>
      <c r="B69" s="2" t="n"/>
      <c r="C69" s="2" t="n"/>
      <c r="D69" s="2" t="n"/>
      <c r="E69" s="2" t="n"/>
      <c r="F69" s="2" t="n"/>
      <c r="G69" s="2" t="n"/>
      <c r="H69" s="2" t="n"/>
      <c r="I69" s="2" t="n"/>
      <c r="J69" s="2" t="n"/>
      <c r="K69" s="2" t="n"/>
      <c r="L69" s="2" t="n"/>
      <c r="M69" s="2" t="n"/>
    </row>
    <row r="70">
      <c r="A70" s="23" t="inlineStr">
        <is>
          <t>45 grados hacia arriba y a la derecha de la hoja. Entonces las cuatro fachadas NO son N-S-E-O</t>
        </is>
      </c>
      <c r="B70" s="2" t="n"/>
      <c r="C70" s="2" t="n"/>
      <c r="D70" s="2" t="n"/>
      <c r="E70" s="2" t="n"/>
      <c r="F70" s="2" t="n"/>
      <c r="G70" s="2" t="n"/>
      <c r="H70" s="2" t="n"/>
      <c r="I70" s="2" t="n"/>
      <c r="J70" s="2" t="n"/>
      <c r="K70" s="2" t="n"/>
      <c r="L70" s="2" t="n"/>
      <c r="M70" s="2" t="n"/>
    </row>
    <row r="71">
      <c r="A71" s="23" t="inlineStr">
        <is>
          <t>sino: arriba = Noroeste, derecha = Noreste, abajo = Sudeste, izquierda = Sudoeste.</t>
        </is>
      </c>
      <c r="B71" s="2" t="n"/>
      <c r="C71" s="2" t="n"/>
      <c r="D71" s="2" t="n"/>
      <c r="E71" s="2" t="n"/>
      <c r="F71" s="2" t="n"/>
      <c r="G71" s="2" t="n"/>
      <c r="H71" s="2" t="n"/>
      <c r="I71" s="2" t="n"/>
      <c r="J71" s="2" t="n"/>
      <c r="K71" s="2" t="n"/>
      <c r="L71" s="2" t="n"/>
      <c r="M71" s="2" t="n"/>
    </row>
    <row r="72">
      <c r="A72" s="23" t="inlineStr">
        <is>
          <t>Cada abertura se asigno a la fachada por su posicion en planta. Las del patio interno se</t>
        </is>
      </c>
      <c r="B72" s="2" t="n"/>
      <c r="C72" s="2" t="n"/>
      <c r="D72" s="2" t="n"/>
      <c r="E72" s="2" t="n"/>
      <c r="F72" s="2" t="n"/>
      <c r="G72" s="2" t="n"/>
      <c r="H72" s="2" t="n"/>
      <c r="I72" s="2" t="n"/>
      <c r="J72" s="2" t="n"/>
      <c r="K72" s="2" t="n"/>
      <c r="L72" s="2" t="n"/>
      <c r="M72" s="2" t="n"/>
    </row>
    <row r="73">
      <c r="A73" s="23" t="inlineStr">
        <is>
          <t>orientan por la pared en la que estan: miran hacia adentro del patio.</t>
        </is>
      </c>
      <c r="B73" s="2" t="n"/>
      <c r="C73" s="2" t="n"/>
      <c r="D73" s="2" t="n"/>
      <c r="E73" s="2" t="n"/>
      <c r="F73" s="2" t="n"/>
      <c r="G73" s="2" t="n"/>
      <c r="H73" s="2" t="n"/>
      <c r="I73" s="2" t="n"/>
      <c r="J73" s="2" t="n"/>
      <c r="K73" s="2" t="n"/>
      <c r="L73" s="2" t="n"/>
      <c r="M73" s="2" t="n"/>
    </row>
    <row r="74">
      <c r="A74" s="23" t="inlineStr">
        <is>
          <t>Los rotulos Dormitorio Norte y Dormitorio Sur del plano no coinciden con el norte real;</t>
        </is>
      </c>
      <c r="B74" s="2" t="n"/>
      <c r="C74" s="2" t="n"/>
      <c r="D74" s="2" t="n"/>
      <c r="E74" s="2" t="n"/>
      <c r="F74" s="2" t="n"/>
      <c r="G74" s="2" t="n"/>
      <c r="H74" s="2" t="n"/>
      <c r="I74" s="2" t="n"/>
      <c r="J74" s="2" t="n"/>
      <c r="K74" s="2" t="n"/>
      <c r="L74" s="2" t="n"/>
      <c r="M74" s="2" t="n"/>
    </row>
    <row r="75">
      <c r="A75" s="23" t="inlineStr">
        <is>
          <t>parecen ser nombres de uso, no orientaciones.</t>
        </is>
      </c>
      <c r="B75" s="2" t="n"/>
      <c r="C75" s="2" t="n"/>
      <c r="D75" s="2" t="n"/>
      <c r="E75" s="2" t="n"/>
      <c r="F75" s="2" t="n"/>
      <c r="G75" s="2" t="n"/>
      <c r="H75" s="2" t="n"/>
      <c r="I75" s="2" t="n"/>
      <c r="J75" s="2" t="n"/>
      <c r="K75" s="2" t="n"/>
      <c r="L75" s="2" t="n"/>
      <c r="M75" s="2" t="n"/>
    </row>
    <row r="76">
      <c r="A76" s="23" t="inlineStr"/>
      <c r="B76" s="2" t="n"/>
      <c r="C76" s="2" t="n"/>
      <c r="D76" s="2" t="n"/>
      <c r="E76" s="2" t="n"/>
      <c r="F76" s="2" t="n"/>
      <c r="G76" s="2" t="n"/>
      <c r="H76" s="2" t="n"/>
      <c r="I76" s="2" t="n"/>
      <c r="J76" s="2" t="n"/>
      <c r="K76" s="2" t="n"/>
      <c r="L76" s="2" t="n"/>
      <c r="M76" s="2" t="n"/>
    </row>
    <row r="77">
      <c r="A77" s="23" t="inlineStr">
        <is>
          <t>CANTIDADES: la planilla de carpinterias trae la cantidad de cada abertura. Tres van dos veces:</t>
        </is>
      </c>
      <c r="B77" s="2" t="n"/>
      <c r="C77" s="2" t="n"/>
      <c r="D77" s="2" t="n"/>
      <c r="E77" s="2" t="n"/>
      <c r="F77" s="2" t="n"/>
      <c r="G77" s="2" t="n"/>
      <c r="H77" s="2" t="n"/>
      <c r="I77" s="2" t="n"/>
      <c r="J77" s="2" t="n"/>
      <c r="K77" s="2" t="n"/>
      <c r="L77" s="2" t="n"/>
      <c r="M77" s="2" t="n"/>
    </row>
    <row r="78">
      <c r="A78" s="23" t="inlineStr">
        <is>
          <t>VA01 (01 Cocina y 09 Suite), VA04 (13 Dormitorio Norte y 14 Play Room) y PF01 (03 Lavadero y</t>
        </is>
      </c>
      <c r="B78" s="2" t="n"/>
      <c r="C78" s="2" t="n"/>
      <c r="D78" s="2" t="n"/>
      <c r="E78" s="2" t="n"/>
      <c r="F78" s="2" t="n"/>
      <c r="G78" s="2" t="n"/>
      <c r="H78" s="2" t="n"/>
      <c r="I78" s="2" t="n"/>
      <c r="J78" s="2" t="n"/>
      <c r="K78" s="2" t="n"/>
      <c r="L78" s="2" t="n"/>
      <c r="M78" s="2" t="n"/>
    </row>
    <row r="79">
      <c r="A79" s="23" t="inlineStr">
        <is>
          <t>07 Hall de ingreso, a los dos lados del patio interno). Por eso la planilla tiene 20 filas y</t>
        </is>
      </c>
      <c r="B79" s="2" t="n"/>
      <c r="C79" s="2" t="n"/>
      <c r="D79" s="2" t="n"/>
      <c r="E79" s="2" t="n"/>
      <c r="F79" s="2" t="n"/>
      <c r="G79" s="2" t="n"/>
      <c r="H79" s="2" t="n"/>
      <c r="I79" s="2" t="n"/>
      <c r="J79" s="2" t="n"/>
      <c r="K79" s="2" t="n"/>
      <c r="L79" s="2" t="n"/>
      <c r="M79" s="2" t="n"/>
    </row>
    <row r="80">
      <c r="A80" s="23" t="inlineStr">
        <is>
          <t>no 17. Las demas aberturas son de una sola unidad.</t>
        </is>
      </c>
      <c r="B80" s="2" t="n"/>
      <c r="C80" s="2" t="n"/>
      <c r="D80" s="2" t="n"/>
      <c r="E80" s="2" t="n"/>
      <c r="F80" s="2" t="n"/>
      <c r="G80" s="2" t="n"/>
      <c r="H80" s="2" t="n"/>
      <c r="I80" s="2" t="n"/>
      <c r="J80" s="2" t="n"/>
      <c r="K80" s="2" t="n"/>
      <c r="L80" s="2" t="n"/>
      <c r="M80" s="2" t="n"/>
    </row>
    <row r="81">
      <c r="A81" s="23" t="inlineStr"/>
      <c r="B81" s="2" t="n"/>
      <c r="C81" s="2" t="n"/>
      <c r="D81" s="2" t="n"/>
      <c r="E81" s="2" t="n"/>
      <c r="F81" s="2" t="n"/>
      <c r="G81" s="2" t="n"/>
      <c r="H81" s="2" t="n"/>
      <c r="I81" s="2" t="n"/>
      <c r="J81" s="2" t="n"/>
      <c r="K81" s="2" t="n"/>
      <c r="L81" s="2" t="n"/>
      <c r="M81" s="2" t="n"/>
    </row>
    <row r="82">
      <c r="A82" s="23" t="inlineStr">
        <is>
          <t>Las puertas interiores de madera PM01 a PM08 no se cargan: no son cerramientos exteriores.</t>
        </is>
      </c>
      <c r="B82" s="2" t="n"/>
      <c r="C82" s="2" t="n"/>
      <c r="D82" s="2" t="n"/>
      <c r="E82" s="2" t="n"/>
      <c r="F82" s="2" t="n"/>
      <c r="G82" s="2" t="n"/>
      <c r="H82" s="2" t="n"/>
      <c r="I82" s="2" t="n"/>
      <c r="J82" s="2" t="n"/>
      <c r="K82" s="2" t="n"/>
      <c r="L82" s="2" t="n"/>
      <c r="M82" s="2" t="n"/>
    </row>
    <row r="83">
      <c r="A83" s="23" t="inlineStr"/>
      <c r="B83" s="2" t="n"/>
      <c r="C83" s="2" t="n"/>
      <c r="D83" s="2" t="n"/>
      <c r="E83" s="2" t="n"/>
      <c r="F83" s="2" t="n"/>
      <c r="G83" s="2" t="n"/>
      <c r="H83" s="2" t="n"/>
      <c r="I83" s="2" t="n"/>
      <c r="J83" s="2" t="n"/>
      <c r="K83" s="2" t="n"/>
      <c r="L83" s="2" t="n"/>
      <c r="M83" s="2" t="n"/>
    </row>
    <row r="84">
      <c r="A84" s="23" t="inlineStr">
        <is>
          <t>DATO DE CONTRASTE: la planilla de iluminacion y ventilacion da la superficie vidriada</t>
        </is>
      </c>
      <c r="B84" s="2" t="n"/>
      <c r="C84" s="2" t="n"/>
      <c r="D84" s="2" t="n"/>
      <c r="E84" s="2" t="n"/>
      <c r="F84" s="2" t="n"/>
      <c r="G84" s="2" t="n"/>
      <c r="H84" s="2" t="n"/>
      <c r="I84" s="2" t="n"/>
      <c r="J84" s="2" t="n"/>
      <c r="K84" s="2" t="n"/>
      <c r="L84" s="2" t="n"/>
      <c r="M84" s="2" t="n"/>
    </row>
    <row r="85">
      <c r="A85" s="23" t="inlineStr">
        <is>
          <t>proyectada de cada local. La suma da 97,4 m2, que es el orden de magnitud que deberia</t>
        </is>
      </c>
      <c r="B85" s="2" t="n"/>
      <c r="C85" s="2" t="n"/>
      <c r="D85" s="2" t="n"/>
      <c r="E85" s="2" t="n"/>
      <c r="F85" s="2" t="n"/>
      <c r="G85" s="2" t="n"/>
      <c r="H85" s="2" t="n"/>
      <c r="I85" s="2" t="n"/>
      <c r="J85" s="2" t="n"/>
      <c r="K85" s="2" t="n"/>
      <c r="L85" s="2" t="n"/>
      <c r="M85" s="2" t="n"/>
    </row>
    <row r="86">
      <c r="A86" s="23" t="inlineStr">
        <is>
          <t>dar el total de vanos de los cuatro planos. Sirve para controlar que no falte ninguno.</t>
        </is>
      </c>
      <c r="B86" s="2" t="n"/>
      <c r="C86" s="2" t="n"/>
      <c r="D86" s="2" t="n"/>
      <c r="E86" s="2" t="n"/>
      <c r="F86" s="2" t="n"/>
      <c r="G86" s="2" t="n"/>
      <c r="H86" s="2" t="n"/>
      <c r="I86" s="2" t="n"/>
      <c r="J86" s="2" t="n"/>
      <c r="K86" s="2" t="n"/>
      <c r="L86" s="2" t="n"/>
      <c r="M86"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2">
      <formula>"CUMPLE"</formula>
    </cfRule>
    <cfRule type="cellIs" priority="2" operator="equal" dxfId="3">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=Datos_higro!$A$21:$A$27</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1.5" customWidth="1" min="1" max="1"/>
    <col width="12.6" customWidth="1" min="2" max="2"/>
    <col width="9.199999999999999" customWidth="1" min="3" max="3"/>
    <col width="10.3" customWidth="1" min="4" max="4"/>
    <col width="36.8" customWidth="1" min="5" max="5"/>
    <col width="10.3" customWidth="1" min="6" max="6"/>
    <col width="10.3" customWidth="1" min="7" max="7"/>
    <col width="13.8" customWidth="1" min="8" max="8"/>
    <col width="13.8" customWidth="1" min="9" max="9"/>
    <col width="6.9" customWidth="1" min="10" max="10"/>
    <col width="6.9" customWidth="1" min="11" max="11"/>
    <col width="6.9" customWidth="1" min="12" max="12"/>
    <col width="8" customWidth="1" min="13" max="13"/>
    <col width="5.8" customWidth="1" min="14" max="14"/>
    <col width="6.9" customWidth="1" min="15" max="15"/>
    <col width="8" customWidth="1" min="16" max="16"/>
    <col width="5.8" customWidth="1" min="17" max="17"/>
    <col width="6.9" customWidth="1" min="18" max="18"/>
    <col width="8" customWidth="1" min="19" max="19"/>
    <col width="8" customWidth="1" min="20" max="20"/>
    <col width="6.9" customWidth="1" min="21" max="21"/>
    <col width="9.199999999999999" customWidth="1" min="22" max="22"/>
    <col width="17.2" customWidth="1" min="23" max="23"/>
    <col width="39.1" customWidth="1" min="24" max="24"/>
    <col width="19.5" customWidth="1" min="25" max="25"/>
    <col width="12.6" customWidth="1" min="26" max="26"/>
    <col width="9.199999999999999" customWidth="1" min="27" max="27"/>
    <col width="11.5" customWidth="1" min="28" max="28"/>
    <col width="11.5" customWidth="1" min="29" max="29"/>
    <col width="12.6" customWidth="1" min="30" max="30"/>
    <col width="9.199999999999999" customWidth="1" min="31" max="31"/>
    <col width="9.199999999999999" customWidth="1" min="32" max="32"/>
    <col width="9.199999999999999" customWidth="1" min="33" max="33"/>
    <col width="8" customWidth="1" min="34" max="34"/>
  </cols>
  <sheetData>
    <row r="1" ht="22"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29.5"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6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6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6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6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6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6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6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6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6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6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6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6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6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6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6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6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6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6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6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6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6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6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6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6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6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6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6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6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6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6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6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3" customWidth="1" min="1" max="1"/>
    <col width="11.5" customWidth="1" min="2" max="2"/>
    <col width="10.3" customWidth="1" min="3" max="3"/>
    <col width="14.9" customWidth="1" min="4" max="4"/>
    <col width="10.3" customWidth="1" min="5" max="5"/>
    <col width="36.8" customWidth="1" min="6" max="6"/>
    <col width="6.9" customWidth="1" min="7" max="7"/>
    <col width="6.9" customWidth="1" min="8" max="8"/>
    <col width="13.8" customWidth="1" min="9" max="9"/>
    <col width="9.199999999999999" customWidth="1" min="10" max="10"/>
    <col width="6.9" customWidth="1" min="11" max="11"/>
    <col width="9.199999999999999" customWidth="1" min="12" max="12"/>
    <col width="9.199999999999999" customWidth="1" min="13" max="13"/>
    <col width="6.9" customWidth="1" min="14" max="14"/>
    <col width="9.199999999999999" customWidth="1" min="15" max="15"/>
    <col width="10.3" customWidth="1" min="16" max="16"/>
    <col width="10.3" customWidth="1" min="17" max="17"/>
    <col width="46" customWidth="1" min="18" max="18"/>
    <col width="11.5" customWidth="1" min="19" max="19"/>
    <col width="9.199999999999999" customWidth="1" min="20" max="20"/>
  </cols>
  <sheetData>
    <row r="1" ht="22"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29.5"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6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6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6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6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6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6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6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6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6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6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6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6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3" customWidth="1" min="1" max="1"/>
    <col width="11.5" customWidth="1" min="2" max="2"/>
    <col width="11.5" customWidth="1" min="3" max="3"/>
    <col width="11.5" customWidth="1" min="4" max="4"/>
    <col width="8" customWidth="1" min="5" max="5"/>
    <col width="8" customWidth="1" min="6" max="6"/>
    <col width="9.199999999999999" customWidth="1" min="7" max="7"/>
    <col width="9.199999999999999" customWidth="1" min="8" max="8"/>
    <col width="6.9" customWidth="1" min="9" max="9"/>
    <col width="6.9" customWidth="1" min="10" max="10"/>
    <col width="6.9" customWidth="1" min="11" max="11"/>
    <col width="9.199999999999999" customWidth="1" min="12" max="12"/>
    <col width="16.1" customWidth="1" min="13" max="13"/>
    <col width="48.3" customWidth="1" min="14" max="14"/>
    <col width="10.3" customWidth="1" min="15" max="15"/>
    <col width="11.5" customWidth="1" min="16" max="16"/>
    <col width="10.3" customWidth="1" min="17" max="17"/>
    <col width="13.8" customWidth="1" min="18" max="18"/>
  </cols>
  <sheetData>
    <row r="1" ht="22"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6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6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6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6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6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6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6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6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6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6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6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6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6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6" customWidth="1" min="1" max="1"/>
    <col width="10.3" customWidth="1" min="2" max="2"/>
    <col width="19.5" customWidth="1" min="3" max="3"/>
    <col width="10.3" customWidth="1" min="4" max="4"/>
    <col width="36.8" customWidth="1" min="5" max="5"/>
    <col width="10.3" customWidth="1" min="6" max="6"/>
    <col width="10.3" customWidth="1" min="7" max="7"/>
    <col width="13.8" customWidth="1" min="8" max="8"/>
    <col width="13.8" customWidth="1" min="9" max="9"/>
    <col width="6.9" customWidth="1" min="10" max="10"/>
    <col width="6.9" customWidth="1" min="11" max="11"/>
    <col width="6.9" customWidth="1" min="12" max="12"/>
    <col width="8" customWidth="1" min="13" max="13"/>
    <col width="5.8" customWidth="1" min="14" max="14"/>
    <col width="6.9" customWidth="1" min="15" max="15"/>
    <col width="8" customWidth="1" min="16" max="16"/>
    <col width="5.8" customWidth="1" min="17" max="17"/>
    <col width="6.9" customWidth="1" min="18" max="18"/>
    <col width="8" customWidth="1" min="19" max="19"/>
    <col width="8" customWidth="1" min="20" max="20"/>
    <col width="6.9" customWidth="1" min="21" max="21"/>
    <col width="9.199999999999999" customWidth="1" min="22" max="22"/>
    <col width="17.2" customWidth="1" min="23" max="23"/>
    <col width="46" customWidth="1" min="24" max="24"/>
    <col width="9.199999999999999" customWidth="1" min="25" max="25"/>
    <col width="8" customWidth="1" min="26" max="26"/>
  </cols>
  <sheetData>
    <row r="1" ht="22"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29.5"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6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6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6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6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6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6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6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6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6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6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6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6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6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6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6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6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6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6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6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6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6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6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6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6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6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6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6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6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6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6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6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1.5" customWidth="1" min="1" max="1"/>
    <col width="14.9" customWidth="1" min="2" max="2"/>
    <col width="9.199999999999999" customWidth="1" min="3" max="3"/>
    <col width="8" customWidth="1" min="4" max="4"/>
    <col width="8" customWidth="1" min="5" max="5"/>
    <col width="8" customWidth="1" min="6" max="6"/>
    <col width="12.6" customWidth="1" min="7" max="7"/>
    <col width="12.6" customWidth="1" min="8" max="8"/>
    <col width="10.3" customWidth="1" min="9" max="9"/>
    <col width="9.199999999999999" customWidth="1" min="10" max="10"/>
    <col width="10.3" customWidth="1" min="11" max="11"/>
    <col width="12.6" customWidth="1" min="12" max="12"/>
    <col width="12.6" customWidth="1" min="13" max="13"/>
    <col width="16.1" customWidth="1" min="14" max="14"/>
    <col width="50.6" customWidth="1" min="15" max="15"/>
  </cols>
  <sheetData>
    <row r="1" ht="22"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9.5"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5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5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5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5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5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6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6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6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6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199999999999999" customWidth="1" min="1" max="1"/>
    <col width="11.5" customWidth="1" min="2" max="2"/>
    <col width="11.5" customWidth="1" min="3" max="3"/>
    <col width="11.5" customWidth="1" min="4" max="4"/>
    <col width="9.199999999999999" customWidth="1" min="5" max="5"/>
    <col width="9.199999999999999" customWidth="1" min="6" max="6"/>
    <col width="9.199999999999999" customWidth="1" min="7" max="7"/>
    <col width="6.9" customWidth="1" min="8" max="8"/>
    <col width="12.6" customWidth="1" min="9" max="9"/>
    <col width="9.199999999999999" customWidth="1" min="10" max="10"/>
    <col width="6.9" customWidth="1" min="11" max="11"/>
    <col width="12.6" customWidth="1" min="12" max="12"/>
    <col width="11.5" customWidth="1" min="13" max="13"/>
    <col width="13.8" customWidth="1" min="14" max="14"/>
    <col width="11.5" customWidth="1" min="15" max="15"/>
    <col width="14.9" customWidth="1" min="16" max="16"/>
    <col width="50.6"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9.5"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6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6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6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6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6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6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6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6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6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6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6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6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6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9.1" customWidth="1" min="1" max="1"/>
    <col width="14.9" customWidth="1" min="2" max="2"/>
    <col width="11.5" customWidth="1" min="3" max="3"/>
    <col width="17.2" customWidth="1" min="4" max="4"/>
    <col width="17.2" customWidth="1" min="5" max="5"/>
    <col width="64.40000000000001" customWidth="1" min="6" max="6"/>
  </cols>
  <sheetData>
    <row r="1">
      <c r="A1" s="22" t="inlineStr">
        <is>
          <t>DATOS DE PARTIDA - HIPOTESIS DE CALCULO</t>
        </is>
      </c>
      <c r="B1" s="2" t="n"/>
      <c r="C1" s="2" t="n"/>
      <c r="D1" s="2" t="n"/>
      <c r="E1" s="2" t="n"/>
      <c r="F1" s="2" t="n"/>
    </row>
    <row r="2">
      <c r="A2" s="23" t="inlineStr">
        <is>
          <t>Celdas verdes: editables. La planilla recalcula sola.</t>
        </is>
      </c>
      <c r="B2" s="2" t="n"/>
      <c r="C2" s="2" t="n"/>
      <c r="D2" s="2" t="n"/>
      <c r="E2" s="2" t="n"/>
      <c r="F2" s="2" t="n"/>
    </row>
    <row r="3">
      <c r="A3" s="2" t="n"/>
      <c r="B3" s="2" t="n"/>
      <c r="C3" s="2" t="n"/>
      <c r="D3" s="2" t="n"/>
      <c r="E3" s="2" t="n"/>
      <c r="F3" s="2" t="n"/>
    </row>
    <row r="4" ht="15.8" customHeight="1">
      <c r="A4" s="33" t="inlineStr">
        <is>
          <t>MATERIALES</t>
        </is>
      </c>
      <c r="B4" s="3" t="inlineStr">
        <is>
          <t>valor</t>
        </is>
      </c>
      <c r="C4" s="3" t="inlineStr">
        <is>
          <t>unidad</t>
        </is>
      </c>
      <c r="D4" s="2" t="n"/>
      <c r="E4" s="2" t="n"/>
      <c r="F4" s="2" t="n"/>
    </row>
    <row r="5" ht="14.5" customHeight="1">
      <c r="A5" s="34" t="inlineStr">
        <is>
          <t>Hormigon H-21   f'c</t>
        </is>
      </c>
      <c r="B5" s="9" t="n">
        <v>210</v>
      </c>
      <c r="C5" s="9" t="inlineStr">
        <is>
          <t>kg/cm2</t>
        </is>
      </c>
      <c r="D5" s="2" t="n"/>
      <c r="E5" s="2" t="n"/>
      <c r="F5" s="2" t="n"/>
    </row>
    <row r="6" ht="14.5" customHeight="1">
      <c r="A6" s="34" t="inlineStr">
        <is>
          <t>Acero 42/50   fy</t>
        </is>
      </c>
      <c r="B6" s="9" t="n">
        <v>4200</v>
      </c>
      <c r="C6" s="9" t="inlineStr">
        <is>
          <t>kg/cm2</t>
        </is>
      </c>
      <c r="D6" s="2" t="n"/>
      <c r="E6" s="2" t="n"/>
      <c r="F6" s="2" t="n"/>
    </row>
    <row r="7" ht="14.5" customHeight="1">
      <c r="A7" s="34" t="inlineStr">
        <is>
          <t>Peso especifico H.A.</t>
        </is>
      </c>
      <c r="B7" s="9" t="n">
        <v>2400</v>
      </c>
      <c r="C7" s="9" t="inlineStr">
        <is>
          <t>kg/m3</t>
        </is>
      </c>
      <c r="D7" s="2" t="n"/>
      <c r="E7" s="2" t="n"/>
      <c r="F7" s="2" t="n"/>
    </row>
    <row r="8" ht="14.5" customHeight="1">
      <c r="A8" s="34" t="inlineStr">
        <is>
          <t>phi flexion</t>
        </is>
      </c>
      <c r="B8" s="9" t="n">
        <v>0.9</v>
      </c>
      <c r="C8" s="9" t="inlineStr">
        <is>
          <t>-</t>
        </is>
      </c>
      <c r="D8" s="2" t="n"/>
      <c r="E8" s="2" t="n"/>
      <c r="F8" s="2" t="n"/>
    </row>
    <row r="9" ht="14.5" customHeight="1">
      <c r="A9" s="34" t="inlineStr">
        <is>
          <t>phi corte</t>
        </is>
      </c>
      <c r="B9" s="9" t="n">
        <v>0.75</v>
      </c>
      <c r="C9" s="9" t="inlineStr">
        <is>
          <t>-</t>
        </is>
      </c>
      <c r="D9" s="2" t="n"/>
      <c r="E9" s="2" t="n"/>
      <c r="F9" s="2" t="n"/>
    </row>
    <row r="10" ht="14.5" customHeight="1">
      <c r="A10" s="34" t="inlineStr">
        <is>
          <t>Coef. mayoracion permanente</t>
        </is>
      </c>
      <c r="B10" s="9" t="n">
        <v>1.2</v>
      </c>
      <c r="C10" s="9" t="inlineStr">
        <is>
          <t>-</t>
        </is>
      </c>
      <c r="D10" s="2" t="n"/>
      <c r="E10" s="2" t="n"/>
      <c r="F10" s="2" t="n"/>
    </row>
    <row r="11" ht="14.5" customHeight="1">
      <c r="A11" s="34" t="inlineStr">
        <is>
          <t>Coef. mayoracion sobrecarga</t>
        </is>
      </c>
      <c r="B11" s="9" t="n">
        <v>1.6</v>
      </c>
      <c r="C11" s="9" t="inlineStr">
        <is>
          <t>-</t>
        </is>
      </c>
      <c r="D11" s="2" t="n"/>
      <c r="E11" s="2" t="n"/>
      <c r="F11" s="2" t="n"/>
    </row>
    <row r="12">
      <c r="A12" s="2" t="n"/>
      <c r="B12" s="2" t="n"/>
      <c r="C12" s="2" t="n"/>
      <c r="D12" s="2" t="n"/>
      <c r="E12" s="2" t="n"/>
      <c r="F12" s="2" t="n"/>
    </row>
    <row r="13" ht="15.8" customHeight="1">
      <c r="A13" s="33" t="inlineStr">
        <is>
          <t>PAQUETES DE CARGA</t>
        </is>
      </c>
      <c r="B13" s="3" t="inlineStr">
        <is>
          <t>g (kg/m2)</t>
        </is>
      </c>
      <c r="C13" s="3" t="inlineStr">
        <is>
          <t>q (kg/m2)</t>
        </is>
      </c>
      <c r="D13" s="3" t="inlineStr">
        <is>
          <t>h muro (m)</t>
        </is>
      </c>
      <c r="E13" s="3" t="inlineStr">
        <is>
          <t>B trib. (m)</t>
        </is>
      </c>
      <c r="F13" s="3" t="inlineStr">
        <is>
          <t>composicion</t>
        </is>
      </c>
    </row>
    <row r="14" ht="27" customHeight="1">
      <c r="A14" s="35" t="inlineStr">
        <is>
          <t>PA</t>
        </is>
      </c>
      <c r="B14" s="25" t="n">
        <v>550</v>
      </c>
      <c r="C14" s="25" t="n">
        <v>200</v>
      </c>
      <c r="D14" s="8" t="n">
        <v>2.6</v>
      </c>
      <c r="E14" s="8" t="n">
        <v>2</v>
      </c>
      <c r="F14" s="10" t="inlineStr">
        <is>
          <t>Losa 12 cm 300 + contrapiso 130 + carpeta 42 + piso 50 + cielorraso 20</t>
        </is>
      </c>
    </row>
    <row r="15" ht="27" customHeight="1">
      <c r="A15" s="35" t="inlineStr">
        <is>
          <t>TECHO</t>
        </is>
      </c>
      <c r="B15" s="25" t="n">
        <v>560</v>
      </c>
      <c r="C15" s="25" t="n">
        <v>100</v>
      </c>
      <c r="D15" s="8" t="n">
        <v>1</v>
      </c>
      <c r="E15" s="8" t="n">
        <v>2</v>
      </c>
      <c r="F15" s="10" t="inlineStr">
        <is>
          <t>Losa 12 cm 300 + contrapiso pendiente 140 + carpeta 42 + aislacion 50 + cielorraso 20</t>
        </is>
      </c>
    </row>
    <row r="16" ht="14.5" customHeight="1">
      <c r="A16" s="34" t="inlineStr">
        <is>
          <t>Mamposteria sobre viga</t>
        </is>
      </c>
      <c r="B16" s="9" t="n">
        <v>250</v>
      </c>
      <c r="C16" s="9" t="inlineStr">
        <is>
          <t>kg/m2</t>
        </is>
      </c>
      <c r="D16" s="2" t="n"/>
      <c r="E16" s="2" t="n"/>
      <c r="F16" s="34" t="inlineStr">
        <is>
          <t>Ladrillo hueco 18 cm + revoque en ambas caras</t>
        </is>
      </c>
    </row>
    <row r="17">
      <c r="A17" s="2" t="n"/>
      <c r="B17" s="2" t="n"/>
      <c r="C17" s="2" t="n"/>
      <c r="D17" s="2" t="n"/>
      <c r="E17" s="2" t="n"/>
      <c r="F17" s="2" t="n"/>
    </row>
    <row r="18" ht="15.8" customHeight="1">
      <c r="A18" s="33" t="inlineStr">
        <is>
          <t>COEFICIENTES SEGUN ESQUEMA</t>
        </is>
      </c>
      <c r="B18" s="3" t="inlineStr">
        <is>
          <t>M tramo</t>
        </is>
      </c>
      <c r="C18" s="3" t="inlineStr">
        <is>
          <t>M apoyo</t>
        </is>
      </c>
      <c r="D18" s="3" t="inlineStr">
        <is>
          <t>Reaccion</t>
        </is>
      </c>
      <c r="E18" s="3" t="inlineStr">
        <is>
          <t>L/d min</t>
        </is>
      </c>
      <c r="F18" s="2" t="n"/>
    </row>
    <row r="19">
      <c r="A19" s="34" t="inlineStr">
        <is>
          <t>Simplemente apoyada</t>
        </is>
      </c>
      <c r="B19" s="36" t="n">
        <v>0.125</v>
      </c>
      <c r="C19" s="36" t="n">
        <v>0</v>
      </c>
      <c r="D19" s="36" t="n">
        <v>0.5</v>
      </c>
      <c r="E19" s="28" t="n">
        <v>16</v>
      </c>
      <c r="F19" s="2" t="n"/>
    </row>
    <row r="20">
      <c r="A20" s="34" t="inlineStr">
        <is>
          <t>Continua</t>
        </is>
      </c>
      <c r="B20" s="36" t="n">
        <v>0.07142999999999999</v>
      </c>
      <c r="C20" s="36" t="n">
        <v>0.1</v>
      </c>
      <c r="D20" s="36" t="n">
        <v>0.575</v>
      </c>
      <c r="E20" s="28" t="n">
        <v>21</v>
      </c>
      <c r="F20" s="2" t="n"/>
    </row>
    <row r="21">
      <c r="A21" s="34" t="inlineStr">
        <is>
          <t>Empotrada-apoyada</t>
        </is>
      </c>
      <c r="B21" s="36" t="n">
        <v>0.07031</v>
      </c>
      <c r="C21" s="36" t="n">
        <v>0.125</v>
      </c>
      <c r="D21" s="36" t="n">
        <v>0.625</v>
      </c>
      <c r="E21" s="28" t="n">
        <v>18.5</v>
      </c>
      <c r="F21" s="2" t="n"/>
    </row>
    <row r="22">
      <c r="A22" s="34" t="inlineStr">
        <is>
          <t>Biempotrada</t>
        </is>
      </c>
      <c r="B22" s="36" t="n">
        <v>0.04167</v>
      </c>
      <c r="C22" s="36" t="n">
        <v>0.08333</v>
      </c>
      <c r="D22" s="36" t="n">
        <v>0.5</v>
      </c>
      <c r="E22" s="28" t="n">
        <v>21</v>
      </c>
      <c r="F22" s="2" t="n"/>
    </row>
    <row r="23">
      <c r="A23" s="34" t="inlineStr">
        <is>
          <t>Voladizo</t>
        </is>
      </c>
      <c r="B23" s="36" t="n">
        <v>0</v>
      </c>
      <c r="C23" s="36" t="n">
        <v>0.5</v>
      </c>
      <c r="D23" s="36" t="n">
        <v>1</v>
      </c>
      <c r="E23" s="28" t="n">
        <v>8</v>
      </c>
      <c r="F23" s="2" t="n"/>
    </row>
    <row r="24">
      <c r="A24" s="2" t="n"/>
      <c r="B24" s="2" t="n"/>
      <c r="C24" s="2" t="n"/>
      <c r="D24" s="2" t="n"/>
      <c r="E24" s="2" t="n"/>
      <c r="F24" s="2" t="n"/>
    </row>
    <row r="25">
      <c r="A25" s="22" t="inlineStr">
        <is>
          <t>p = 1,2 g + 1,6 q    |    M = coef x p x L2    |    R = coef x p x L</t>
        </is>
      </c>
      <c r="B25" s="2" t="n"/>
      <c r="C25" s="2" t="n"/>
      <c r="D25" s="2" t="n"/>
      <c r="E25" s="2" t="n"/>
      <c r="F25"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6.8" customWidth="1" min="1" max="1"/>
    <col width="14.9" customWidth="1" min="2" max="2"/>
    <col width="12.6" customWidth="1" min="3" max="3"/>
    <col width="14.9" customWidth="1" min="4" max="4"/>
    <col width="14.9" customWidth="1" min="5" max="5"/>
    <col width="59.8" customWidth="1" min="6" max="6"/>
  </cols>
  <sheetData>
    <row r="1">
      <c r="A1" s="22" t="inlineStr">
        <is>
          <t>DATOS DE PARTIDA - LOSAS</t>
        </is>
      </c>
      <c r="B1" s="2" t="n"/>
      <c r="C1" s="2" t="n"/>
      <c r="D1" s="2" t="n"/>
    </row>
    <row r="2">
      <c r="A2" s="23" t="inlineStr">
        <is>
          <t>Celdas verdes: editables. La planilla recalcula sola.</t>
        </is>
      </c>
      <c r="B2" s="2" t="n"/>
      <c r="C2" s="2" t="n"/>
      <c r="D2" s="2" t="n"/>
    </row>
    <row r="3">
      <c r="A3" s="2" t="n"/>
      <c r="B3" s="2" t="n"/>
      <c r="C3" s="2" t="n"/>
      <c r="D3" s="2" t="n"/>
    </row>
    <row r="4" ht="15.8" customHeight="1">
      <c r="A4" s="33" t="inlineStr">
        <is>
          <t>MATERIALES Y METODO</t>
        </is>
      </c>
      <c r="B4" s="3" t="inlineStr">
        <is>
          <t>valor</t>
        </is>
      </c>
      <c r="C4" s="3" t="inlineStr">
        <is>
          <t>unidad</t>
        </is>
      </c>
      <c r="D4" s="2" t="n"/>
    </row>
    <row r="5" ht="14.5" customHeight="1">
      <c r="A5" s="34" t="inlineStr">
        <is>
          <t>Hormigon H-21   f'c</t>
        </is>
      </c>
      <c r="B5" s="9" t="n">
        <v>210</v>
      </c>
      <c r="C5" s="9" t="inlineStr">
        <is>
          <t>kg/cm2</t>
        </is>
      </c>
      <c r="D5" s="2" t="n"/>
    </row>
    <row r="6" ht="14.5" customHeight="1">
      <c r="A6" s="34" t="inlineStr">
        <is>
          <t>Acero 42/50   fy</t>
        </is>
      </c>
      <c r="B6" s="9" t="n">
        <v>4200</v>
      </c>
      <c r="C6" s="9" t="inlineStr">
        <is>
          <t>kg/cm2</t>
        </is>
      </c>
      <c r="D6" s="2" t="n"/>
    </row>
    <row r="7" ht="14.5" customHeight="1">
      <c r="A7" s="34" t="inlineStr">
        <is>
          <t>Tension admisible del acero</t>
        </is>
      </c>
      <c r="B7" s="9" t="n">
        <v>2400</v>
      </c>
      <c r="C7" s="9" t="inlineStr">
        <is>
          <t>kg/cm2</t>
        </is>
      </c>
      <c r="D7" s="2" t="n"/>
    </row>
    <row r="8" ht="14.5" customHeight="1">
      <c r="A8" s="34" t="inlineStr">
        <is>
          <t>Brazo elastico  z / h</t>
        </is>
      </c>
      <c r="B8" s="9" t="n">
        <v>0.9</v>
      </c>
      <c r="C8" s="9" t="inlineStr">
        <is>
          <t>-</t>
        </is>
      </c>
      <c r="D8" s="2" t="n"/>
    </row>
    <row r="9" ht="14.5" customHeight="1">
      <c r="A9" s="34" t="inlineStr">
        <is>
          <t>Peso especifico H.A.</t>
        </is>
      </c>
      <c r="B9" s="9" t="n">
        <v>2400</v>
      </c>
      <c r="C9" s="9" t="inlineStr">
        <is>
          <t>kg/m3</t>
        </is>
      </c>
      <c r="D9" s="2" t="n"/>
    </row>
    <row r="10" ht="14.5" customHeight="1">
      <c r="A10" s="34" t="inlineStr">
        <is>
          <t>Recubrimiento</t>
        </is>
      </c>
      <c r="B10" s="9" t="n">
        <v>1.5</v>
      </c>
      <c r="C10" s="9" t="inlineStr">
        <is>
          <t>cm</t>
        </is>
      </c>
      <c r="D10" s="2" t="n"/>
    </row>
    <row r="11" ht="14.5" customHeight="1">
      <c r="A11" s="34" t="inlineStr">
        <is>
          <t>Separacion maxima</t>
        </is>
      </c>
      <c r="B11" s="9" t="n">
        <v>20</v>
      </c>
      <c r="C11" s="9" t="inlineStr">
        <is>
          <t>cm</t>
        </is>
      </c>
      <c r="D11" s="2" t="n"/>
    </row>
    <row r="12" ht="27" customHeight="1">
      <c r="A12" s="34" t="inlineStr">
        <is>
          <t>Armadura de reparticion</t>
        </is>
      </c>
      <c r="B12" s="9" t="n">
        <v>0.2</v>
      </c>
      <c r="C12" s="9" t="inlineStr">
        <is>
          <t>de la principal</t>
        </is>
      </c>
      <c r="D12" s="2" t="n"/>
    </row>
    <row r="13" ht="14.5" customHeight="1">
      <c r="A13" s="34" t="inlineStr">
        <is>
          <t>Reparticion minima</t>
        </is>
      </c>
      <c r="B13" s="9" t="n">
        <v>0.3</v>
      </c>
      <c r="C13" s="9" t="inlineStr">
        <is>
          <t>cm2/m</t>
        </is>
      </c>
      <c r="D13" s="2" t="n"/>
    </row>
    <row r="14">
      <c r="A14" s="2" t="n"/>
      <c r="B14" s="2" t="n"/>
      <c r="C14" s="2" t="n"/>
      <c r="D14" s="2" t="n"/>
    </row>
    <row r="15" ht="29.5" customHeight="1">
      <c r="A15" s="33" t="inlineStr">
        <is>
          <t>CARGAS POR NIVEL</t>
        </is>
      </c>
      <c r="B15" s="3" t="inlineStr">
        <is>
          <t>terminaciones (kg/m2)</t>
        </is>
      </c>
      <c r="C15" s="3" t="inlineStr">
        <is>
          <t>q (kg/m2)</t>
        </is>
      </c>
      <c r="D15" s="3" t="inlineStr">
        <is>
          <t>composicion</t>
        </is>
      </c>
    </row>
    <row r="16" ht="60" customHeight="1">
      <c r="A16" s="35" t="inlineStr">
        <is>
          <t>S/PB</t>
        </is>
      </c>
      <c r="B16" s="9" t="n">
        <v>242</v>
      </c>
      <c r="C16" s="9" t="n">
        <v>200</v>
      </c>
      <c r="D16" s="10" t="inlineStr">
        <is>
          <t>Contrapiso 130 + carpeta 42 + piso 50 + cielorraso 20.  q vivienda 200</t>
        </is>
      </c>
    </row>
    <row r="17" ht="60" customHeight="1">
      <c r="A17" s="35" t="inlineStr">
        <is>
          <t>S/PA</t>
        </is>
      </c>
      <c r="B17" s="9" t="n">
        <v>252</v>
      </c>
      <c r="C17" s="9" t="n">
        <v>100</v>
      </c>
      <c r="D17" s="10" t="inlineStr">
        <is>
          <t>Contrapiso pendiente 140 + carpeta 42 + aislacion 50 + cielorraso 20.  q azotea 100</t>
        </is>
      </c>
    </row>
    <row r="18">
      <c r="A18" s="22" t="inlineStr">
        <is>
          <t>El peso propio se suma aparte: 2400 x d / 100</t>
        </is>
      </c>
      <c r="B18" s="2" t="n"/>
      <c r="C18" s="2" t="n"/>
      <c r="D18" s="2" t="n"/>
    </row>
    <row r="19">
      <c r="A19" s="2" t="n"/>
      <c r="B19" s="2" t="n"/>
      <c r="C19" s="2" t="n"/>
      <c r="D19" s="2" t="n"/>
    </row>
    <row r="20" ht="15.8" customHeight="1">
      <c r="A20" s="33" t="inlineStr">
        <is>
          <t>GRADO DE EMPOTRAMIENTO</t>
        </is>
      </c>
      <c r="B20" s="3" t="inlineStr">
        <is>
          <t>coef. M</t>
        </is>
      </c>
      <c r="C20" s="3" t="inlineStr">
        <is>
          <t>coef. R</t>
        </is>
      </c>
      <c r="D20" s="3" t="inlineStr">
        <is>
          <t>esquema</t>
        </is>
      </c>
    </row>
    <row r="21" ht="15.8" customHeight="1">
      <c r="A21" s="16" t="inlineStr">
        <is>
          <t>1/8</t>
        </is>
      </c>
      <c r="B21" s="36" t="n">
        <v>0.125</v>
      </c>
      <c r="C21" s="29" t="n">
        <v>0.5</v>
      </c>
      <c r="D21" s="34" t="inlineStr">
        <is>
          <t>Simplemente apoyada</t>
        </is>
      </c>
    </row>
    <row r="22" ht="15.8" customHeight="1">
      <c r="A22" s="16" t="inlineStr">
        <is>
          <t>1/10</t>
        </is>
      </c>
      <c r="B22" s="36" t="n">
        <v>0.1</v>
      </c>
      <c r="C22" s="29" t="n">
        <v>0.55</v>
      </c>
      <c r="D22" s="34" t="inlineStr">
        <is>
          <t>Continua</t>
        </is>
      </c>
    </row>
    <row r="23" ht="15.8" customHeight="1">
      <c r="A23" s="16" t="inlineStr">
        <is>
          <t>1/12</t>
        </is>
      </c>
      <c r="B23" s="36" t="n">
        <v>0.0833</v>
      </c>
      <c r="C23" s="29" t="n">
        <v>0.5</v>
      </c>
      <c r="D23" s="34" t="inlineStr">
        <is>
          <t>Biempotrada</t>
        </is>
      </c>
    </row>
    <row r="24" ht="15.8" customHeight="1">
      <c r="A24" s="16" t="inlineStr">
        <is>
          <t>1/14</t>
        </is>
      </c>
      <c r="B24" s="36" t="n">
        <v>0.07140000000000001</v>
      </c>
      <c r="C24" s="29" t="n">
        <v>0.575</v>
      </c>
      <c r="D24" s="34" t="inlineStr">
        <is>
          <t>Continua</t>
        </is>
      </c>
    </row>
    <row r="25" ht="15.8" customHeight="1">
      <c r="A25" s="16" t="inlineStr">
        <is>
          <t>1/2</t>
        </is>
      </c>
      <c r="B25" s="36" t="n">
        <v>0.5</v>
      </c>
      <c r="C25" s="29" t="n">
        <v>1</v>
      </c>
      <c r="D25" s="34" t="inlineStr">
        <is>
          <t>Voladizo</t>
        </is>
      </c>
    </row>
    <row r="26">
      <c r="A26" s="2" t="n"/>
      <c r="B26" s="2" t="n"/>
      <c r="C26" s="2" t="n"/>
      <c r="D26" s="2" t="n"/>
    </row>
    <row r="27">
      <c r="A27" s="22" t="inlineStr">
        <is>
          <t>p = peso propio + terminaciones + q   (cargas de servicio)</t>
        </is>
      </c>
      <c r="B27" s="2" t="n"/>
      <c r="C27" s="2" t="n"/>
      <c r="D27" s="2" t="n"/>
    </row>
    <row r="28">
      <c r="A28" s="22" t="inlineStr">
        <is>
          <t>M = coef x p x L2        R = coef x p x L        As = M x 100 / (2400 x 0,9 x h)        rep. = As / 5</t>
        </is>
      </c>
      <c r="B28" s="2" t="n"/>
      <c r="C28" s="2" t="n"/>
      <c r="D28"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1.4" customWidth="1" min="1" max="1"/>
    <col width="14.9" customWidth="1" min="2" max="2"/>
    <col width="13.8" customWidth="1" min="3" max="3"/>
    <col width="71.3" customWidth="1" min="4" max="4"/>
  </cols>
  <sheetData>
    <row r="1">
      <c r="A1" s="22" t="inlineStr">
        <is>
          <t>DATOS DE PARTIDA - COLUMNAS</t>
        </is>
      </c>
      <c r="B1" s="2" t="n"/>
      <c r="C1" s="2" t="n"/>
    </row>
    <row r="2">
      <c r="A2" s="2" t="n"/>
      <c r="B2" s="2" t="n"/>
      <c r="C2" s="2" t="n"/>
    </row>
    <row r="3" ht="15.8" customHeight="1">
      <c r="A3" s="33" t="inlineStr">
        <is>
          <t>MATERIALES Y CRITERIOS</t>
        </is>
      </c>
      <c r="B3" s="3" t="inlineStr">
        <is>
          <t>valor</t>
        </is>
      </c>
      <c r="C3" s="3" t="inlineStr">
        <is>
          <t>unidad</t>
        </is>
      </c>
    </row>
    <row r="4" ht="14.5" customHeight="1">
      <c r="A4" s="34" t="inlineStr">
        <is>
          <t>Hormigon H-21   f'c</t>
        </is>
      </c>
      <c r="B4" s="9" t="n">
        <v>210</v>
      </c>
      <c r="C4" s="9" t="inlineStr">
        <is>
          <t>kg/cm2</t>
        </is>
      </c>
    </row>
    <row r="5" ht="14.5" customHeight="1">
      <c r="A5" s="34" t="inlineStr">
        <is>
          <t>Acero 42/50   fy</t>
        </is>
      </c>
      <c r="B5" s="9" t="n">
        <v>4200</v>
      </c>
      <c r="C5" s="9" t="inlineStr">
        <is>
          <t>kg/cm2</t>
        </is>
      </c>
    </row>
    <row r="6" ht="14.5" customHeight="1">
      <c r="A6" s="34" t="inlineStr">
        <is>
          <t>Peso especifico H.A.</t>
        </is>
      </c>
      <c r="B6" s="9" t="n">
        <v>2400</v>
      </c>
      <c r="C6" s="9" t="inlineStr">
        <is>
          <t>kg/m3</t>
        </is>
      </c>
    </row>
    <row r="7" ht="14.5" customHeight="1">
      <c r="A7" s="34" t="inlineStr">
        <is>
          <t>phi compresion (estribos)</t>
        </is>
      </c>
      <c r="B7" s="9" t="n">
        <v>0.65</v>
      </c>
      <c r="C7" s="9" t="inlineStr">
        <is>
          <t>-</t>
        </is>
      </c>
    </row>
    <row r="8" ht="14.5" customHeight="1">
      <c r="A8" s="34" t="inlineStr">
        <is>
          <t>Cuantia minima</t>
        </is>
      </c>
      <c r="B8" s="9" t="n">
        <v>0.008</v>
      </c>
      <c r="C8" s="9" t="inlineStr">
        <is>
          <t>de la seccion</t>
        </is>
      </c>
    </row>
    <row r="9" ht="14.5" customHeight="1">
      <c r="A9" s="34" t="inlineStr">
        <is>
          <t>Altura PB</t>
        </is>
      </c>
      <c r="B9" s="9" t="n">
        <v>3.15</v>
      </c>
      <c r="C9" s="9" t="inlineStr">
        <is>
          <t>m</t>
        </is>
      </c>
    </row>
    <row r="10" ht="14.5" customHeight="1">
      <c r="A10" s="34" t="inlineStr">
        <is>
          <t>Altura PA</t>
        </is>
      </c>
      <c r="B10" s="9" t="n">
        <v>3.22</v>
      </c>
      <c r="C10" s="9" t="inlineStr">
        <is>
          <t>m</t>
        </is>
      </c>
    </row>
    <row r="11">
      <c r="A11" s="2" t="n"/>
      <c r="B11" s="2" t="n"/>
      <c r="C11" s="2" t="n"/>
    </row>
    <row r="12">
      <c r="A12" s="22" t="inlineStr">
        <is>
          <t>As = cuantia minima x area        phi Pn = 0,65 x 0,80 x [0,85 f'c (Ag - As) + fy As]</t>
        </is>
      </c>
      <c r="B12" s="2" t="n"/>
      <c r="C12" s="2" t="n"/>
    </row>
    <row r="13">
      <c r="A13" s="22" t="inlineStr">
        <is>
          <t>Separacion de estribos = min(12 x diam. longitudinal ; 48 x diam. estribo ; lado menor)</t>
        </is>
      </c>
      <c r="B13" s="2" t="n"/>
      <c r="C13"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9.1" customWidth="1" min="1" max="1"/>
    <col width="13.8" customWidth="1" min="2" max="2"/>
    <col width="13.8" customWidth="1" min="3" max="3"/>
    <col width="69" customWidth="1" min="4" max="4"/>
  </cols>
  <sheetData>
    <row r="1">
      <c r="A1" s="22" t="inlineStr">
        <is>
          <t>DATOS DE PARTIDA - PILOTES</t>
        </is>
      </c>
      <c r="B1" s="2" t="n"/>
      <c r="C1" s="2" t="n"/>
      <c r="D1" s="2" t="n"/>
      <c r="E1" s="2" t="n"/>
      <c r="F1" s="2" t="n"/>
    </row>
    <row r="2">
      <c r="A2" s="2" t="n"/>
      <c r="B2" s="2" t="n"/>
      <c r="C2" s="2" t="n"/>
      <c r="D2" s="2" t="n"/>
      <c r="E2" s="2" t="n"/>
      <c r="F2" s="2" t="n"/>
    </row>
    <row r="3" ht="15.8" customHeight="1">
      <c r="A3" s="33" t="inlineStr">
        <is>
          <t>PARAMETRO</t>
        </is>
      </c>
      <c r="B3" s="3" t="inlineStr">
        <is>
          <t>valor</t>
        </is>
      </c>
      <c r="C3" s="3" t="inlineStr">
        <is>
          <t>unidad</t>
        </is>
      </c>
      <c r="D3" s="33" t="inlineStr">
        <is>
          <t>origen</t>
        </is>
      </c>
      <c r="E3" s="2" t="n"/>
      <c r="F3" s="2" t="n"/>
    </row>
    <row r="4" ht="14.5" customHeight="1">
      <c r="A4" s="34" t="inlineStr">
        <is>
          <t>Carga admisible por pilote</t>
        </is>
      </c>
      <c r="B4" s="9" t="n">
        <v>22</v>
      </c>
      <c r="C4" s="9" t="inlineStr">
        <is>
          <t>t</t>
        </is>
      </c>
      <c r="D4" s="34" t="inlineStr">
        <is>
          <t>ADOPTADA del propio diseno, NO verificada. Ver nota abajo. Cambiar aca cuando aparezca el estudio de suelos.</t>
        </is>
      </c>
      <c r="E4" s="2" t="n"/>
      <c r="F4" s="2" t="n"/>
    </row>
    <row r="5" ht="14.5" customHeight="1">
      <c r="A5" s="34" t="inlineStr">
        <is>
          <t>Tension admisible del terreno</t>
        </is>
      </c>
      <c r="B5" s="9" t="n">
        <v>2</v>
      </c>
      <c r="C5" s="9" t="inlineStr">
        <is>
          <t>kg/cm2</t>
        </is>
      </c>
      <c r="D5" s="34" t="inlineStr">
        <is>
          <t>Dato real, tomado del encabezado del calculo de bases.</t>
        </is>
      </c>
      <c r="E5" s="2" t="n"/>
      <c r="F5" s="2" t="n"/>
    </row>
    <row r="6" ht="14.5" customHeight="1">
      <c r="A6" s="34" t="inlineStr">
        <is>
          <t>Diametro del pilote</t>
        </is>
      </c>
      <c r="B6" s="9" t="n">
        <v>30</v>
      </c>
      <c r="C6" s="9" t="inlineStr">
        <is>
          <t>cm</t>
        </is>
      </c>
      <c r="D6" s="34" t="inlineStr">
        <is>
          <t>Nota del plano: todos los pilotes son O30.</t>
        </is>
      </c>
      <c r="E6" s="2" t="n"/>
      <c r="F6" s="2" t="n"/>
    </row>
    <row r="7" ht="14.5" customHeight="1">
      <c r="A7" s="34" t="inlineStr">
        <is>
          <t>Profundidad</t>
        </is>
      </c>
      <c r="B7" s="9" t="n">
        <v>-4.5</v>
      </c>
      <c r="C7" s="9" t="inlineStr">
        <is>
          <t>m</t>
        </is>
      </c>
      <c r="D7" s="34" t="inlineStr">
        <is>
          <t>Nota del plano: h = -4,50 m desde la cota +-0,00 de vereda.</t>
        </is>
      </c>
      <c r="E7" s="2" t="n"/>
      <c r="F7" s="2" t="n"/>
    </row>
    <row r="8" ht="14.5" customHeight="1">
      <c r="A8" s="34" t="inlineStr">
        <is>
          <t>Coef. de mayoracion adoptado</t>
        </is>
      </c>
      <c r="B8" s="9" t="n">
        <v>1.4</v>
      </c>
      <c r="C8" s="9" t="inlineStr">
        <is>
          <t>-</t>
        </is>
      </c>
      <c r="D8" s="34" t="inlineStr">
        <is>
          <t>Para pasar de carga mayorada a carga de servicio.</t>
        </is>
      </c>
      <c r="E8" s="2" t="n"/>
      <c r="F8" s="2" t="n"/>
    </row>
    <row r="9">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c r="A10" s="22" t="inlineStr">
        <is>
          <t>TIPOS DE PILOTE  (nota general del plano: CANTIDAD 33 PILOTES)</t>
        </is>
      </c>
      <c r="B10" s="2" t="n"/>
      <c r="C10" s="2" t="n"/>
      <c r="D10" s="2" t="n"/>
      <c r="E10" s="2" t="n"/>
      <c r="F10" s="2" t="n"/>
    </row>
    <row r="11" ht="29.5" customHeight="1">
      <c r="A11" s="3" t="inlineStr">
        <is>
          <t>tipo</t>
        </is>
      </c>
      <c r="B11" s="3" t="inlineStr">
        <is>
          <t>cantidad</t>
        </is>
      </c>
      <c r="C11" s="3" t="inlineStr">
        <is>
          <t>cota fundacion</t>
        </is>
      </c>
      <c r="D11" s="3" t="inlineStr">
        <is>
          <t>nivel llenado</t>
        </is>
      </c>
      <c r="E11" s="3" t="inlineStr">
        <is>
          <t>long. hormigon</t>
        </is>
      </c>
      <c r="F11" s="2" t="n"/>
    </row>
    <row r="12">
      <c r="A12" s="34" t="inlineStr">
        <is>
          <t>Pilote tipo "A"</t>
        </is>
      </c>
      <c r="B12" s="9" t="n">
        <v>8</v>
      </c>
      <c r="C12" s="9" t="n">
        <v>-4.5</v>
      </c>
      <c r="D12" s="9" t="n">
        <v>-0.4</v>
      </c>
      <c r="E12" s="9" t="n">
        <v>4.6</v>
      </c>
      <c r="F12" s="34" t="inlineStr">
        <is>
          <t>bajo cabezales de 70 cm (CBZ02 y CBZ03)</t>
        </is>
      </c>
    </row>
    <row r="13">
      <c r="A13" s="34" t="inlineStr">
        <is>
          <t>Pilote tipo "B"</t>
        </is>
      </c>
      <c r="B13" s="9" t="n">
        <v>5</v>
      </c>
      <c r="C13" s="9" t="n">
        <v>-4.5</v>
      </c>
      <c r="D13" s="9" t="n">
        <v>-0.35</v>
      </c>
      <c r="E13" s="9" t="n">
        <v>4.5</v>
      </c>
      <c r="F13" s="34" t="inlineStr">
        <is>
          <t>bajo cabezales de 65 cm (CBZ01)</t>
        </is>
      </c>
    </row>
    <row r="14">
      <c r="A14" s="34" t="inlineStr">
        <is>
          <t>Pilote tipo "C"</t>
        </is>
      </c>
      <c r="B14" s="9" t="n">
        <v>16</v>
      </c>
      <c r="C14" s="9" t="n">
        <v>-4.5</v>
      </c>
      <c r="D14" s="9" t="n">
        <v>-0.05</v>
      </c>
      <c r="E14" s="9" t="n">
        <v>4.35</v>
      </c>
      <c r="F14" s="34" t="inlineStr">
        <is>
          <t>bajo VF de 25x35 y 20x35</t>
        </is>
      </c>
    </row>
    <row r="15">
      <c r="A15" s="34" t="inlineStr">
        <is>
          <t>Pilote tipo "D"</t>
        </is>
      </c>
      <c r="B15" s="9" t="n">
        <v>4</v>
      </c>
      <c r="C15" s="9" t="n">
        <v>-4.5</v>
      </c>
      <c r="D15" s="9" t="n">
        <v>-0.1</v>
      </c>
      <c r="E15" s="9" t="n">
        <v>4.4</v>
      </c>
      <c r="F15" s="34" t="inlineStr">
        <is>
          <t>bajo VF de 25x40</t>
        </is>
      </c>
    </row>
    <row r="16">
      <c r="A16" s="2" t="n"/>
      <c r="B16" s="2" t="n"/>
      <c r="C16" s="2" t="n"/>
      <c r="D16" s="2" t="n"/>
      <c r="E16" s="2" t="n"/>
      <c r="F16" s="2" t="n"/>
    </row>
    <row r="17">
      <c r="A17" s="23" t="inlineStr">
        <is>
          <t>Los cuatro tipos se funden a -4,50 m; se diferencian en el nivel de llenado de hormigon, o sea en la longitud real del fuste.</t>
        </is>
      </c>
      <c r="B17" s="2" t="n"/>
      <c r="C17" s="2" t="n"/>
      <c r="D17" s="2" t="n"/>
      <c r="E17" s="2" t="n"/>
      <c r="F17" s="2" t="n"/>
    </row>
    <row r="18">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22" t="inlineStr">
        <is>
          <t>COMO SE ESTIMO LA CARGA ADMISIBLE</t>
        </is>
      </c>
      <c r="B20" s="2" t="n"/>
      <c r="C20" s="2" t="n"/>
      <c r="D20" s="2" t="n"/>
      <c r="E20" s="2" t="n"/>
      <c r="F20" s="2" t="n"/>
    </row>
    <row r="21">
      <c r="A21" s="23" t="inlineStr">
        <is>
          <t>Pilote O30: area de punta 0,0707 m2. Punta  0,0707 x 20 t/m2 = 1,4 t.</t>
        </is>
      </c>
      <c r="B21" s="2" t="n"/>
      <c r="C21" s="2" t="n"/>
      <c r="D21" s="2" t="n"/>
      <c r="E21" s="2" t="n"/>
      <c r="F21" s="2" t="n"/>
    </row>
    <row r="22">
      <c r="A22" s="23" t="inlineStr">
        <is>
          <t>Area lateral segun el tipo: 3,86 m2 el A, 3,91 el B, 4,19 el C y 4,15 el D.</t>
        </is>
      </c>
      <c r="B22" s="2" t="n"/>
      <c r="C22" s="2" t="n"/>
      <c r="D22" s="2" t="n"/>
      <c r="E22" s="2" t="n"/>
      <c r="F22" s="2" t="n"/>
    </row>
    <row r="23">
      <c r="A23" s="23" t="inlineStr">
        <is>
          <t>Con una adherencia de 2,5 t/m2 la capacidad va de 11,1 t el tipo A a 11,9 t el C:</t>
        </is>
      </c>
      <c r="B23" s="2" t="n"/>
      <c r="C23" s="2" t="n"/>
      <c r="D23" s="2" t="n"/>
      <c r="E23" s="2" t="n"/>
      <c r="F23" s="2" t="n"/>
    </row>
    <row r="24">
      <c r="A24" s="23" t="inlineStr">
        <is>
          <t>la diferencia entre tipos es menor al 8 por ciento, por eso se usa un unico valor</t>
        </is>
      </c>
      <c r="B24" s="2" t="n"/>
      <c r="C24" s="2" t="n"/>
      <c r="D24" s="2" t="n"/>
      <c r="E24" s="2" t="n"/>
      <c r="F24" s="2" t="n"/>
    </row>
    <row r="25">
      <c r="A25" s="23" t="inlineStr">
        <is>
          <t>para todos en lugar de uno por tipo.</t>
        </is>
      </c>
      <c r="B25" s="2" t="n"/>
      <c r="C25" s="2" t="n"/>
      <c r="D25" s="2" t="n"/>
      <c r="E25" s="2" t="n"/>
      <c r="F25" s="2" t="n"/>
    </row>
    <row r="26">
      <c r="A26" s="23" t="inlineStr"/>
      <c r="B26" s="2" t="n"/>
      <c r="C26" s="2" t="n"/>
      <c r="D26" s="2" t="n"/>
      <c r="E26" s="2" t="n"/>
      <c r="F26" s="2" t="n"/>
    </row>
    <row r="27">
      <c r="A27" s="23" t="inlineStr">
        <is>
          <t>DE DONDE SALEN LOS 22 t QUE SE ADOPTAN, Y QUE VALOR TIENEN:</t>
        </is>
      </c>
      <c r="B27" s="2" t="n"/>
      <c r="C27" s="2" t="n"/>
      <c r="D27" s="2" t="n"/>
      <c r="E27" s="2" t="n"/>
      <c r="F27" s="2" t="n"/>
    </row>
    <row r="28">
      <c r="A28" s="23" t="inlineStr">
        <is>
          <t>El calculista puso UN solo pilote bajo la columna mas cargada, que baja 21,04 t</t>
        </is>
      </c>
      <c r="B28" s="2" t="n"/>
      <c r="C28" s="2" t="n"/>
      <c r="D28" s="2" t="n"/>
      <c r="E28" s="2" t="n"/>
      <c r="F28" s="2" t="n"/>
    </row>
    <row r="29">
      <c r="A29" s="23" t="inlineStr">
        <is>
          <t>de servicio. Si dimensiono asi, es porque para el ese pilote admite al menos eso.</t>
        </is>
      </c>
      <c r="B29" s="2" t="n"/>
      <c r="C29" s="2" t="n"/>
      <c r="D29" s="2" t="n"/>
      <c r="E29" s="2" t="n"/>
      <c r="F29" s="2" t="n"/>
    </row>
    <row r="30">
      <c r="A30" s="23" t="inlineStr">
        <is>
          <t>Se adopta 22 t, el redondeo por encima de esa solicitacion.</t>
        </is>
      </c>
      <c r="B30" s="2" t="n"/>
      <c r="C30" s="2" t="n"/>
      <c r="D30" s="2" t="n"/>
      <c r="E30" s="2" t="n"/>
      <c r="F30" s="2" t="n"/>
    </row>
    <row r="31">
      <c r="A31" s="23" t="inlineStr"/>
      <c r="B31" s="2" t="n"/>
      <c r="C31" s="2" t="n"/>
      <c r="D31" s="2" t="n"/>
      <c r="E31" s="2" t="n"/>
      <c r="F31" s="2" t="n"/>
    </row>
    <row r="32">
      <c r="A32" s="23" t="inlineStr">
        <is>
          <t>ESTO NO ES UNA VERIFICACION. Es leer la hipotesis implicita del proyectista y</t>
        </is>
      </c>
      <c r="B32" s="2" t="n"/>
      <c r="C32" s="2" t="n"/>
      <c r="D32" s="2" t="n"/>
      <c r="E32" s="2" t="n"/>
      <c r="F32" s="2" t="n"/>
    </row>
    <row r="33">
      <c r="A33" s="23" t="inlineStr">
        <is>
          <t>adoptarla: por construccion, todos los cabezales dan verde. Sirve para completar</t>
        </is>
      </c>
      <c r="B33" s="2" t="n"/>
      <c r="C33" s="2" t="n"/>
      <c r="D33" s="2" t="n"/>
      <c r="E33" s="2" t="n"/>
      <c r="F33" s="2" t="n"/>
    </row>
    <row r="34">
      <c r="A34" s="23" t="inlineStr">
        <is>
          <t>la planilla y para dejar escrito cuanto tiene que resistir el pilote, no para</t>
        </is>
      </c>
      <c r="B34" s="2" t="n"/>
      <c r="C34" s="2" t="n"/>
      <c r="D34" s="2" t="n"/>
      <c r="E34" s="2" t="n"/>
      <c r="F34" s="2" t="n"/>
    </row>
    <row r="35">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c r="A37" s="23" t="inlineStr">
        <is>
          <t>CONTRASTE: para llegar a 21 t con un O30 de 4,50 m hace falta una adherencia</t>
        </is>
      </c>
      <c r="B37" s="2" t="n"/>
      <c r="C37" s="2" t="n"/>
      <c r="D37" s="2" t="n"/>
      <c r="E37" s="2" t="n"/>
      <c r="F37" s="2" t="n"/>
    </row>
    <row r="38">
      <c r="A38" s="23" t="inlineStr">
        <is>
          <t>lateral de 4,5 a 4,8 t/m2. En los limos loessicos de la region de Rosario y Funes</t>
        </is>
      </c>
      <c r="B38" s="2" t="n"/>
      <c r="C38" s="2" t="n"/>
      <c r="D38" s="2" t="n"/>
      <c r="E38" s="2" t="n"/>
      <c r="F38" s="2" t="n"/>
    </row>
    <row r="39">
      <c r="A39" s="23" t="inlineStr">
        <is>
          <t>los valores habituales van de 2 a 3 t/m2, que darian entre 10 y 14 t. O el estudio</t>
        </is>
      </c>
      <c r="B39" s="2" t="n"/>
      <c r="C39" s="2" t="n"/>
      <c r="D39" s="2" t="n"/>
      <c r="E39" s="2" t="n"/>
      <c r="F39" s="2" t="n"/>
    </row>
    <row r="40">
      <c r="A40" s="23" t="inlineStr">
        <is>
          <t>dio un suelo mejor del tipico, o las cargas adoptadas en esta planilla estan altas,</t>
        </is>
      </c>
      <c r="B40" s="2" t="n"/>
      <c r="C40" s="2" t="n"/>
      <c r="D40" s="2" t="n"/>
      <c r="E40" s="2" t="n"/>
      <c r="F40" s="2" t="n"/>
    </row>
    <row r="41">
      <c r="A41" s="23" t="inlineStr">
        <is>
          <t>o el pilote esta ajustado. Es un punto a plantear en el trabajo.</t>
        </is>
      </c>
      <c r="B41" s="2" t="n"/>
      <c r="C41" s="2" t="n"/>
      <c r="D41" s="2" t="n"/>
      <c r="E41" s="2" t="n"/>
      <c r="F41" s="2" t="n"/>
    </row>
    <row r="42">
      <c r="A42" s="23" t="inlineStr"/>
      <c r="B42" s="2" t="n"/>
      <c r="C42" s="2" t="n"/>
      <c r="D42" s="2" t="n"/>
      <c r="E42" s="2" t="n"/>
      <c r="F42" s="2" t="n"/>
    </row>
    <row r="43">
      <c r="A43" s="23" t="inlineStr">
        <is>
          <t>Capacidad ESTRUCTURAL del pilote: con 5d12 (5,65 cm2) en 707 cm2, cuantia 0,8%,</t>
        </is>
      </c>
      <c r="B43" s="2" t="n"/>
      <c r="C43" s="2" t="n"/>
      <c r="D43" s="2" t="n"/>
      <c r="E43" s="2" t="n"/>
      <c r="F43" s="2" t="n"/>
    </row>
    <row r="44">
      <c r="A44" s="23" t="inlineStr">
        <is>
          <t>fi Pn = 77,4 t. La seccion de hormigon no es el limite: manda el suelo.</t>
        </is>
      </c>
      <c r="B44" s="2" t="n"/>
      <c r="C44" s="2" t="n"/>
      <c r="D44" s="2" t="n"/>
      <c r="E44" s="2" t="n"/>
      <c r="F44" s="2" t="n"/>
    </row>
    <row r="45">
      <c r="A45" s="23" t="inlineStr"/>
      <c r="B45" s="2" t="n"/>
      <c r="C45" s="2" t="n"/>
      <c r="D45" s="2" t="n"/>
      <c r="E45" s="2" t="n"/>
      <c r="F45" s="2" t="n"/>
    </row>
    <row r="46">
      <c r="A46" s="23" t="inlineStr">
        <is>
          <t>FALTA todavia la capacidad geotecnica. Las planillas de armadura de pilotes no</t>
        </is>
      </c>
      <c r="B46" s="2" t="n"/>
      <c r="C46" s="2" t="n"/>
      <c r="D46" s="2" t="n"/>
      <c r="E46" s="2" t="n"/>
      <c r="F46" s="2" t="n"/>
    </row>
    <row r="47">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c r="A49" s="23" t="inlineStr">
        <is>
          <t>La tension de 2 kg/cm2 que trae el calculo de bases es la del estrato</t>
        </is>
      </c>
      <c r="B49" s="2" t="n"/>
      <c r="C49" s="2" t="n"/>
      <c r="D49" s="2" t="n"/>
      <c r="E49" s="2" t="n"/>
      <c r="F49" s="2" t="n"/>
    </row>
    <row r="50">
      <c r="A50" s="23" t="inlineStr">
        <is>
          <t>superficial, donde apoyaban las bases. Los pilotes llegan a -4,50 m y</t>
        </is>
      </c>
      <c r="B50" s="2" t="n"/>
      <c r="C50" s="2" t="n"/>
      <c r="D50" s="2" t="n"/>
      <c r="E50" s="2" t="n"/>
      <c r="F50" s="2" t="n"/>
    </row>
    <row r="51">
      <c r="A51" s="23" t="inlineStr">
        <is>
          <t>trabajan sobre todo por friccion: son dos cosas distintas.</t>
        </is>
      </c>
      <c r="B51" s="2" t="n"/>
      <c r="C51" s="2" t="n"/>
      <c r="D51" s="2" t="n"/>
      <c r="E51" s="2" t="n"/>
      <c r="F51"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52.9" customWidth="1" min="1" max="1"/>
    <col width="16.1" customWidth="1" min="2" max="2"/>
    <col width="16.1" customWidth="1" min="3" max="3"/>
    <col width="55.2" customWidth="1" min="4" max="4"/>
  </cols>
  <sheetData>
    <row r="1">
      <c r="A1" s="22" t="inlineStr">
        <is>
          <t>DATOS DE PARTIDA - PLANILLA 3 HIGROTERMICA</t>
        </is>
      </c>
      <c r="B1" s="2" t="n"/>
      <c r="C1" s="2" t="n"/>
      <c r="D1" s="2" t="n"/>
    </row>
    <row r="2">
      <c r="A2" s="2" t="n"/>
      <c r="B2" s="2" t="n"/>
      <c r="C2" s="2" t="n"/>
      <c r="D2" s="2" t="n"/>
    </row>
    <row r="3" ht="15.8" customHeight="1">
      <c r="A3" s="33" t="inlineStr">
        <is>
          <t>PARAMETRO</t>
        </is>
      </c>
      <c r="B3" s="3" t="inlineStr">
        <is>
          <t>valor</t>
        </is>
      </c>
      <c r="C3" s="3" t="inlineStr">
        <is>
          <t>unidad</t>
        </is>
      </c>
      <c r="D3" s="33" t="inlineStr">
        <is>
          <t>origen</t>
        </is>
      </c>
    </row>
    <row r="4" ht="14.5" customHeight="1">
      <c r="A4" s="34" t="inlineStr">
        <is>
          <t>Transmitancia maxima admitida</t>
        </is>
      </c>
      <c r="B4" s="9" t="n">
        <v>2.9</v>
      </c>
      <c r="C4" s="9" t="inlineStr">
        <is>
          <t>W/m2K</t>
        </is>
      </c>
      <c r="D4" s="34" t="inlineStr">
        <is>
          <t>Es el valor que usa la planilla de la catedra en todas las filas.</t>
        </is>
      </c>
    </row>
    <row r="5" ht="14.5" customHeight="1">
      <c r="A5" s="34" t="inlineStr">
        <is>
          <t>K maximo si los vanos superan el 60% de la fachada</t>
        </is>
      </c>
      <c r="B5" s="9" t="n">
        <v>1.8</v>
      </c>
      <c r="C5" s="9" t="inlineStr">
        <is>
          <t>W/m2K</t>
        </is>
      </c>
      <c r="D5" s="34"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c r="A8" s="22" t="inlineStr">
        <is>
          <t>TIPOS DE VIDRIO</t>
        </is>
      </c>
      <c r="B8" s="2" t="n"/>
      <c r="C8" s="2" t="n"/>
      <c r="D8" s="2" t="n"/>
    </row>
    <row r="9" ht="15.8" customHeight="1">
      <c r="A9" s="33" t="inlineStr">
        <is>
          <t>descripcion</t>
        </is>
      </c>
      <c r="B9" s="3" t="inlineStr">
        <is>
          <t>K orientativo</t>
        </is>
      </c>
      <c r="C9" s="2" t="n"/>
      <c r="D9" s="2" t="n"/>
    </row>
    <row r="10">
      <c r="A10" s="34" t="inlineStr">
        <is>
          <t>DVH 6+9+3+3 (el de obra, aluminio linea A30)</t>
        </is>
      </c>
      <c r="B10" s="9" t="n">
        <v>2.8</v>
      </c>
      <c r="C10" s="2" t="n"/>
      <c r="D10" s="2" t="n"/>
    </row>
    <row r="11">
      <c r="A11" s="34" t="inlineStr">
        <is>
          <t>Simple incoloro 3 mm</t>
        </is>
      </c>
      <c r="B11" s="9" t="n">
        <v>5.8</v>
      </c>
      <c r="C11" s="2" t="n"/>
      <c r="D11" s="2" t="n"/>
    </row>
    <row r="12">
      <c r="A12" s="34" t="inlineStr">
        <is>
          <t>Simple incoloro 6 mm</t>
        </is>
      </c>
      <c r="B12" s="9" t="n">
        <v>5.7</v>
      </c>
      <c r="C12" s="2" t="n"/>
      <c r="D12" s="2" t="n"/>
    </row>
    <row r="13">
      <c r="A13" s="34" t="inlineStr">
        <is>
          <t>DVH Incoloro ext; incoloro interior (3+12+3 mm)</t>
        </is>
      </c>
      <c r="B13" s="9" t="n">
        <v>2.8</v>
      </c>
      <c r="C13" s="2" t="n"/>
      <c r="D13" s="2" t="n"/>
    </row>
    <row r="14">
      <c r="A14" s="34" t="inlineStr">
        <is>
          <t>DVH Incoloro ext; incoloro interior (4+12+4 mm)</t>
        </is>
      </c>
      <c r="B14" s="9" t="n">
        <v>2.75</v>
      </c>
      <c r="C14" s="2" t="n"/>
      <c r="D14" s="2" t="n"/>
    </row>
    <row r="15">
      <c r="A15" s="34" t="inlineStr">
        <is>
          <t>DVH con lamina de baja emisividad (3+12+3 mm)</t>
        </is>
      </c>
      <c r="B15" s="9" t="n">
        <v>1.8</v>
      </c>
      <c r="C15" s="2" t="n"/>
      <c r="D15" s="2" t="n"/>
    </row>
    <row r="16">
      <c r="A16" s="34" t="inlineStr">
        <is>
          <t>DVH con camara de argon (4+16+4 mm)</t>
        </is>
      </c>
      <c r="B16" s="9" t="n">
        <v>1.6</v>
      </c>
      <c r="C16" s="2" t="n"/>
      <c r="D16" s="2" t="n"/>
    </row>
    <row r="17">
      <c r="A17" s="34" t="inlineStr">
        <is>
          <t>Vidrio laminado 3+3 mm</t>
        </is>
      </c>
      <c r="B17" s="9" t="n">
        <v>5.6</v>
      </c>
      <c r="C17" s="2" t="n"/>
      <c r="D17" s="2" t="n"/>
    </row>
    <row r="18">
      <c r="A18" s="2" t="n"/>
      <c r="B18" s="2" t="n"/>
      <c r="C18" s="2" t="n"/>
      <c r="D18" s="2" t="n"/>
    </row>
    <row r="19">
      <c r="A19" s="22" t="inlineStr">
        <is>
          <t>TIPOS DE PROTECCION</t>
        </is>
      </c>
      <c r="B19" s="2" t="n"/>
      <c r="C19" s="2" t="n"/>
      <c r="D19" s="2" t="n"/>
    </row>
    <row r="20" ht="15.8" customHeight="1">
      <c r="A20" s="33" t="inlineStr">
        <is>
          <t>descripcion</t>
        </is>
      </c>
      <c r="B20" s="3" t="inlineStr">
        <is>
          <t>FES orientativo</t>
        </is>
      </c>
      <c r="C20" s="2" t="n"/>
      <c r="D20" s="2" t="n"/>
    </row>
    <row r="21">
      <c r="A21" s="34" t="inlineStr">
        <is>
          <t>Sin Proteccion</t>
        </is>
      </c>
      <c r="B21" s="9" t="n">
        <v>0.88</v>
      </c>
      <c r="C21" s="2" t="n"/>
      <c r="D21" s="2" t="n"/>
    </row>
    <row r="22">
      <c r="A22" s="34" t="inlineStr">
        <is>
          <t>Parasol horizontal fijo 1:2</t>
        </is>
      </c>
      <c r="B22" s="9" t="n">
        <v>0.35</v>
      </c>
      <c r="C22" s="2" t="n"/>
      <c r="D22" s="2" t="n"/>
    </row>
    <row r="23">
      <c r="A23" s="34" t="inlineStr">
        <is>
          <t>Parasol horizontal fijo 1:1</t>
        </is>
      </c>
      <c r="B23" s="9" t="n">
        <v>0.5</v>
      </c>
      <c r="C23" s="2" t="n"/>
      <c r="D23" s="2" t="n"/>
    </row>
    <row r="24">
      <c r="A24" s="34" t="inlineStr">
        <is>
          <t>Alero</t>
        </is>
      </c>
      <c r="B24" s="9" t="n">
        <v>0.6</v>
      </c>
      <c r="C24" s="2" t="n"/>
      <c r="D24" s="2" t="n"/>
    </row>
    <row r="25">
      <c r="A25" s="34" t="inlineStr">
        <is>
          <t>Cortina de enrollar exterior</t>
        </is>
      </c>
      <c r="B25" s="9" t="n">
        <v>0.25</v>
      </c>
      <c r="C25" s="2" t="n"/>
      <c r="D25" s="2" t="n"/>
    </row>
    <row r="26">
      <c r="A26" s="34" t="inlineStr">
        <is>
          <t>Persiana de madera</t>
        </is>
      </c>
      <c r="B26" s="9" t="n">
        <v>0.3</v>
      </c>
      <c r="C26" s="2" t="n"/>
      <c r="D26" s="2" t="n"/>
    </row>
    <row r="27">
      <c r="A27" s="34" t="inlineStr">
        <is>
          <t>Toldo</t>
        </is>
      </c>
      <c r="B27" s="9" t="n">
        <v>0.2</v>
      </c>
      <c r="C27" s="2" t="n"/>
      <c r="D27" s="2" t="n"/>
    </row>
    <row r="28">
      <c r="A28" s="2" t="n"/>
      <c r="B28" s="2" t="n"/>
      <c r="C28" s="2" t="n"/>
      <c r="D28" s="2" t="n"/>
    </row>
    <row r="29">
      <c r="A29" s="22" t="inlineStr">
        <is>
          <t>SUPERFICIE VIDRIADA POR LOCAL  (de la planilla de iluminacion y ventilacion)</t>
        </is>
      </c>
      <c r="B29" s="2" t="n"/>
      <c r="C29" s="2" t="n"/>
      <c r="D29" s="2" t="n"/>
    </row>
    <row r="30" ht="15.8" customHeight="1">
      <c r="A30" s="33" t="inlineStr">
        <is>
          <t>local</t>
        </is>
      </c>
      <c r="B30" s="3" t="inlineStr">
        <is>
          <t>ilum. (m2)</t>
        </is>
      </c>
      <c r="C30" s="3" t="inlineStr">
        <is>
          <t>vent. (m2)</t>
        </is>
      </c>
      <c r="D30" s="2" t="n"/>
    </row>
    <row r="31">
      <c r="A31" s="34" t="inlineStr">
        <is>
          <t>01 - Cocina / comedor</t>
        </is>
      </c>
      <c r="B31" s="9" t="n">
        <v>16.95</v>
      </c>
      <c r="C31" s="9" t="n">
        <v>8.48</v>
      </c>
      <c r="D31" s="2" t="n"/>
    </row>
    <row r="32">
      <c r="A32" s="34" t="inlineStr">
        <is>
          <t>03 - Lavadero</t>
        </is>
      </c>
      <c r="B32" s="9" t="n">
        <v>10.5</v>
      </c>
      <c r="C32" s="9" t="n">
        <v>1.6</v>
      </c>
      <c r="D32" s="2" t="n"/>
    </row>
    <row r="33">
      <c r="A33" s="34" t="inlineStr">
        <is>
          <t>06 - Living / comedor</t>
        </is>
      </c>
      <c r="B33" s="9" t="n">
        <v>34.05</v>
      </c>
      <c r="C33" s="9" t="n">
        <v>15</v>
      </c>
      <c r="D33" s="2" t="n"/>
    </row>
    <row r="34">
      <c r="A34" s="34" t="inlineStr">
        <is>
          <t>07 - Hall / ingreso</t>
        </is>
      </c>
      <c r="B34" s="9" t="n">
        <v>10.5</v>
      </c>
      <c r="C34" s="9" t="n">
        <v>1.6</v>
      </c>
      <c r="D34" s="2" t="n"/>
    </row>
    <row r="35">
      <c r="A35" s="34" t="inlineStr">
        <is>
          <t>09 - Dormitorio suite</t>
        </is>
      </c>
      <c r="B35" s="9" t="n">
        <v>6</v>
      </c>
      <c r="C35" s="9" t="n">
        <v>3</v>
      </c>
      <c r="D35" s="2" t="n"/>
    </row>
    <row r="36">
      <c r="A36" s="34" t="inlineStr">
        <is>
          <t>13 - Dormitorio 1</t>
        </is>
      </c>
      <c r="B36" s="9" t="n">
        <v>8.75</v>
      </c>
      <c r="C36" s="9" t="n">
        <v>4.38</v>
      </c>
      <c r="D36" s="2" t="n"/>
    </row>
    <row r="37">
      <c r="A37" s="34" t="inlineStr">
        <is>
          <t>14 - Estar / Playroom</t>
        </is>
      </c>
      <c r="B37" s="9" t="n">
        <v>5</v>
      </c>
      <c r="C37" s="9" t="n">
        <v>5</v>
      </c>
      <c r="D37" s="2" t="n"/>
    </row>
    <row r="38">
      <c r="A38" s="34" t="inlineStr">
        <is>
          <t>15 - Dormitorio 2</t>
        </is>
      </c>
      <c r="B38" s="9" t="n">
        <v>3.75</v>
      </c>
      <c r="C38" s="9" t="n">
        <v>1.88</v>
      </c>
      <c r="D38" s="2" t="n"/>
    </row>
    <row r="39">
      <c r="A39" s="34" t="inlineStr">
        <is>
          <t>17 - Bano</t>
        </is>
      </c>
      <c r="B39" s="9" t="n">
        <v>1.875</v>
      </c>
      <c r="C39" s="9" t="n">
        <v>0.9399999999999999</v>
      </c>
      <c r="D39" s="2" t="n"/>
    </row>
    <row r="40">
      <c r="A40" s="35" t="inlineStr">
        <is>
          <t>TOTAL</t>
        </is>
      </c>
      <c r="B40" s="16" t="n">
        <v>97.38</v>
      </c>
      <c r="C40" s="2" t="n"/>
      <c r="D40" s="2" t="n"/>
    </row>
    <row r="41">
      <c r="A41" s="2" t="n"/>
      <c r="B41" s="2" t="n"/>
      <c r="C41" s="2" t="n"/>
      <c r="D41" s="2" t="n"/>
    </row>
    <row r="42">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c r="A44" s="22" t="inlineStr">
        <is>
          <t>FACTOR DE EXPOSICION SOLAR MAXIMO ADMITIDO  (Ordenanza 8757/11)</t>
        </is>
      </c>
      <c r="B44" s="2" t="n"/>
      <c r="C44" s="2" t="n"/>
      <c r="D44" s="2" t="n"/>
    </row>
    <row r="45" ht="15.8" customHeight="1">
      <c r="A45" s="33" t="inlineStr">
        <is>
          <t>orientacion</t>
        </is>
      </c>
      <c r="B45" s="3" t="inlineStr">
        <is>
          <t>FES max</t>
        </is>
      </c>
      <c r="C45" s="3" t="inlineStr">
        <is>
          <t>cuadrante</t>
        </is>
      </c>
      <c r="D45" s="33" t="inlineStr">
        <is>
          <t>observacion</t>
        </is>
      </c>
    </row>
    <row r="46" ht="14.5" customHeight="1">
      <c r="A46" s="34" t="inlineStr">
        <is>
          <t>Norte</t>
        </is>
      </c>
      <c r="B46" s="9" t="n">
        <v>0.45</v>
      </c>
      <c r="C46" s="9" t="inlineStr">
        <is>
          <t>341 a 20 grados</t>
        </is>
      </c>
      <c r="D46" s="34" t="inlineStr">
        <is>
          <t>Cuadrante Norte (NNE-NNO).</t>
        </is>
      </c>
    </row>
    <row r="47" ht="14.5" customHeight="1">
      <c r="A47" s="34" t="inlineStr">
        <is>
          <t>Este</t>
        </is>
      </c>
      <c r="B47" s="9" t="n">
        <v>0.3</v>
      </c>
      <c r="C47" s="9" t="inlineStr">
        <is>
          <t>21 a 160 grados</t>
        </is>
      </c>
      <c r="D47" s="34" t="inlineStr">
        <is>
          <t>Modificado a 0,39 por decreto de 2021. Verificar vigencia.</t>
        </is>
      </c>
    </row>
    <row r="48" ht="14.5" customHeight="1">
      <c r="A48" s="34" t="inlineStr">
        <is>
          <t>Oeste</t>
        </is>
      </c>
      <c r="B48" s="9" t="n">
        <v>0.3</v>
      </c>
      <c r="C48" s="9" t="inlineStr">
        <is>
          <t>201 a 340 grados</t>
        </is>
      </c>
      <c r="D48" s="34" t="inlineStr">
        <is>
          <t>Modificado a 0,39 por decreto de 2021. Verificar vigencia.</t>
        </is>
      </c>
    </row>
    <row r="49" ht="14.5" customHeight="1">
      <c r="A49" s="34" t="inlineStr">
        <is>
          <t>Sur</t>
        </is>
      </c>
      <c r="B49" s="9" t="n">
        <v>0.9</v>
      </c>
      <c r="C49" s="9" t="inlineStr">
        <is>
          <t>161 a 200 grados</t>
        </is>
      </c>
      <c r="D49" s="34" t="inlineStr">
        <is>
          <t>Cuadrante Sur (SSE-SSO).</t>
        </is>
      </c>
    </row>
    <row r="50" ht="27" customHeight="1">
      <c r="A50" s="34" t="inlineStr">
        <is>
          <t>Noreste</t>
        </is>
      </c>
      <c r="B50" s="9" t="n">
        <v>0.3</v>
      </c>
      <c r="C50" s="9" t="inlineStr">
        <is>
          <t>cae en cuadrante Este</t>
        </is>
      </c>
      <c r="D50" s="34" t="inlineStr">
        <is>
          <t>45 grados: entra en el cuadrante Este (21 a 160).</t>
        </is>
      </c>
    </row>
    <row r="51" ht="27" customHeight="1">
      <c r="A51" s="34" t="inlineStr">
        <is>
          <t>Sudeste</t>
        </is>
      </c>
      <c r="B51" s="9" t="n">
        <v>0.3</v>
      </c>
      <c r="C51" s="9" t="inlineStr">
        <is>
          <t>cae en cuadrante Este</t>
        </is>
      </c>
      <c r="D51" s="34" t="inlineStr">
        <is>
          <t>135 grados: entra en el cuadrante Este (21 a 160).</t>
        </is>
      </c>
    </row>
    <row r="52" ht="27" customHeight="1">
      <c r="A52" s="34" t="inlineStr">
        <is>
          <t>Sudoeste</t>
        </is>
      </c>
      <c r="B52" s="9" t="n">
        <v>0.3</v>
      </c>
      <c r="C52" s="9" t="inlineStr">
        <is>
          <t>cae en cuadrante Oeste</t>
        </is>
      </c>
      <c r="D52" s="34" t="inlineStr">
        <is>
          <t>225 grados: entra en el cuadrante Oeste (201 a 340).</t>
        </is>
      </c>
    </row>
    <row r="53" ht="27" customHeight="1">
      <c r="A53" s="34" t="inlineStr">
        <is>
          <t>Noroeste</t>
        </is>
      </c>
      <c r="B53" s="9" t="n">
        <v>0.3</v>
      </c>
      <c r="C53" s="9" t="inlineStr">
        <is>
          <t>cae en cuadrante Oeste</t>
        </is>
      </c>
      <c r="D53" s="34" t="inlineStr">
        <is>
          <t>315 grados: entra en el cuadrante Oeste (201 a 340).</t>
        </is>
      </c>
    </row>
    <row r="54" ht="14.5" customHeight="1">
      <c r="A54" s="34" t="inlineStr">
        <is>
          <t>Horizontal</t>
        </is>
      </c>
      <c r="B54" s="9" t="n">
        <v>0.25</v>
      </c>
      <c r="C54" s="9" t="inlineStr">
        <is>
          <t>lucernarios</t>
        </is>
      </c>
      <c r="D54" s="34" t="inlineStr">
        <is>
          <t>Planos inclinados con angulo menor a 60 grados.</t>
        </is>
      </c>
    </row>
    <row r="55">
      <c r="A55" s="2" t="n"/>
      <c r="B55" s="2" t="n"/>
      <c r="C55" s="2" t="n"/>
      <c r="D55" s="2" t="n"/>
    </row>
    <row r="56">
      <c r="A56" s="22" t="inlineStr">
        <is>
          <t>La casa esta girada 45 grados respecto del norte, asi que NINGUNA de sus cuatro fachadas</t>
        </is>
      </c>
      <c r="B56" s="2" t="n"/>
      <c r="C56" s="2" t="n"/>
      <c r="D56" s="2" t="n"/>
    </row>
    <row r="57">
      <c r="A57" s="23" t="inlineStr">
        <is>
          <t>cae en el cuadrante Norte ni en el Sur: las cuatro entran en el cuadrante Este/Oeste, que es</t>
        </is>
      </c>
      <c r="B57" s="2" t="n"/>
      <c r="C57" s="2" t="n"/>
      <c r="D57" s="2" t="n"/>
    </row>
    <row r="58">
      <c r="A58" s="23" t="inlineStr">
        <is>
          <t>el mas exigente (0,30, o 0,39 segun la modificacion de 2021). Conviene confirmarlo en la</t>
        </is>
      </c>
      <c r="B58" s="2" t="n"/>
      <c r="C58" s="2" t="n"/>
      <c r="D58" s="2" t="n"/>
    </row>
    <row r="59">
      <c r="A59" s="23" t="inlineStr">
        <is>
          <t>Secretaria de Planeamiento antes de presentar: hay versiones distintas dando vueltas.</t>
        </is>
      </c>
      <c r="B59" s="2" t="n"/>
      <c r="C59" s="2" t="n"/>
      <c r="D59" s="2" t="n"/>
    </row>
    <row r="60">
      <c r="A60" s="2" t="n"/>
      <c r="B60" s="2" t="n"/>
      <c r="C60" s="2" t="n"/>
      <c r="D60" s="2" t="n"/>
    </row>
    <row r="61">
      <c r="A61" s="22" t="inlineStr">
        <is>
          <t>Si la abertura ocupa menos del 20% del lado expuesto del local, NO hay que verificar el FES</t>
        </is>
      </c>
      <c r="B61" s="2" t="n"/>
      <c r="C61" s="2" t="n"/>
      <c r="D61" s="2" t="n"/>
    </row>
    <row r="62">
      <c r="A62" s="23" t="inlineStr">
        <is>
          <t>(si la transmitancia). Fuente: preguntas frecuentes de la Secretaria de Planeamiento.</t>
        </is>
      </c>
      <c r="B62" s="2" t="n"/>
      <c r="C62" s="2" t="n"/>
      <c r="D62"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5.3" customWidth="1" min="1" max="1"/>
    <col width="110.4" customWidth="1" min="2" max="2"/>
  </cols>
  <sheetData>
    <row r="1" ht="29.5" customHeight="1">
      <c r="A1" s="37" t="inlineStr">
        <is>
          <t>MEMORIA - ILUMINACION Y VENTILACION</t>
        </is>
      </c>
      <c r="B1" s="37" t="inlineStr"/>
    </row>
    <row r="2" ht="15.8" customHeight="1">
      <c r="A2" s="37" t="inlineStr"/>
      <c r="B2" s="38" t="inlineStr"/>
    </row>
    <row r="3" ht="15.8" customHeight="1">
      <c r="A3" s="37" t="inlineStr">
        <is>
          <t>CRITERIO</t>
        </is>
      </c>
      <c r="B3" s="37" t="inlineStr">
        <is>
          <t>Area de iluminacion requerida = superficie del local / 9</t>
        </is>
      </c>
    </row>
    <row r="4" ht="15.8" customHeight="1">
      <c r="A4" s="37" t="inlineStr"/>
      <c r="B4" s="38" t="inlineStr">
        <is>
          <t>Area de ventilacion requerida = un tercio de la de iluminacion = superficie / 27</t>
        </is>
      </c>
    </row>
    <row r="5" ht="15.8" customHeight="1">
      <c r="A5" s="37" t="inlineStr"/>
      <c r="B5" s="38" t="inlineStr">
        <is>
          <t>Area proyectada: la vidriada de la carpinteria para iluminacion, y la parte que</t>
        </is>
      </c>
    </row>
    <row r="6" ht="15.8" customHeight="1">
      <c r="A6" s="37" t="inlineStr"/>
      <c r="B6" s="38" t="inlineStr">
        <is>
          <t>realmente abre para ventilacion.</t>
        </is>
      </c>
    </row>
    <row r="7" ht="15.8" customHeight="1">
      <c r="A7" s="37" t="inlineStr"/>
      <c r="B7" s="38" t="inlineStr"/>
    </row>
    <row r="8" ht="15.8" customHeight="1">
      <c r="A8" s="37" t="inlineStr">
        <is>
          <t>RESULTADO</t>
        </is>
      </c>
      <c r="B8" s="37" t="inlineStr">
        <is>
          <t>Los trece locales cumplen holgadamente iluminacion y ventilacion.</t>
        </is>
      </c>
    </row>
    <row r="9" ht="15.8" customHeight="1">
      <c r="A9" s="37" t="inlineStr"/>
      <c r="B9" s="38" t="inlineStr"/>
    </row>
    <row r="10" ht="15.8" customHeight="1">
      <c r="A10" s="37" t="inlineStr">
        <is>
          <t>CORRECCION</t>
        </is>
      </c>
      <c r="B10" s="37" t="inlineStr">
        <is>
          <t>Local 07, Hall / ingreso: la planilla original traia 0,66 y 0,22, que son los</t>
        </is>
      </c>
    </row>
    <row r="11" ht="15.8" customHeight="1">
      <c r="A11" s="37" t="inlineStr"/>
      <c r="B11" s="38" t="inlineStr">
        <is>
          <t>valores del local 03 (Lavadero, 6,0 m2). Con sus 3,50 x 2,15 = 7,53 m2 corresponden</t>
        </is>
      </c>
    </row>
    <row r="12" ht="15.8" customHeight="1">
      <c r="A12" s="37" t="inlineStr"/>
      <c r="B12" s="38" t="inlineStr">
        <is>
          <t>0,84 y 0,28. No cambia el resultado, pero el numero no cerraba con la superficie</t>
        </is>
      </c>
    </row>
    <row r="13" ht="15.8" customHeight="1">
      <c r="A13" s="37" t="inlineStr"/>
      <c r="B13" s="38" t="inlineStr">
        <is>
          <t>declarada y un verificador lo puede observar.</t>
        </is>
      </c>
    </row>
    <row r="14" ht="15.8" customHeight="1">
      <c r="A14" s="37" t="inlineStr"/>
      <c r="B14" s="38" t="inlineStr"/>
    </row>
    <row r="15" ht="15.8" customHeight="1">
      <c r="A15" s="37" t="inlineStr">
        <is>
          <t>A REVISAR</t>
        </is>
      </c>
      <c r="B15" s="37" t="inlineStr">
        <is>
          <t>Local 14, Estar / Playroom: declara 5,00 m2 de ventilacion sobre 5,00 m2 de</t>
        </is>
      </c>
    </row>
    <row r="16" ht="15.8" customHeight="1">
      <c r="A16" s="37" t="inlineStr"/>
      <c r="B16" s="38" t="inlineStr">
        <is>
          <t>iluminacion, es decir una carpinteria enteramente abrible. En los demas locales</t>
        </is>
      </c>
    </row>
    <row r="17" ht="15.8" customHeight="1">
      <c r="A17" s="37" t="inlineStr"/>
      <c r="B17" s="38" t="inlineStr">
        <is>
          <t>la relacion es del 50 por ciento. Conviene verificar la carpinteria real.</t>
        </is>
      </c>
    </row>
    <row r="18" ht="15.8" customHeight="1">
      <c r="A18" s="37" t="inlineStr"/>
      <c r="B18" s="38" t="inlineStr"/>
    </row>
    <row r="19" ht="15.8" customHeight="1">
      <c r="A19" s="37" t="inlineStr"/>
      <c r="B19" s="38" t="inlineStr">
        <is>
          <t>Local 02, Deposito: figura sin exigencia por no ser habitable. Son 11,8 m2</t>
        </is>
      </c>
    </row>
    <row r="20" ht="15.8" customHeight="1">
      <c r="A20" s="37" t="inlineStr"/>
      <c r="B20" s="38" t="inlineStr">
        <is>
          <t>cerrados: si se lo considera habitable hay que preverle conducto.</t>
        </is>
      </c>
    </row>
    <row r="21" ht="15.8" customHeight="1">
      <c r="A21" s="37" t="inlineStr"/>
      <c r="B21" s="38" t="inlineStr"/>
    </row>
    <row r="22" ht="15.8" customHeight="1">
      <c r="A22" s="37" t="inlineStr">
        <is>
          <t>REDONDEOS</t>
        </is>
      </c>
      <c r="B22" s="37" t="inlineStr">
        <is>
          <t>Diferencias menores que no afectan: local 03 da 5,95 m2 y figura 6,0;</t>
        </is>
      </c>
    </row>
    <row r="23" ht="15.8" customHeight="1">
      <c r="A23" s="37" t="inlineStr"/>
      <c r="B23" s="38" t="inlineStr">
        <is>
          <t>local 09 da 12,25 y figura 12,3.</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7.6" customWidth="1" min="1" max="1"/>
    <col width="112.7" customWidth="1" min="2" max="2"/>
  </cols>
  <sheetData>
    <row r="1" ht="29.5" customHeight="1">
      <c r="A1" s="37" t="inlineStr">
        <is>
          <t>MEMORIA DE CALCULO - VIGAS H°A°</t>
        </is>
      </c>
      <c r="B1" s="37" t="inlineStr"/>
    </row>
    <row r="2" ht="15.8" customHeight="1">
      <c r="A2" s="37" t="inlineStr"/>
      <c r="B2" s="38" t="inlineStr"/>
    </row>
    <row r="3" ht="15.8" customHeight="1">
      <c r="A3" s="37" t="inlineStr">
        <is>
          <t>NORMATIVA</t>
        </is>
      </c>
      <c r="B3" s="37" t="inlineStr">
        <is>
          <t>CIRSOC 201. Hormigon H-21 (f'c 210 kg/cm2). Acero 42/50 (fy 4200 kg/cm2).</t>
        </is>
      </c>
    </row>
    <row r="4" ht="15.8" customHeight="1">
      <c r="A4" s="37" t="inlineStr">
        <is>
          <t>UNIDADES</t>
        </is>
      </c>
      <c r="B4" s="37" t="inlineStr">
        <is>
          <t>Longitudes en m y cm. Cargas en kg/m. Momentos en kgm. Tensiones en kg/cm2.</t>
        </is>
      </c>
    </row>
    <row r="5" ht="15.8" customHeight="1">
      <c r="A5" s="37" t="inlineStr">
        <is>
          <t>DIMENSIONES</t>
        </is>
      </c>
      <c r="B5" s="37" t="inlineStr">
        <is>
          <t>b = ancho | h = altura util | d = altura total (igual criterio que la planilla de catedra).</t>
        </is>
      </c>
    </row>
    <row r="6" ht="15.8" customHeight="1">
      <c r="A6" s="37" t="inlineStr"/>
      <c r="B6" s="38" t="inlineStr"/>
    </row>
    <row r="7" ht="15.8" customHeight="1">
      <c r="A7" s="37" t="inlineStr">
        <is>
          <t>1. CARGAS</t>
        </is>
      </c>
      <c r="B7" s="37" t="inlineStr"/>
    </row>
    <row r="8" ht="15.8" customHeight="1">
      <c r="A8" s="37" t="inlineStr">
        <is>
          <t>Entrepiso PA</t>
        </is>
      </c>
      <c r="B8" s="38" t="inlineStr">
        <is>
          <t>Losa maciza 12 cm 300 + contrapiso 130 + carpeta 42 + piso 50 + cielorraso 20</t>
        </is>
      </c>
    </row>
    <row r="9" ht="15.8" customHeight="1">
      <c r="A9" s="37" t="inlineStr"/>
      <c r="B9" s="38" t="inlineStr">
        <is>
          <t>g = 550 kg/m2       q = 200 kg/m2 (vivienda)</t>
        </is>
      </c>
    </row>
    <row r="10" ht="15.8" customHeight="1">
      <c r="A10" s="37" t="inlineStr">
        <is>
          <t>Azotea</t>
        </is>
      </c>
      <c r="B10" s="38" t="inlineStr">
        <is>
          <t>Losa 300 + contrapiso de pendiente 140 + carpeta 42 + aislacion y membrana 50 + cielorraso 20</t>
        </is>
      </c>
    </row>
    <row r="11" ht="15.8" customHeight="1">
      <c r="A11" s="37" t="inlineStr"/>
      <c r="B11" s="38" t="inlineStr">
        <is>
          <t>g = 560 kg/m2       q = 100 kg/m2 (cubierta no accesible)</t>
        </is>
      </c>
    </row>
    <row r="12" ht="15.8" customHeight="1">
      <c r="A12" s="37" t="inlineStr">
        <is>
          <t>Mamposteria</t>
        </is>
      </c>
      <c r="B12" s="38" t="inlineStr">
        <is>
          <t>250 kg/m2. Altura 2,60 m en PA y 1,00 m de parapeto en azotea.</t>
        </is>
      </c>
    </row>
    <row r="13" ht="15.8" customHeight="1">
      <c r="A13" s="37" t="inlineStr">
        <is>
          <t>Peso propio</t>
        </is>
      </c>
      <c r="B13" s="38" t="inlineStr">
        <is>
          <t>2400 kg/m3 x b x d, viga por viga.</t>
        </is>
      </c>
    </row>
    <row r="14" ht="15.8" customHeight="1">
      <c r="A14" s="37" t="inlineStr">
        <is>
          <t>Carga de calculo</t>
        </is>
      </c>
      <c r="B14" s="38" t="inlineStr">
        <is>
          <t>p = 1,2 (g x B + peso propio + muro) + 1,6 (q x B)        B = ancho tributario</t>
        </is>
      </c>
    </row>
    <row r="15" ht="15.8" customHeight="1">
      <c r="A15" s="37" t="inlineStr"/>
      <c r="B15" s="38" t="inlineStr"/>
    </row>
    <row r="16" ht="15.8" customHeight="1">
      <c r="A16" s="37" t="inlineStr">
        <is>
          <t>2. SOLICITACIONES</t>
        </is>
      </c>
      <c r="B16" s="37" t="inlineStr">
        <is>
          <t>Coeficientes segun esquema (tabla en hoja Datos):</t>
        </is>
      </c>
    </row>
    <row r="17" ht="15.8" customHeight="1">
      <c r="A17" s="37" t="inlineStr"/>
      <c r="B17" s="38" t="inlineStr">
        <is>
          <t xml:space="preserve">  Simplemente apoyada   M = pL2/8                    R = 0,500 pL</t>
        </is>
      </c>
    </row>
    <row r="18" ht="15.8" customHeight="1">
      <c r="A18" s="37" t="inlineStr"/>
      <c r="B18" s="38" t="inlineStr">
        <is>
          <t xml:space="preserve">  Continua              M = pL2/14   Mapoyo = pL2/10  R = 0,575 pL</t>
        </is>
      </c>
    </row>
    <row r="19" ht="15.8" customHeight="1">
      <c r="A19" s="37" t="inlineStr"/>
      <c r="B19" s="38" t="inlineStr">
        <is>
          <t xml:space="preserve">  Empotrada-apoyada     M = 9pL2/128 Mapoyo = pL2/8   R = 0,625 pL</t>
        </is>
      </c>
    </row>
    <row r="20" ht="15.8" customHeight="1">
      <c r="A20" s="37" t="inlineStr"/>
      <c r="B20" s="38" t="inlineStr">
        <is>
          <t xml:space="preserve">  Biempotrada           M = pL2/24   Mapoyo = pL2/12  R = 0,500 pL</t>
        </is>
      </c>
    </row>
    <row r="21" ht="15.8" customHeight="1">
      <c r="A21" s="37" t="inlineStr"/>
      <c r="B21" s="38" t="inlineStr">
        <is>
          <t xml:space="preserve">  Voladizo                           Mapoyo = pL2/2   R = 1,000 pL</t>
        </is>
      </c>
    </row>
    <row r="22" ht="15.8" customHeight="1">
      <c r="A22" s="37" t="inlineStr"/>
      <c r="B22" s="38" t="inlineStr"/>
    </row>
    <row r="23" ht="15.8" customHeight="1">
      <c r="A23" s="37" t="inlineStr">
        <is>
          <t>3. FLEXION</t>
        </is>
      </c>
      <c r="B23" s="37" t="inlineStr">
        <is>
          <t>k = M / (phi b h2 f'c)      w = 1 - RAIZ(1 - 2k)      As = w b h f'c / fy</t>
        </is>
      </c>
    </row>
    <row r="24" ht="15.8" customHeight="1">
      <c r="A24" s="37" t="inlineStr"/>
      <c r="B24" s="38" t="inlineStr">
        <is>
          <t>As min = 0,0033 b h       As max = 0,0163 b h (0,75 de la cuantia balanceada)</t>
        </is>
      </c>
    </row>
    <row r="25" ht="15.8" customHeight="1">
      <c r="A25" s="37" t="inlineStr"/>
      <c r="B25" s="38" t="inlineStr">
        <is>
          <t>Si la armadura no entra en una capa se disponen dos y el recubrimiento pasa a 6 cm.</t>
        </is>
      </c>
    </row>
    <row r="26" ht="15.8" customHeight="1">
      <c r="A26" s="37" t="inlineStr"/>
      <c r="B26" s="38" t="inlineStr"/>
    </row>
    <row r="27" ht="15.8" customHeight="1">
      <c r="A27" s="37" t="inlineStr">
        <is>
          <t>4. CORTE</t>
        </is>
      </c>
      <c r="B27" s="37" t="inlineStr">
        <is>
          <t>T = R / (b x 0,85 h)       tension tangencial en el apoyo</t>
        </is>
      </c>
    </row>
    <row r="28" ht="15.8" customHeight="1">
      <c r="A28" s="37" t="inlineStr"/>
      <c r="B28" s="38" t="inlineStr">
        <is>
          <t>Vc = 0,53 RAIZ(f'c) b h        phi Vn = 0,75 (Vc + Av fy h / s)  &gt;=  R</t>
        </is>
      </c>
    </row>
    <row r="29" ht="15.8" customHeight="1">
      <c r="A29" s="37" t="inlineStr"/>
      <c r="B29" s="38" t="inlineStr">
        <is>
          <t>Av = 2 ramas. Se aumenta el diametro antes que cerrar la separacion por debajo de 10 cm.</t>
        </is>
      </c>
    </row>
    <row r="30" ht="15.8" customHeight="1">
      <c r="A30" s="37" t="inlineStr"/>
      <c r="B30" s="38" t="inlineStr"/>
    </row>
    <row r="31" ht="15.8" customHeight="1">
      <c r="A31" s="37" t="inlineStr">
        <is>
          <t>5. FLECHA</t>
        </is>
      </c>
      <c r="B31" s="37" t="inlineStr">
        <is>
          <t>Altura minima: simplemente apoyada L/16, un extremo continuo L/18,5,</t>
        </is>
      </c>
    </row>
    <row r="32" ht="15.8" customHeight="1">
      <c r="A32" s="37" t="inlineStr"/>
      <c r="B32" s="38" t="inlineStr">
        <is>
          <t>ambos extremos continuos L/21, voladizo L/8.</t>
        </is>
      </c>
    </row>
    <row r="33" ht="15.8" customHeight="1">
      <c r="A33" s="37" t="inlineStr"/>
      <c r="B33" s="38" t="inlineStr"/>
    </row>
    <row r="34" ht="15.8" customHeight="1">
      <c r="A34" s="37" t="inlineStr">
        <is>
          <t>6. VIGAS INVERTIDAS</t>
        </is>
      </c>
      <c r="B34" s="37" t="inlineStr">
        <is>
          <t>Las vigas de BORDE son invertidas: sobresalen 70 cm por encima del fondo de</t>
        </is>
      </c>
    </row>
    <row r="35" ht="15.8" customHeight="1">
      <c r="A35" s="37" t="inlineStr"/>
      <c r="B35" s="38" t="inlineStr">
        <is>
          <t>losa (cotas N.F.L +3,50 / N.S.V +4,20 y N.F.L +6,80 / N.S.V +7,50 del plano).</t>
        </is>
      </c>
    </row>
    <row r="36" ht="15.8" customHeight="1">
      <c r="A36" s="37" t="inlineStr"/>
      <c r="B36" s="38" t="inlineStr">
        <is>
          <t>losa. Lo confirman las cotas del plano y el hecho de que el cielorraso sea de</t>
        </is>
      </c>
    </row>
    <row r="37" ht="15.8" customHeight="1">
      <c r="A37" s="37" t="inlineStr"/>
      <c r="B37" s="38" t="inlineStr">
        <is>
          <t>VI 06 mide 14,00 m en total y es el cuarto borde de L07. Sobre su eje hay cuatro</t>
        </is>
      </c>
    </row>
    <row r="38" ht="15.8" customHeight="1">
      <c r="A38" s="37" t="inlineStr"/>
      <c r="B38" s="38" t="inlineStr">
        <is>
          <t>columnas, de modo que trabaja como viga continua de tres tramos de 4,10, 4,32 y</t>
        </is>
      </c>
    </row>
    <row r="39" ht="15.8" customHeight="1">
      <c r="A39" s="37" t="inlineStr"/>
      <c r="B39" s="38" t="inlineStr">
        <is>
          <t>6,53 m. Se calcula con el mayor, 6,53 m, que es el que gobierna.</t>
        </is>
      </c>
    </row>
    <row r="40" ht="15.8" customHeight="1">
      <c r="A40" s="37" t="inlineStr"/>
      <c r="B40" s="38" t="inlineStr">
        <is>
          <t>hormigon visto: una viga colgante quedaria a la vista. El computo metrico las</t>
        </is>
      </c>
    </row>
    <row r="41" ht="15.8" customHeight="1">
      <c r="A41" s="37" t="inlineStr"/>
      <c r="B41" s="38" t="inlineStr">
        <is>
          <t>agrupa a las 28 bajo el rubro Vigas invertidas 15x70.</t>
        </is>
      </c>
    </row>
    <row r="42" ht="15.8" customHeight="1">
      <c r="A42" s="37" t="inlineStr"/>
      <c r="B42" s="38" t="inlineStr">
        <is>
          <t>Esto define donde la losa aporta ala comprimida:</t>
        </is>
      </c>
    </row>
    <row r="43" ht="15.8" customHeight="1">
      <c r="A43" s="37" t="inlineStr"/>
      <c r="B43" s="38" t="inlineStr">
        <is>
          <t xml:space="preserve">  viga COLGANTE  -&gt; la losa esta arriba  -&gt; ala util en el TRAMO (momento positivo)</t>
        </is>
      </c>
    </row>
    <row r="44" ht="15.8" customHeight="1">
      <c r="A44" s="37" t="inlineStr"/>
      <c r="B44" s="38" t="inlineStr">
        <is>
          <t xml:space="preserve">  viga INVERTIDA -&gt; la losa esta abajo   -&gt; ala util en el APOYO (momento negativo)</t>
        </is>
      </c>
    </row>
    <row r="45" ht="15.8" customHeight="1">
      <c r="A45" s="37" t="inlineStr"/>
      <c r="B45" s="38" t="inlineStr">
        <is>
          <t>En la zona con ala se adopta b efectivo = min(L/4 ; b + 16 hf); en la otra, la</t>
        </is>
      </c>
    </row>
    <row r="46" ht="15.8" customHeight="1">
      <c r="A46" s="37" t="inlineStr"/>
      <c r="B46" s="38" t="inlineStr">
        <is>
          <t>seccion es rectangular de ancho b. Las columnas b ef tramo y b ef apoyo lo muestran.</t>
        </is>
      </c>
    </row>
    <row r="47" ht="15.8" customHeight="1">
      <c r="A47" s="37" t="inlineStr"/>
      <c r="B47" s="38" t="inlineStr">
        <is>
          <t>PENDIENTE: las invertidas de BORDE (VI 01a, 01b, 07a, 07b, 07c, 11a, 11b, 11c,</t>
        </is>
      </c>
    </row>
    <row r="48" ht="15.8" customHeight="1">
      <c r="A48" s="37" t="inlineStr"/>
      <c r="B48" s="38" t="inlineStr">
        <is>
          <t>15a y 15b) reciben la reaccion de la losa de un solo lado, excentrica respecto</t>
        </is>
      </c>
    </row>
    <row r="49" ht="15.8" customHeight="1">
      <c r="A49" s="37" t="inlineStr"/>
      <c r="B49" s="38" t="inlineStr">
        <is>
          <t>de su eje, y quedan sometidas a TORSION. Esta planilla no la verifica.</t>
        </is>
      </c>
    </row>
    <row r="50" ht="15.8" customHeight="1">
      <c r="A50" s="37" t="inlineStr"/>
      <c r="B50" s="38" t="inlineStr"/>
    </row>
    <row r="51" ht="15.8" customHeight="1">
      <c r="A51" s="37" t="inlineStr">
        <is>
          <t>7. RESULTADO</t>
        </is>
      </c>
      <c r="B51" s="37" t="inlineStr">
        <is>
          <t>30 vigas: 21 del entrepiso PA y 9 de la losa de techo. 28 verifican.</t>
        </is>
      </c>
    </row>
    <row r="52" ht="15.8" customHeight="1">
      <c r="A52" s="37" t="inlineStr"/>
      <c r="B52" s="38" t="inlineStr">
        <is>
          <t>VI 02 (15x60, 9,88 m): recibe L02 y L03, B = 2,88 m. La armadura de apoyo</t>
        </is>
      </c>
    </row>
    <row r="53" ht="15.8" customHeight="1">
      <c r="A53" s="37" t="inlineStr"/>
      <c r="B53" s="38" t="inlineStr">
        <is>
          <t xml:space="preserve">   necesaria ronda los 25 cm2 y supera la cuantia maxima. Los apoyos estan</t>
        </is>
      </c>
    </row>
    <row r="54" ht="15.8" customHeight="1">
      <c r="A54" s="37" t="inlineStr"/>
      <c r="B54" s="38" t="inlineStr">
        <is>
          <t xml:space="preserve">   confirmados en obra: tabique T07 perpendicular arriba y COL 02 abajo, sin apoyo</t>
        </is>
      </c>
    </row>
    <row r="55" ht="15.8" customHeight="1">
      <c r="A55" s="37" t="inlineStr"/>
      <c r="B55" s="38" t="inlineStr">
        <is>
          <t xml:space="preserve">   intermedio. Para esta carga la seccion necesaria es 15x75.</t>
        </is>
      </c>
    </row>
    <row r="56" ht="15.8" customHeight="1">
      <c r="A56" s="37" t="inlineStr"/>
      <c r="B56" s="38" t="inlineStr">
        <is>
          <t>VCH 03a (40x13, 3,83 m). Recibe L03, B = 2,08 m, y no</t>
        </is>
      </c>
    </row>
    <row r="57" ht="15.8" customHeight="1">
      <c r="A57" s="37" t="inlineStr"/>
      <c r="B57" s="38" t="inlineStr">
        <is>
          <t xml:space="preserve">   verifica: haria falta mas espesor. Tampoco verifica con B = 0,60 m, asi</t>
        </is>
      </c>
    </row>
    <row r="58" ht="15.8" customHeight="1">
      <c r="A58" s="37" t="inlineStr"/>
      <c r="B58" s="38" t="inlineStr">
        <is>
          <t xml:space="preserve">   que el problema no es la hipotesis de carga sino la relacion luz/espesor. Una viga</t>
        </is>
      </c>
    </row>
    <row r="59" ht="15.8" customHeight="1">
      <c r="A59" s="37" t="inlineStr"/>
      <c r="B59" s="38" t="inlineStr">
        <is>
          <t xml:space="preserve">   chata del mismo espesor que la losa no puede ser apoyo lineal de un pano de 4,15 m.</t>
        </is>
      </c>
    </row>
    <row r="60" ht="15.8" customHeight="1">
      <c r="A60" s="37" t="inlineStr"/>
      <c r="B60" s="38" t="inlineStr">
        <is>
          <t xml:space="preserve">   Revisar si tiene un muro debajo que acorte su luz libre.</t>
        </is>
      </c>
    </row>
    <row r="61" ht="15.8" customHeight="1">
      <c r="A61" s="37" t="inlineStr"/>
      <c r="B61" s="38" t="inlineStr">
        <is>
          <t>VCH 03a (40x13, 3,71 m): excede la cuantia maxima y no llega a la altura minima por</t>
        </is>
      </c>
    </row>
    <row r="62" ht="15.8" customHeight="1">
      <c r="A62" s="37" t="inlineStr"/>
      <c r="B62" s="38" t="inlineStr">
        <is>
          <t xml:space="preserve">   flecha. Revisar el ancho tributario: si solo recibe el muro y no losa, baja mucho.</t>
        </is>
      </c>
    </row>
    <row r="63" ht="15.8" customHeight="1">
      <c r="A63" s="37" t="inlineStr"/>
      <c r="B63" s="38" t="inlineStr"/>
    </row>
    <row r="64" ht="15.8" customHeight="1">
      <c r="A64" s="37" t="inlineStr">
        <is>
          <t>8. ALCANCE</t>
        </is>
      </c>
      <c r="B64" s="38" t="inlineStr">
        <is>
          <t>No se incluyen las 31 vigas de fundacion (VF01 a VF18c): su calculo depende de las</t>
        </is>
      </c>
    </row>
    <row r="65" ht="15.8" customHeight="1">
      <c r="A65" s="37" t="inlineStr"/>
      <c r="B65" s="38" t="inlineStr">
        <is>
          <t>cargas que bajan por las columnas y corresponde hacerlo despues. Tampoco losas ni columnas.</t>
        </is>
      </c>
    </row>
    <row r="66" ht="15.8" customHeight="1">
      <c r="A66" s="37" t="inlineStr"/>
      <c r="B66" s="38" t="inlineStr"/>
    </row>
    <row r="67" ht="15.8" customHeight="1">
      <c r="A67" s="37" t="inlineStr">
        <is>
          <t>LIMITACIONES</t>
        </is>
      </c>
      <c r="B67" s="37" t="inlineStr">
        <is>
          <t>El ancho tributario B esta relevado solo en</t>
        </is>
      </c>
    </row>
    <row r="68" ht="15.8" customHeight="1">
      <c r="A68" s="37" t="inlineStr"/>
      <c r="B68" s="38" t="inlineStr">
        <is>
          <t>VI 02 (0,80 m) y VCH 03a (2,08 m). En las demas sigue adoptado en 2,00 m, a falta</t>
        </is>
      </c>
    </row>
    <row r="69" ht="15.8" customHeight="1">
      <c r="A69" s="37" t="inlineStr"/>
      <c r="B69" s="38" t="inlineStr">
        <is>
          <t>hipotesis mas influyente del calculo: ajustarla viga por viga en la columna B trib.</t>
        </is>
      </c>
    </row>
    <row r="70" ht="15.8" customHeight="1">
      <c r="A70" s="37" t="inlineStr"/>
      <c r="B70" s="38" t="inlineStr">
        <is>
          <t>El esquema se asigno por criterio: continua si integra una serie a-b-c o si supera 5,5 m.</t>
        </is>
      </c>
    </row>
    <row r="71" ht="15.8" customHeight="1">
      <c r="A71" s="37" t="inlineStr"/>
      <c r="B71" s="38" t="inlineStr">
        <is>
          <t>Trabajo academico. Requiere verificacion y firma de profesional matriculado.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7.6" customWidth="1" min="1" max="1"/>
    <col width="110.4" customWidth="1" min="2" max="2"/>
  </cols>
  <sheetData>
    <row r="1" ht="15.8" customHeight="1">
      <c r="A1" s="37" t="inlineStr">
        <is>
          <t>MEMORIA DE CALCULO - LOSAS</t>
        </is>
      </c>
      <c r="B1" s="37" t="inlineStr"/>
    </row>
    <row r="2" ht="15.8" customHeight="1">
      <c r="A2" s="37" t="inlineStr"/>
      <c r="B2" s="38" t="inlineStr"/>
    </row>
    <row r="3" ht="15.8" customHeight="1">
      <c r="A3" s="37" t="inlineStr">
        <is>
          <t>METODO</t>
        </is>
      </c>
      <c r="B3" s="37" t="inlineStr">
        <is>
          <t>Tensiones admisibles, igual criterio que la planilla modelo de la catedra.</t>
        </is>
      </c>
    </row>
    <row r="4" ht="15.8" customHeight="1">
      <c r="A4" s="37" t="inlineStr"/>
      <c r="B4" s="38" t="inlineStr">
        <is>
          <t>Se verifico contra la fila de ejemplo: momentos y reacciones coinciden exactamente.</t>
        </is>
      </c>
    </row>
    <row r="5" ht="15.8" customHeight="1">
      <c r="A5" s="37" t="inlineStr">
        <is>
          <t>MATERIALES</t>
        </is>
      </c>
      <c r="B5" s="37" t="inlineStr">
        <is>
          <t>H-21 (f'c 210 kg/cm2). Acero 42/50 (fy 4200). Tension admisible 2400 kg/cm2.</t>
        </is>
      </c>
    </row>
    <row r="6" ht="15.8" customHeight="1">
      <c r="A6" s="37" t="inlineStr">
        <is>
          <t>DIMENSIONES</t>
        </is>
      </c>
      <c r="B6" s="37" t="inlineStr">
        <is>
          <t>h = altura util | d = espesor total. Recubrimiento 1,5 cm.</t>
        </is>
      </c>
    </row>
    <row r="7" ht="15.8" customHeight="1">
      <c r="A7" s="37" t="inlineStr"/>
      <c r="B7" s="38" t="inlineStr"/>
    </row>
    <row r="8" ht="15.8" customHeight="1">
      <c r="A8" s="37" t="inlineStr">
        <is>
          <t>1. CARGAS</t>
        </is>
      </c>
      <c r="B8" s="37" t="inlineStr">
        <is>
          <t>p = peso propio + terminaciones + q      (cargas de servicio, sin mayorar)</t>
        </is>
      </c>
    </row>
    <row r="9" ht="15.8" customHeight="1">
      <c r="A9" s="37" t="inlineStr"/>
      <c r="B9" s="38" t="inlineStr">
        <is>
          <t>Peso propio = 2400 x d / 100, calculado con el espesor propio de cada losa.</t>
        </is>
      </c>
    </row>
    <row r="10" ht="15.8" customHeight="1">
      <c r="A10" s="37" t="inlineStr">
        <is>
          <t>S/PB</t>
        </is>
      </c>
      <c r="B10" s="38" t="inlineStr">
        <is>
          <t>Terminaciones 242 kg/m2 (contrapiso 130 + carpeta 42 + piso 50 + cielorraso 20)</t>
        </is>
      </c>
    </row>
    <row r="11" ht="15.8" customHeight="1">
      <c r="A11" s="37" t="inlineStr"/>
      <c r="B11" s="38" t="inlineStr">
        <is>
          <t>q = 200 kg/m2 (vivienda)</t>
        </is>
      </c>
    </row>
    <row r="12" ht="15.8" customHeight="1">
      <c r="A12" s="37" t="inlineStr">
        <is>
          <t>S/PA</t>
        </is>
      </c>
      <c r="B12" s="38" t="inlineStr">
        <is>
          <t>Terminaciones 252 kg/m2 (contrapiso pendiente 140 + carpeta 42 + aislacion 50 +</t>
        </is>
      </c>
    </row>
    <row r="13" ht="15.8" customHeight="1">
      <c r="A13" s="37" t="inlineStr"/>
      <c r="B13" s="38" t="inlineStr">
        <is>
          <t>cielorraso 20).  q = 100 kg/m2 (azotea no accesible)</t>
        </is>
      </c>
    </row>
    <row r="14" ht="15.8" customHeight="1">
      <c r="A14" s="37" t="inlineStr"/>
      <c r="B14" s="38" t="inlineStr"/>
    </row>
    <row r="15" ht="15.8" customHeight="1">
      <c r="A15" s="37" t="inlineStr">
        <is>
          <t>2. SOLICITACIONES</t>
        </is>
      </c>
      <c r="B15" s="37" t="inlineStr">
        <is>
          <t>M = coeficiente x p x L2, segun el grado de empotramiento:</t>
        </is>
      </c>
    </row>
    <row r="16" ht="15.8" customHeight="1">
      <c r="A16" s="37" t="inlineStr"/>
      <c r="B16" s="38" t="inlineStr">
        <is>
          <t xml:space="preserve">  1/8 simplemente apoyada    1/10 y 1/14 continua    1/12 biempotrada    1/2 voladizo</t>
        </is>
      </c>
    </row>
    <row r="17" ht="15.8" customHeight="1">
      <c r="A17" s="37" t="inlineStr"/>
      <c r="B17" s="38" t="inlineStr">
        <is>
          <t>R = coeficiente x p x L. En voladizo Rx = p x L y Ry no corresponde.</t>
        </is>
      </c>
    </row>
    <row r="18" ht="15.8" customHeight="1">
      <c r="A18" s="37" t="inlineStr"/>
      <c r="B18" s="38" t="inlineStr"/>
    </row>
    <row r="19" ht="15.8" customHeight="1">
      <c r="A19" s="37" t="inlineStr">
        <is>
          <t>3. ARMADURA</t>
        </is>
      </c>
      <c r="B19" s="37" t="inlineStr">
        <is>
          <t>As = M x 100 / (2400 x 0,9 x h)        [cm2/m]</t>
        </is>
      </c>
    </row>
    <row r="20" ht="15.8" customHeight="1">
      <c r="A20" s="37" t="inlineStr"/>
      <c r="B20" s="38" t="inlineStr">
        <is>
          <t>separacion = 100 x area de la barra / As, redondeada, con maximo 20 cm</t>
        </is>
      </c>
    </row>
    <row r="21" ht="15.8" customHeight="1">
      <c r="A21" s="37" t="inlineStr"/>
      <c r="B21" s="38" t="inlineStr">
        <is>
          <t>Armadura de reparticion = As / 5, con un minimo de 0,30 cm2/m</t>
        </is>
      </c>
    </row>
    <row r="22" ht="15.8" customHeight="1">
      <c r="A22" s="37" t="inlineStr"/>
      <c r="B22" s="38" t="inlineStr"/>
    </row>
    <row r="23" ht="15.8" customHeight="1">
      <c r="A23" s="37" t="inlineStr">
        <is>
          <t>4. ESPESORES</t>
        </is>
      </c>
      <c r="B23" s="37" t="inlineStr">
        <is>
          <t>Los espesores d se leyeron del plano: estan escritos debajo del rotulo de cada losa.</t>
        </is>
      </c>
    </row>
    <row r="24" ht="15.8" customHeight="1">
      <c r="A24" s="37" t="inlineStr"/>
      <c r="B24" s="38" t="inlineStr">
        <is>
          <t>S/PB:  L01 11 | L02 9 | L03 13 | L04 11 | L05 11 | L06 8 | L07 12 | L08 10</t>
        </is>
      </c>
    </row>
    <row r="25" ht="15.8" customHeight="1">
      <c r="A25" s="37" t="inlineStr"/>
      <c r="B25" s="38" t="inlineStr">
        <is>
          <t>S/PA:  L09 13 | L10 12</t>
        </is>
      </c>
    </row>
    <row r="26" ht="15.8" customHeight="1">
      <c r="A26" s="37" t="inlineStr"/>
      <c r="B26" s="38" t="inlineStr"/>
    </row>
    <row r="27" ht="15.8" customHeight="1">
      <c r="A27" s="37" t="inlineStr">
        <is>
          <t>5. LUCES</t>
        </is>
      </c>
      <c r="B27" s="37" t="inlineStr">
        <is>
          <t>Relevadas en obra y aportadas por el proyectista. Dos losas son voladizo</t>
        </is>
      </c>
    </row>
    <row r="28" ht="15.8" customHeight="1">
      <c r="A28" s="37" t="inlineStr"/>
      <c r="B28" s="38" t="inlineStr">
        <is>
          <t>(L02 de 0,80 m y L08 de 0,75 m) y se calculan con M = p L2 / 2.</t>
        </is>
      </c>
    </row>
    <row r="29" ht="15.8" customHeight="1">
      <c r="A29" s="37" t="inlineStr"/>
      <c r="B29" s="38" t="inlineStr"/>
    </row>
    <row r="30" ht="15.8" customHeight="1">
      <c r="A30" s="37" t="inlineStr">
        <is>
          <t>6. LOSAS CRUZADAS</t>
        </is>
      </c>
      <c r="B30" s="38" t="inlineStr">
        <is>
          <t>L07 (4,85 x 5,60) y L10 (4,85 x 6,00) apoyan en los cuatro bordes y su relacion</t>
        </is>
      </c>
    </row>
    <row r="31" ht="15.8" customHeight="1">
      <c r="A31" s="37" t="inlineStr"/>
      <c r="B31" s="38" t="inlineStr">
        <is>
          <t>de lados es menor que 2, por lo que trabajan en las dos direcciones.</t>
        </is>
      </c>
    </row>
    <row r="32" ht="15.8" customHeight="1">
      <c r="A32" s="37" t="inlineStr"/>
      <c r="B32" s="38" t="inlineStr">
        <is>
          <t>Se reparte la carga por el metodo de Marcus:   kx = ly4 / (lx4 + ly4)</t>
        </is>
      </c>
    </row>
    <row r="33" ht="15.8" customHeight="1">
      <c r="A33" s="37" t="inlineStr"/>
      <c r="B33" s="38" t="inlineStr">
        <is>
          <t xml:space="preserve">  L07: ly/lx = 1,15  -&gt;  64% en la direccion corta, 36% en la larga</t>
        </is>
      </c>
    </row>
    <row r="34" ht="15.8" customHeight="1">
      <c r="A34" s="37" t="inlineStr"/>
      <c r="B34" s="38" t="inlineStr">
        <is>
          <t xml:space="preserve">  L10: ly/lx = 1,24  -&gt;  70% en la direccion corta, 30% en la larga</t>
        </is>
      </c>
    </row>
    <row r="35" ht="15.8" customHeight="1">
      <c r="A35" s="37" t="inlineStr"/>
      <c r="B35" s="38" t="inlineStr">
        <is>
          <t>Cada una ocupa dos renglones, uno por direccion, con la fraccion de carga que</t>
        </is>
      </c>
    </row>
    <row r="36" ht="15.8" customHeight="1">
      <c r="A36" s="37" t="inlineStr"/>
      <c r="B36" s="38" t="inlineStr">
        <is>
          <t>le toca ya aplicada en la columna CARGAS. Las dos armaduras se cruzan en obra:</t>
        </is>
      </c>
    </row>
    <row r="37" ht="15.8" customHeight="1">
      <c r="A37" s="37" t="inlineStr"/>
      <c r="B37" s="38" t="inlineStr">
        <is>
          <t>la de la direccion corta va abajo, la de la larga arriba de aquella.</t>
        </is>
      </c>
    </row>
    <row r="38" ht="15.8" customHeight="1">
      <c r="A38" s="37" t="inlineStr"/>
      <c r="B38" s="38" t="inlineStr">
        <is>
          <t>La columna auxiliar luz transv. es la que dispara el reparto: si se borra, la</t>
        </is>
      </c>
    </row>
    <row r="39" ht="15.8" customHeight="1">
      <c r="A39" s="37" t="inlineStr"/>
      <c r="B39" s="38" t="inlineStr">
        <is>
          <t>fila vuelve a calcularse como losa armada en una direccion.</t>
        </is>
      </c>
    </row>
    <row r="40" ht="15.8" customHeight="1">
      <c r="A40" s="37" t="inlineStr"/>
      <c r="B40" s="38" t="inlineStr"/>
    </row>
    <row r="41" ht="15.8" customHeight="1">
      <c r="A41" s="37" t="inlineStr">
        <is>
          <t>LIMITACIONES</t>
        </is>
      </c>
      <c r="B41" s="37" t="inlineStr">
        <is>
          <t>El grado de empotramiento esta cargado en 1/8 salvo los dos voladizos (1/2). Si</t>
        </is>
      </c>
    </row>
    <row r="42" ht="15.8" customHeight="1">
      <c r="A42" s="37" t="inlineStr"/>
      <c r="B42" s="38" t="inlineStr">
        <is>
          <t>alguna losa es continua sobre una viga corresponde 1/10 o 1/14: corregir en la columna.</t>
        </is>
      </c>
    </row>
    <row r="43" ht="15.8" customHeight="1">
      <c r="A43" s="37" t="inlineStr"/>
      <c r="B43" s="38" t="inlineStr">
        <is>
          <t>El diagrama de cargas es una imagen fija: si cambias el grado, cambialo a mano.</t>
        </is>
      </c>
    </row>
    <row r="44" ht="15.8" customHeight="1">
      <c r="A44" s="37" t="inlineStr"/>
      <c r="B44" s="38" t="inlineStr">
        <is>
          <t>Trabajo academico. Requiere verificacion y firma de profesional matriculado.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7.6" customWidth="1" min="1" max="1"/>
    <col width="112.7" customWidth="1" min="2" max="2"/>
  </cols>
  <sheetData>
    <row r="1" ht="29.5" customHeight="1">
      <c r="A1" s="37" t="inlineStr">
        <is>
          <t>MEMORIA DE CALCULO - COLUMNAS</t>
        </is>
      </c>
      <c r="B1" s="37" t="inlineStr"/>
    </row>
    <row r="2" ht="15.8" customHeight="1">
      <c r="A2" s="37" t="inlineStr"/>
      <c r="B2" s="38" t="inlineStr"/>
    </row>
    <row r="3" ht="15.8" customHeight="1">
      <c r="A3" s="37" t="inlineStr">
        <is>
          <t>MATERIALES</t>
        </is>
      </c>
      <c r="B3" s="37" t="inlineStr">
        <is>
          <t>H-21 (f'c 210 kg/cm2). Acero 42/50 (fy 4200). phi compresion 0,65.</t>
        </is>
      </c>
    </row>
    <row r="4" ht="15.8" customHeight="1">
      <c r="A4" s="37" t="inlineStr"/>
      <c r="B4" s="38" t="inlineStr"/>
    </row>
    <row r="5" ht="15.8" customHeight="1">
      <c r="A5" s="37" t="inlineStr">
        <is>
          <t>1. RELEVAMIENTO</t>
        </is>
      </c>
      <c r="B5" s="37" t="inlineStr">
        <is>
          <t>Las columnas se identificaron en el plano cruzando el rotulo COL con un rectangulo</t>
        </is>
      </c>
    </row>
    <row r="6" ht="15.8" customHeight="1">
      <c r="A6" s="37" t="inlineStr"/>
      <c r="B6" s="38" t="inlineStr">
        <is>
          <t>de la misma seccion a menos de 26 pt. Resultaron 9 en PB y 4 en PA.</t>
        </is>
      </c>
    </row>
    <row r="7" ht="15.8" customHeight="1">
      <c r="A7" s="37" t="inlineStr"/>
      <c r="B7" s="38" t="inlineStr">
        <is>
          <t>Las 4 de PA caen exactamente sobre C6, C7, C8 y C9 de PB, y ademas tienen la misma</t>
        </is>
      </c>
    </row>
    <row r="8" ht="15.8" customHeight="1">
      <c r="A8" s="37" t="inlineStr"/>
      <c r="B8" s="38" t="inlineStr">
        <is>
          <t>seccion, lo que confirma que la correspondencia entre plantas es correcta.</t>
        </is>
      </c>
    </row>
    <row r="9" ht="15.8" customHeight="1">
      <c r="A9" s="37" t="inlineStr"/>
      <c r="B9" s="38" t="inlineStr">
        <is>
          <t>La C01 de 10x10 esta confirmada por el proyectista aunque el computo metrico no</t>
        </is>
      </c>
    </row>
    <row r="10" ht="15.8" customHeight="1">
      <c r="A10" s="37" t="inlineStr"/>
      <c r="B10" s="38" t="inlineStr">
        <is>
          <t>la incluya en su item 4.1.3: ese computo esta incompleto en ese punto.</t>
        </is>
      </c>
    </row>
    <row r="11" ht="15.8" customHeight="1">
      <c r="A11" s="37" t="inlineStr"/>
      <c r="B11" s="38" t="inlineStr"/>
    </row>
    <row r="12" ht="15.8" customHeight="1">
      <c r="A12" s="37" t="inlineStr">
        <is>
          <t>2. ALTURAS</t>
        </is>
      </c>
      <c r="B12" s="37" t="inlineStr">
        <is>
          <t>PB 3,15 m y PA 3,22 m, los mismos valores de la planilla de la catedra, coherentes</t>
        </is>
      </c>
    </row>
    <row r="13" ht="15.8" customHeight="1">
      <c r="A13" s="37" t="inlineStr"/>
      <c r="B13" s="38" t="inlineStr">
        <is>
          <t>con los niveles del plano (N.F.L +3,50 del entrepiso y +6,80 del techo).</t>
        </is>
      </c>
    </row>
    <row r="14" ht="15.8" customHeight="1">
      <c r="A14" s="37" t="inlineStr"/>
      <c r="B14" s="38" t="inlineStr"/>
    </row>
    <row r="15" ht="15.8" customHeight="1">
      <c r="A15" s="37" t="inlineStr">
        <is>
          <t>3. ARMADURA</t>
        </is>
      </c>
      <c r="B15" s="37" t="inlineStr">
        <is>
          <t>As = 0,008 x area (cuantia minima, el mismo criterio de la planilla modelo).</t>
        </is>
      </c>
    </row>
    <row r="16" ht="15.8" customHeight="1">
      <c r="A16" s="37" t="inlineStr"/>
      <c r="B16" s="38" t="inlineStr">
        <is>
          <t>Se adoptan 4 barras del 12 en todas: 4,52 cm2, que cubre la minima en toda seccion.</t>
        </is>
      </c>
    </row>
    <row r="17" ht="15.8" customHeight="1">
      <c r="A17" s="37" t="inlineStr"/>
      <c r="B17" s="38" t="inlineStr">
        <is>
          <t>Separacion de estribos = min(12 x diam. long. ; 48 x diam. estribo ; lado menor),</t>
        </is>
      </c>
    </row>
    <row r="18" ht="15.8" customHeight="1">
      <c r="A18" s="37" t="inlineStr"/>
      <c r="B18" s="38" t="inlineStr">
        <is>
          <t>redondeada hacia abajo a multiplo de 5. Para 4d12 con estribo d6 da 10 cm.</t>
        </is>
      </c>
    </row>
    <row r="19" ht="15.8" customHeight="1">
      <c r="A19" s="37" t="inlineStr"/>
      <c r="B19" s="38" t="inlineStr">
        <is>
          <t>La planilla de la catedra adopta 20 cm: ese valor supera el limite reglamentario.</t>
        </is>
      </c>
    </row>
    <row r="20" ht="15.8" customHeight="1">
      <c r="A20" s="37" t="inlineStr"/>
      <c r="B20" s="38" t="inlineStr"/>
    </row>
    <row r="21" ht="15.8" customHeight="1">
      <c r="A21" s="37" t="inlineStr">
        <is>
          <t>4. CAPACIDAD</t>
        </is>
      </c>
      <c r="B21" s="37" t="inlineStr">
        <is>
          <t>phi Pn = 0,65 x 0,80 x [0,85 f'c (Ag - As) + fy As]     (columna zunchada con estribos)</t>
        </is>
      </c>
    </row>
    <row r="22" ht="15.8" customHeight="1">
      <c r="A22" s="37" t="inlineStr"/>
      <c r="B22" s="38" t="inlineStr">
        <is>
          <t xml:space="preserve">  15x30 con 4d12 -&gt; 51,2 t        20x20 con 4d12 -&gt; 46,6 t</t>
        </is>
      </c>
    </row>
    <row r="23" ht="15.8" customHeight="1">
      <c r="A23" s="37" t="inlineStr"/>
      <c r="B23" s="38" t="inlineStr"/>
    </row>
    <row r="24" ht="15.8" customHeight="1">
      <c r="A24" s="37" t="inlineStr">
        <is>
          <t>5. CARGAS</t>
        </is>
      </c>
      <c r="B24" s="37" t="inlineStr">
        <is>
          <t>La columna CARGA (t) viene cargada con una bajada automatica: suma de las</t>
        </is>
      </c>
    </row>
    <row r="25" ht="15.8" customHeight="1">
      <c r="A25" s="37" t="inlineStr"/>
      <c r="B25" s="38" t="inlineStr">
        <is>
          <t>reacciones de las vigas que apoyan en cada columna (tomadas de la planilla de</t>
        </is>
      </c>
    </row>
    <row r="26" ht="15.8" customHeight="1">
      <c r="A26" s="37" t="inlineStr"/>
      <c r="B26" s="38" t="inlineStr">
        <is>
          <t>vigas), mas el peso propio, mas lo que baja de la columna del nivel superior.</t>
        </is>
      </c>
    </row>
    <row r="27" ht="15.8" customHeight="1">
      <c r="A27" s="37" t="inlineStr"/>
      <c r="B27" s="38" t="inlineStr">
        <is>
          <t>ES UNA CARGA PROVISORIA Y ES UN PISO, NO EL VALOR REAL: 20 de los 60 extremos</t>
        </is>
      </c>
    </row>
    <row r="28" ht="15.8" customHeight="1">
      <c r="A28" s="37" t="inlineStr"/>
      <c r="B28" s="38" t="inlineStr">
        <is>
          <t>de viga no pudieron asignarse a ninguna columna porque apoyan en otra viga, en</t>
        </is>
      </c>
    </row>
    <row r="29" ht="15.8" customHeight="1">
      <c r="A29" s="37" t="inlineStr"/>
      <c r="B29" s="38" t="inlineStr">
        <is>
          <t>un tabique o en la medianera, y esas reacciones no estan sumadas.</t>
        </is>
      </c>
    </row>
    <row r="30" ht="15.8" customHeight="1">
      <c r="A30" s="37" t="inlineStr"/>
      <c r="B30" s="38" t="inlineStr">
        <is>
          <t>Para cerrarla hay que indicar, para cada uno de esos 20 extremos, en que apoya.</t>
        </is>
      </c>
    </row>
    <row r="31" ht="15.8" customHeight="1">
      <c r="A31" s="37" t="inlineStr"/>
      <c r="B31" s="38" t="inlineStr">
        <is>
          <t>Mientras tanto la columna es editable: al corregir un valor todo recalcula.</t>
        </is>
      </c>
    </row>
    <row r="32" ht="15.8" customHeight="1">
      <c r="A32" s="37" t="inlineStr"/>
      <c r="B32" s="38" t="inlineStr">
        <is>
          <t>Ademas son cargas MAYORADAS, coherentes con la planilla de vigas. Si la catedra</t>
        </is>
      </c>
    </row>
    <row r="33" ht="15.8" customHeight="1">
      <c r="A33" s="37" t="inlineStr"/>
      <c r="B33" s="38" t="inlineStr">
        <is>
          <t>pide cargas de servicio, dividir por el coeficiente que corresponda.</t>
        </is>
      </c>
    </row>
    <row r="34" ht="15.8" customHeight="1">
      <c r="A34" s="37" t="inlineStr"/>
      <c r="B34" s="38" t="inlineStr"/>
    </row>
    <row r="35" ht="15.8" customHeight="1">
      <c r="A35" s="37" t="inlineStr">
        <is>
          <t>6. ESBELTEZ</t>
        </is>
      </c>
      <c r="B35" s="37" t="inlineStr">
        <is>
          <t>Todas las columnas son esbeltas: con lado menor de 15 cm y 3,15 m de altura,</t>
        </is>
      </c>
    </row>
    <row r="36" ht="15.8" customHeight="1">
      <c r="A36" s="37" t="inlineStr"/>
      <c r="B36" s="38" t="inlineStr">
        <is>
          <t>k lu / r = 70, muy por encima del limite de 34 por debajo del cual se puede</t>
        </is>
      </c>
    </row>
    <row r="37" ht="15.8" customHeight="1">
      <c r="A37" s="37" t="inlineStr"/>
      <c r="B37" s="38" t="inlineStr">
        <is>
          <t>despreciar el pandeo. En la practica el llenado de mamposteria las arriostra, pero</t>
        </is>
      </c>
    </row>
    <row r="38" ht="15.8" customHeight="1">
      <c r="A38" s="37" t="inlineStr"/>
      <c r="B38" s="38" t="inlineStr">
        <is>
          <t>si la catedra lo pide hay que verificar segundo orden. La planilla lo marca.</t>
        </is>
      </c>
    </row>
    <row r="39" ht="15.8" customHeight="1">
      <c r="A39" s="37" t="inlineStr"/>
      <c r="B39" s="38" t="inlineStr"/>
    </row>
    <row r="40" ht="15.8" customHeight="1">
      <c r="A40" s="37" t="inlineStr">
        <is>
          <t>7. LA DE 10x10</t>
        </is>
      </c>
      <c r="B40" s="37" t="inlineStr">
        <is>
          <t>Existe, confirmada por el proyectista, y el computo metrico la omite. Con 10 cm</t>
        </is>
      </c>
    </row>
    <row r="41" ht="15.8" customHeight="1">
      <c r="A41" s="37" t="inlineStr"/>
      <c r="B41" s="38" t="inlineStr">
        <is>
          <t>de lado y 3,15 m de altura su esbeltez es k lu / r = 105, tres veces el limite</t>
        </is>
      </c>
    </row>
    <row r="42" ht="15.8" customHeight="1">
      <c r="A42" s="37" t="inlineStr"/>
      <c r="B42" s="38" t="inlineStr">
        <is>
          <t>por debajo del cual se puede despreciar el pandeo, y su capacidad es de 18,7 t</t>
        </is>
      </c>
    </row>
    <row r="43" ht="15.8" customHeight="1">
      <c r="A43" s="37" t="inlineStr"/>
      <c r="B43" s="38" t="inlineStr">
        <is>
          <t>contra los 51 de una 15x30. Es el punto mas delicado del conjunto: conviene</t>
        </is>
      </c>
    </row>
    <row r="44" ht="15.8" customHeight="1">
      <c r="A44" s="37" t="inlineStr"/>
      <c r="B44" s="38" t="inlineStr">
        <is>
          <t>verificarla a segundo orden en serio, no con la formula de compresion simple.</t>
        </is>
      </c>
    </row>
    <row r="45" ht="15.8" customHeight="1">
      <c r="A45" s="37" t="inlineStr"/>
      <c r="B45" s="38" t="inlineStr"/>
    </row>
    <row r="46" ht="15.8" customHeight="1">
      <c r="A46" s="37" t="inlineStr">
        <is>
          <t>LIMITACIONES</t>
        </is>
      </c>
      <c r="B46" s="37" t="inlineStr">
        <is>
          <t>Trabajo academico. Requiere verificacion y firma de profesional matriculado.</t>
        </is>
      </c>
    </row>
    <row r="47" ht="15.8" customHeight="1">
      <c r="A47" s="37" t="inlineStr"/>
      <c r="B47" s="38" t="inlineStr">
        <is>
          <t>No se verifica flexion compuesta: las columnas de borde reciben momento de las</t>
        </is>
      </c>
    </row>
    <row r="48" ht="15.8" customHeight="1">
      <c r="A48" s="37" t="inlineStr"/>
      <c r="B48" s="38" t="inlineStr">
        <is>
          <t>vigas invertidas y trabajan a flexo-compresion, no a compresion simple.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6.1" customWidth="1" min="1" max="1"/>
    <col width="10.3" customWidth="1" min="2" max="2"/>
    <col width="10.3" customWidth="1" min="3" max="3"/>
    <col width="12.6" customWidth="1" min="4" max="4"/>
    <col width="55.2" customWidth="1" min="5" max="5"/>
  </cols>
  <sheetData>
    <row r="1">
      <c r="A1" s="22" t="inlineStr">
        <is>
          <t>VIGAS DE FUNDACION - inventario. Calculo pendiente: va despues de columnas.</t>
        </is>
      </c>
      <c r="B1" s="2" t="n"/>
      <c r="C1" s="2" t="n"/>
      <c r="D1" s="2" t="n"/>
      <c r="E1" s="2" t="n"/>
    </row>
    <row r="2">
      <c r="A2" s="2" t="n"/>
      <c r="B2" s="2" t="n"/>
      <c r="C2" s="2" t="n"/>
      <c r="D2" s="2" t="n"/>
      <c r="E2" s="2" t="n"/>
    </row>
    <row r="3" ht="15.8" customHeight="1">
      <c r="A3" s="3" t="inlineStr">
        <is>
          <t>POSICION</t>
        </is>
      </c>
      <c r="B3" s="3" t="inlineStr">
        <is>
          <t>b (cm)</t>
        </is>
      </c>
      <c r="C3" s="3" t="inlineStr">
        <is>
          <t>d (cm)</t>
        </is>
      </c>
      <c r="D3" s="3" t="inlineStr">
        <is>
          <t>L (cm)</t>
        </is>
      </c>
      <c r="E3" s="3" t="inlineStr">
        <is>
          <t>OBSERVACIONES</t>
        </is>
      </c>
    </row>
    <row r="4" ht="15.8" customHeight="1">
      <c r="A4" s="16" t="inlineStr">
        <is>
          <t>VF01 (1)</t>
        </is>
      </c>
      <c r="B4" s="9" t="n">
        <v>20</v>
      </c>
      <c r="C4" s="9" t="n">
        <v>35</v>
      </c>
      <c r="D4" s="9" t="n">
        <v>77</v>
      </c>
      <c r="E4" s="7" t="n"/>
    </row>
    <row r="5" ht="15.8" customHeight="1">
      <c r="A5" s="16" t="inlineStr">
        <is>
          <t>VF01 (2)</t>
        </is>
      </c>
      <c r="B5" s="9" t="n">
        <v>20</v>
      </c>
      <c r="C5" s="9" t="n">
        <v>35</v>
      </c>
      <c r="D5" s="9" t="n">
        <v>77</v>
      </c>
      <c r="E5" s="7" t="n"/>
    </row>
    <row r="6" ht="15.8" customHeight="1">
      <c r="A6" s="16" t="inlineStr">
        <is>
          <t>VF01 (3)</t>
        </is>
      </c>
      <c r="B6" s="9" t="n">
        <v>20</v>
      </c>
      <c r="C6" s="9" t="n">
        <v>35</v>
      </c>
      <c r="D6" s="9" t="n">
        <v>77</v>
      </c>
      <c r="E6" s="7" t="n"/>
    </row>
    <row r="7" ht="15.8" customHeight="1">
      <c r="A7" s="16" t="inlineStr">
        <is>
          <t>VF02</t>
        </is>
      </c>
      <c r="B7" s="9" t="n">
        <v>25</v>
      </c>
      <c r="C7" s="9" t="n">
        <v>35</v>
      </c>
      <c r="D7" s="9" t="n">
        <v>328</v>
      </c>
      <c r="E7" s="7" t="n"/>
    </row>
    <row r="8" ht="15.8" customHeight="1">
      <c r="A8" s="16" t="inlineStr">
        <is>
          <t>VF03</t>
        </is>
      </c>
      <c r="B8" s="9" t="n">
        <v>22</v>
      </c>
      <c r="C8" s="9" t="n">
        <v>25</v>
      </c>
      <c r="D8" s="9" t="n">
        <v>928</v>
      </c>
      <c r="E8" s="7" t="n"/>
    </row>
    <row r="9" ht="15.8" customHeight="1">
      <c r="A9" s="16" t="inlineStr">
        <is>
          <t>VF04a</t>
        </is>
      </c>
      <c r="B9" s="9" t="n"/>
      <c r="C9" s="9" t="n">
        <v>35</v>
      </c>
      <c r="D9" s="9" t="n">
        <v>533</v>
      </c>
      <c r="E9" s="7" t="inlineStr">
        <is>
          <t>Ancho cortado en el PDF: confirmar 20 o 22 cm</t>
        </is>
      </c>
    </row>
    <row r="10" ht="15.8" customHeight="1">
      <c r="A10" s="16" t="inlineStr">
        <is>
          <t>VF04b</t>
        </is>
      </c>
      <c r="B10" s="9" t="n">
        <v>20</v>
      </c>
      <c r="C10" s="9" t="n">
        <v>25</v>
      </c>
      <c r="D10" s="9" t="n">
        <v>330</v>
      </c>
      <c r="E10" s="7" t="n"/>
    </row>
    <row r="11" ht="15.8" customHeight="1">
      <c r="A11" s="16" t="inlineStr">
        <is>
          <t>VF04c</t>
        </is>
      </c>
      <c r="B11" s="9" t="n">
        <v>20</v>
      </c>
      <c r="C11" s="9" t="n">
        <v>25</v>
      </c>
      <c r="D11" s="9" t="n">
        <v>308</v>
      </c>
      <c r="E11" s="7" t="n"/>
    </row>
    <row r="12" ht="15.8" customHeight="1">
      <c r="A12" s="16" t="inlineStr">
        <is>
          <t>VF05</t>
        </is>
      </c>
      <c r="B12" s="9" t="n">
        <v>15</v>
      </c>
      <c r="C12" s="9" t="n">
        <v>25</v>
      </c>
      <c r="D12" s="9" t="n">
        <v>226</v>
      </c>
      <c r="E12" s="7" t="n"/>
    </row>
    <row r="13" ht="15.8" customHeight="1">
      <c r="A13" s="16" t="inlineStr">
        <is>
          <t>VF06a</t>
        </is>
      </c>
      <c r="B13" s="9" t="n"/>
      <c r="C13" s="9" t="n"/>
      <c r="D13" s="9" t="n"/>
      <c r="E13" s="7" t="inlineStr">
        <is>
          <t>Cota no legible: completar</t>
        </is>
      </c>
    </row>
    <row r="14" ht="15.8" customHeight="1">
      <c r="A14" s="16" t="inlineStr">
        <is>
          <t>VF06b</t>
        </is>
      </c>
      <c r="B14" s="9" t="n"/>
      <c r="C14" s="9" t="n"/>
      <c r="D14" s="9" t="n"/>
      <c r="E14" s="7" t="inlineStr">
        <is>
          <t>Cota no legible: completar</t>
        </is>
      </c>
    </row>
    <row r="15" ht="15.8" customHeight="1">
      <c r="A15" s="16" t="inlineStr">
        <is>
          <t>VF06c</t>
        </is>
      </c>
      <c r="B15" s="9" t="n">
        <v>20</v>
      </c>
      <c r="C15" s="9" t="n">
        <v>25</v>
      </c>
      <c r="D15" s="9" t="n">
        <v>330</v>
      </c>
      <c r="E15" s="7" t="n"/>
    </row>
    <row r="16" ht="15.8" customHeight="1">
      <c r="A16" s="16" t="inlineStr">
        <is>
          <t>VF06d</t>
        </is>
      </c>
      <c r="B16" s="9" t="n">
        <v>22</v>
      </c>
      <c r="C16" s="9" t="n">
        <v>25</v>
      </c>
      <c r="D16" s="9" t="n">
        <v>303</v>
      </c>
      <c r="E16" s="7" t="n"/>
    </row>
    <row r="17" ht="15.8" customHeight="1">
      <c r="A17" s="16" t="inlineStr">
        <is>
          <t>VF07</t>
        </is>
      </c>
      <c r="B17" s="9" t="n">
        <v>20</v>
      </c>
      <c r="C17" s="9" t="n">
        <v>25</v>
      </c>
      <c r="D17" s="9" t="n">
        <v>350</v>
      </c>
      <c r="E17" s="7" t="n"/>
    </row>
    <row r="18" ht="15.8" customHeight="1">
      <c r="A18" s="16" t="inlineStr">
        <is>
          <t>VF08</t>
        </is>
      </c>
      <c r="B18" s="9" t="n">
        <v>25</v>
      </c>
      <c r="C18" s="9" t="n">
        <v>35</v>
      </c>
      <c r="D18" s="9" t="n">
        <v>350</v>
      </c>
      <c r="E18" s="7" t="n"/>
    </row>
    <row r="19" ht="15.8" customHeight="1">
      <c r="A19" s="16" t="inlineStr">
        <is>
          <t>VF09 (1)</t>
        </is>
      </c>
      <c r="B19" s="9" t="n">
        <v>20</v>
      </c>
      <c r="C19" s="9" t="n">
        <v>35</v>
      </c>
      <c r="D19" s="9" t="n">
        <v>70</v>
      </c>
      <c r="E19" s="7" t="n"/>
    </row>
    <row r="20" ht="15.8" customHeight="1">
      <c r="A20" s="16" t="inlineStr">
        <is>
          <t>VF09 (2)</t>
        </is>
      </c>
      <c r="B20" s="9" t="n">
        <v>20</v>
      </c>
      <c r="C20" s="9" t="n">
        <v>35</v>
      </c>
      <c r="D20" s="9" t="n">
        <v>70</v>
      </c>
      <c r="E20" s="7" t="n"/>
    </row>
    <row r="21" ht="15.8" customHeight="1">
      <c r="A21" s="16" t="inlineStr">
        <is>
          <t>VF10a</t>
        </is>
      </c>
      <c r="B21" s="9" t="n">
        <v>20</v>
      </c>
      <c r="C21" s="9" t="n">
        <v>35</v>
      </c>
      <c r="D21" s="9" t="n">
        <v>336</v>
      </c>
      <c r="E21" s="7" t="n"/>
    </row>
    <row r="22" ht="15.8" customHeight="1">
      <c r="A22" s="16" t="inlineStr">
        <is>
          <t>VF10b</t>
        </is>
      </c>
      <c r="B22" s="9" t="n">
        <v>22</v>
      </c>
      <c r="C22" s="9" t="n">
        <v>35</v>
      </c>
      <c r="D22" s="9" t="n">
        <v>236</v>
      </c>
      <c r="E22" s="7" t="n"/>
    </row>
    <row r="23" ht="15.8" customHeight="1">
      <c r="A23" s="16" t="inlineStr">
        <is>
          <t>VF10c</t>
        </is>
      </c>
      <c r="B23" s="9" t="n">
        <v>25</v>
      </c>
      <c r="C23" s="9" t="n">
        <v>35</v>
      </c>
      <c r="D23" s="9" t="n">
        <v>803</v>
      </c>
      <c r="E23" s="7" t="n"/>
    </row>
    <row r="24" ht="15.8" customHeight="1">
      <c r="A24" s="16" t="inlineStr">
        <is>
          <t>VF11</t>
        </is>
      </c>
      <c r="B24" s="9" t="n">
        <v>20</v>
      </c>
      <c r="C24" s="9" t="n">
        <v>25</v>
      </c>
      <c r="D24" s="9" t="n">
        <v>403</v>
      </c>
      <c r="E24" s="7" t="n"/>
    </row>
    <row r="25" ht="15.8" customHeight="1">
      <c r="A25" s="16" t="inlineStr">
        <is>
          <t>VF12</t>
        </is>
      </c>
      <c r="B25" s="9" t="n">
        <v>15</v>
      </c>
      <c r="C25" s="9" t="n">
        <v>25</v>
      </c>
      <c r="D25" s="9" t="n">
        <v>149</v>
      </c>
      <c r="E25" s="7" t="n"/>
    </row>
    <row r="26" ht="15.8" customHeight="1">
      <c r="A26" s="16" t="inlineStr">
        <is>
          <t>VF13</t>
        </is>
      </c>
      <c r="B26" s="9" t="n"/>
      <c r="C26" s="9" t="n"/>
      <c r="D26" s="9" t="n"/>
      <c r="E26" s="7" t="inlineStr">
        <is>
          <t>Cota no legible: completar</t>
        </is>
      </c>
    </row>
    <row r="27" ht="15.8" customHeight="1">
      <c r="A27" s="16" t="inlineStr">
        <is>
          <t>VF14</t>
        </is>
      </c>
      <c r="B27" s="9" t="n">
        <v>25</v>
      </c>
      <c r="C27" s="9" t="n">
        <v>40</v>
      </c>
      <c r="D27" s="9" t="n">
        <v>875</v>
      </c>
      <c r="E27" s="7" t="n"/>
    </row>
    <row r="28" ht="15.8" customHeight="1">
      <c r="A28" s="16" t="inlineStr">
        <is>
          <t>VF15</t>
        </is>
      </c>
      <c r="B28" s="9" t="n">
        <v>20</v>
      </c>
      <c r="C28" s="9" t="n">
        <v>25</v>
      </c>
      <c r="D28" s="9" t="n">
        <v>239</v>
      </c>
      <c r="E28" s="7" t="n"/>
    </row>
    <row r="29" ht="15.8" customHeight="1">
      <c r="A29" s="16" t="inlineStr">
        <is>
          <t>VF16a</t>
        </is>
      </c>
      <c r="B29" s="9" t="n">
        <v>20</v>
      </c>
      <c r="C29" s="9" t="n">
        <v>35</v>
      </c>
      <c r="D29" s="9" t="n">
        <v>696</v>
      </c>
      <c r="E29" s="7" t="n"/>
    </row>
    <row r="30" ht="15.8" customHeight="1">
      <c r="A30" s="16" t="inlineStr">
        <is>
          <t>VF16b</t>
        </is>
      </c>
      <c r="B30" s="9" t="n">
        <v>20</v>
      </c>
      <c r="C30" s="9" t="n">
        <v>25</v>
      </c>
      <c r="D30" s="9" t="n">
        <v>313</v>
      </c>
      <c r="E30" s="7" t="n"/>
    </row>
    <row r="31" ht="15.8" customHeight="1">
      <c r="A31" s="16" t="inlineStr">
        <is>
          <t>VF17</t>
        </is>
      </c>
      <c r="B31" s="9" t="n">
        <v>20</v>
      </c>
      <c r="C31" s="9" t="n">
        <v>25</v>
      </c>
      <c r="D31" s="9" t="n">
        <v>353</v>
      </c>
      <c r="E31" s="7" t="n"/>
    </row>
    <row r="32" ht="15.8" customHeight="1">
      <c r="A32" s="16" t="inlineStr">
        <is>
          <t>VF18a</t>
        </is>
      </c>
      <c r="B32" s="9" t="n">
        <v>25</v>
      </c>
      <c r="C32" s="9" t="n">
        <v>35</v>
      </c>
      <c r="D32" s="9" t="n">
        <v>748</v>
      </c>
      <c r="E32" s="7" t="n"/>
    </row>
    <row r="33" ht="15.8" customHeight="1">
      <c r="A33" s="16" t="inlineStr">
        <is>
          <t>VF18b</t>
        </is>
      </c>
      <c r="B33" s="9" t="n">
        <v>20</v>
      </c>
      <c r="C33" s="9" t="n">
        <v>25</v>
      </c>
      <c r="D33" s="9" t="n">
        <v>305</v>
      </c>
      <c r="E33" s="7" t="n"/>
    </row>
    <row r="34" ht="15.8" customHeight="1">
      <c r="A34" s="16" t="inlineStr">
        <is>
          <t>VF18c</t>
        </is>
      </c>
      <c r="B34" s="9" t="n">
        <v>20</v>
      </c>
      <c r="C34" s="9" t="n">
        <v>35</v>
      </c>
      <c r="D34" s="9" t="n">
        <v>482</v>
      </c>
      <c r="E34" s="7" t="n"/>
    </row>
    <row r="35">
      <c r="A35" s="2" t="n"/>
      <c r="B35" s="2" t="n"/>
      <c r="C35" s="2" t="n"/>
      <c r="D35" s="2" t="n"/>
      <c r="E35" s="2" t="n"/>
    </row>
    <row r="36">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2026-10-23T22:14:53Z</dcterms:created>
  <dcterms:modified xmlns:dcterms="http://purl.org/dc/terms/" xmlns:xsi="http://www.w3.org/2001/XMLSchema-instance" xsi:type="dcterms:W3CDTF">2026-10-23T22:14:54Z</dcterms:modified>
</cp:coreProperties>
</file>