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SUM(D23:D28)</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PV04</t>
        </is>
      </c>
      <c r="B25" s="9" t="n">
        <v>2.95</v>
      </c>
      <c r="C25" s="9" t="n">
        <v>1.5</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inlineStr">
        <is>
          <t>VA05</t>
        </is>
      </c>
      <c r="B26" s="9" t="n">
        <v>2.52</v>
      </c>
      <c r="C26" s="9" t="n">
        <v>1.4</v>
      </c>
      <c r="D26" s="9">
        <f>IF(COUNT(B26,C26)&lt;2,"",B26*C26)</f>
        <v/>
      </c>
      <c r="E26" s="21" t="n"/>
      <c r="F26" s="20">
        <f>IF(OR(D26="",$E$23=""),"",D26/$E$23)</f>
        <v/>
      </c>
      <c r="G26" s="9">
        <f>IF(A26="","",Datos_higro!$B$4)</f>
        <v/>
      </c>
      <c r="H26" s="10" t="inlineStr">
        <is>
          <t>DVH 6+9+3+3 (aluminio linea A30)</t>
        </is>
      </c>
      <c r="I26" s="10" t="inlineStr">
        <is>
          <t>Sin Proteccion</t>
        </is>
      </c>
      <c r="J26" s="9" t="n">
        <v>2.8</v>
      </c>
      <c r="K26" s="10" t="inlineStr">
        <is>
          <t>Sudeste</t>
        </is>
      </c>
      <c r="L26" s="9">
        <f>IF(I26="","",IFERROR(VLOOKUP(I26,Datos_higro!$A$21:$B$28,2,0),""))</f>
        <v/>
      </c>
      <c r="M26" s="10">
        <f>IF(OR(D26="",J26=""),"",IF(J26&lt;=G26,"CUMPLE","NO CUMPLE"))</f>
        <v/>
      </c>
    </row>
    <row r="27" ht="70" customHeight="1">
      <c r="A27" s="10" t="n"/>
      <c r="B27" s="9" t="n"/>
      <c r="C27" s="9" t="n"/>
      <c r="D27" s="9">
        <f>IF(COUNT(B27,C27)&lt;2,"",B27*C27)</f>
        <v/>
      </c>
      <c r="E27" s="21" t="n"/>
      <c r="F27" s="20">
        <f>IF(OR(D27="",$E$23=""),"",D27/$E$23)</f>
        <v/>
      </c>
      <c r="G27" s="9">
        <f>IF(A27="","",Datos_higro!$B$4)</f>
        <v/>
      </c>
      <c r="H27" s="10" t="n"/>
      <c r="I27" s="10" t="n"/>
      <c r="J27" s="9" t="n"/>
      <c r="K27" s="10" t="n"/>
      <c r="L27" s="9">
        <f>IF(I27="","",IFERROR(VLOOKUP(I27,Datos_higro!$A$21:$B$28,2,0),""))</f>
        <v/>
      </c>
      <c r="M27" s="10">
        <f>IF(OR(D27="",J27=""),"",IF(J27&lt;=G27,"CUMPLE","NO CUMPLE"))</f>
        <v/>
      </c>
    </row>
    <row r="28" ht="70" customHeight="1">
      <c r="A28" s="14" t="n"/>
      <c r="B28" s="13" t="n"/>
      <c r="C28" s="13" t="n"/>
      <c r="D28" s="13">
        <f>IF(COUNT(B28,C28)&lt;2,"",B28*C28)</f>
        <v/>
      </c>
      <c r="E28" s="22" t="n"/>
      <c r="F28" s="23">
        <f>IF(OR(D28="",$E$23=""),"",D28/$E$23)</f>
        <v/>
      </c>
      <c r="G28" s="13">
        <f>IF(A28="","",Datos_higro!$B$4)</f>
        <v/>
      </c>
      <c r="H28" s="14" t="n"/>
      <c r="I28" s="14" t="n"/>
      <c r="J28" s="13" t="n"/>
      <c r="K28" s="14" t="n"/>
      <c r="L28" s="13">
        <f>IF(I28="","",IFERROR(VLOOKUP(I28,Datos_higro!$A$21:$B$28,2,0),""))</f>
        <v/>
      </c>
      <c r="M28" s="14">
        <f>IF(OR(D28="",J28=""),"",IF(J28&lt;=G28,"CUMPLE","NO CUMPLE"))</f>
        <v/>
      </c>
    </row>
    <row r="29" ht="39.7" customHeight="1">
      <c r="A29" s="5" t="inlineStr">
        <is>
          <t>Plano: Fachada Noroeste</t>
        </is>
      </c>
      <c r="B29" s="4" t="n"/>
      <c r="C29" s="4" t="n"/>
      <c r="D29" s="4" t="n"/>
      <c r="E29" s="4" t="n"/>
      <c r="F29" s="4" t="n"/>
      <c r="G29" s="4" t="n"/>
      <c r="H29" s="4" t="n"/>
      <c r="I29" s="4" t="n"/>
      <c r="J29" s="4" t="n"/>
      <c r="K29" s="4" t="n"/>
      <c r="L29" s="4" t="n"/>
      <c r="M29" s="4" t="n"/>
    </row>
    <row r="30" ht="70" customHeight="1">
      <c r="A30" s="10" t="inlineStr">
        <is>
          <t>PF03</t>
        </is>
      </c>
      <c r="B30" s="9" t="n">
        <v>3</v>
      </c>
      <c r="C30" s="9" t="n">
        <v>2.88</v>
      </c>
      <c r="D30" s="9">
        <f>IF(COUNT(B30,C30)&lt;2,"",B30*C30)</f>
        <v/>
      </c>
      <c r="E30" s="19">
        <f>SUM(D30:D37)</f>
        <v/>
      </c>
      <c r="F30" s="20">
        <f>IF(OR(D30="",$E$30=""),"",D30/$E$30)</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PF01</t>
        </is>
      </c>
      <c r="B31" s="9" t="n">
        <v>3</v>
      </c>
      <c r="C31" s="9" t="n">
        <v>3.55</v>
      </c>
      <c r="D31" s="9">
        <f>IF(COUNT(B31,C31)&lt;2,"",B31*C31)</f>
        <v/>
      </c>
      <c r="E31" s="21" t="n"/>
      <c r="F31" s="20">
        <f>IF(OR(D31="",$E$30=""),"",D31/$E$30)</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PV01</t>
        </is>
      </c>
      <c r="B32" s="9" t="n">
        <v>3</v>
      </c>
      <c r="C32" s="9" t="n">
        <v>7.7</v>
      </c>
      <c r="D32" s="9">
        <f>IF(COUNT(B32,C32)&lt;2,"",B32*C32)</f>
        <v/>
      </c>
      <c r="E32" s="21" t="n"/>
      <c r="F32" s="20">
        <f>IF(OR(D32="",$E$30=""),"",D32/$E$30)</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PV02</t>
        </is>
      </c>
      <c r="B33" s="9" t="n">
        <v>3</v>
      </c>
      <c r="C33" s="9" t="n">
        <v>2.48</v>
      </c>
      <c r="D33" s="9">
        <f>IF(COUNT(B33,C33)&lt;2,"",B33*C33)</f>
        <v/>
      </c>
      <c r="E33" s="21" t="n"/>
      <c r="F33" s="20">
        <f>IF(OR(D33="",$E$30=""),"",D33/$E$30)</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IF(OR(D34="",$E$30=""),"",D34/$E$30)</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inlineStr">
        <is>
          <t>VA04</t>
        </is>
      </c>
      <c r="B35" s="9" t="n">
        <v>2.52</v>
      </c>
      <c r="C35" s="9" t="n">
        <v>2</v>
      </c>
      <c r="D35" s="9">
        <f>IF(COUNT(B35,C35)&lt;2,"",B35*C35)</f>
        <v/>
      </c>
      <c r="E35" s="21" t="n"/>
      <c r="F35" s="20">
        <f>IF(OR(D35="",$E$30=""),"",D35/$E$30)</f>
        <v/>
      </c>
      <c r="G35" s="9">
        <f>IF(A35="","",Datos_higro!$B$4)</f>
        <v/>
      </c>
      <c r="H35" s="10" t="inlineStr">
        <is>
          <t>DVH 6+9+3+3 (aluminio linea A30)</t>
        </is>
      </c>
      <c r="I35" s="10" t="inlineStr">
        <is>
          <t>Sin Proteccion</t>
        </is>
      </c>
      <c r="J35" s="9" t="n">
        <v>2.8</v>
      </c>
      <c r="K35" s="10" t="inlineStr">
        <is>
          <t>Noroeste</t>
        </is>
      </c>
      <c r="L35" s="9">
        <f>IF(I35="","",IFERROR(VLOOKUP(I35,Datos_higro!$A$21:$B$28,2,0),""))</f>
        <v/>
      </c>
      <c r="M35" s="10">
        <f>IF(OR(D35="",J35=""),"",IF(J35&lt;=G35,"CUMPLE","NO CUMPLE"))</f>
        <v/>
      </c>
    </row>
    <row r="36" ht="70" customHeight="1">
      <c r="A36" s="10" t="n"/>
      <c r="B36" s="9" t="n"/>
      <c r="C36" s="9" t="n"/>
      <c r="D36" s="9">
        <f>IF(COUNT(B36,C36)&lt;2,"",B36*C36)</f>
        <v/>
      </c>
      <c r="E36" s="21" t="n"/>
      <c r="F36" s="20">
        <f>IF(OR(D36="",$E$30=""),"",D36/$E$30)</f>
        <v/>
      </c>
      <c r="G36" s="9">
        <f>IF(A36="","",Datos_higro!$B$4)</f>
        <v/>
      </c>
      <c r="H36" s="10" t="n"/>
      <c r="I36" s="10" t="n"/>
      <c r="J36" s="9" t="n"/>
      <c r="K36" s="10" t="n"/>
      <c r="L36" s="9">
        <f>IF(I36="","",IFERROR(VLOOKUP(I36,Datos_higro!$A$21:$B$28,2,0),""))</f>
        <v/>
      </c>
      <c r="M36" s="10">
        <f>IF(OR(D36="",J36=""),"",IF(J36&lt;=G36,"CUMPLE","NO CUMPLE"))</f>
        <v/>
      </c>
    </row>
    <row r="37" ht="70" customHeight="1">
      <c r="A37" s="14" t="n"/>
      <c r="B37" s="13" t="n"/>
      <c r="C37" s="13" t="n"/>
      <c r="D37" s="13">
        <f>IF(COUNT(B37,C37)&lt;2,"",B37*C37)</f>
        <v/>
      </c>
      <c r="E37" s="22" t="n"/>
      <c r="F37" s="23">
        <f>IF(OR(D37="",$E$30=""),"",D37/$E$30)</f>
        <v/>
      </c>
      <c r="G37" s="13">
        <f>IF(A37="","",Datos_higro!$B$4)</f>
        <v/>
      </c>
      <c r="H37" s="14" t="n"/>
      <c r="I37" s="14" t="n"/>
      <c r="J37" s="13" t="n"/>
      <c r="K37" s="14" t="n"/>
      <c r="L37" s="13">
        <f>IF(I37="","",IFERROR(VLOOKUP(I37,Datos_higro!$A$21:$B$28,2,0),""))</f>
        <v/>
      </c>
      <c r="M37" s="14">
        <f>IF(OR(D37="",J37=""),"",IF(J37&lt;=G37,"CUMPLE","NO CUMPLE"))</f>
        <v/>
      </c>
    </row>
    <row r="38">
      <c r="A38" s="16" t="inlineStr">
        <is>
          <t>HOJA REHECHA: las orientaciones se tomaron del plano de fachadas y cambiaron casi todas. Hay que reemplazar la planilla entera, no alcanza con retocar celdas.</t>
        </is>
      </c>
      <c r="B38" s="2" t="n"/>
      <c r="C38" s="2" t="n"/>
      <c r="D38" s="2" t="n"/>
      <c r="E38" s="2" t="n"/>
      <c r="F38" s="2" t="n"/>
      <c r="G38" s="2" t="n"/>
      <c r="H38" s="2" t="n"/>
      <c r="I38" s="2" t="n"/>
      <c r="J38" s="2" t="n"/>
      <c r="K38" s="2" t="n"/>
      <c r="L38" s="2" t="n"/>
      <c r="M38" s="2" t="n"/>
    </row>
    <row r="39" ht="39.7" customHeight="1">
      <c r="A39" s="24" t="inlineStr">
        <is>
          <t>COMO SE COMPLETA</t>
        </is>
      </c>
      <c r="B39" s="2" t="n"/>
      <c r="C39" s="2" t="n"/>
      <c r="D39" s="2" t="n"/>
      <c r="E39" s="2" t="n"/>
      <c r="F39" s="2" t="n"/>
      <c r="G39" s="2" t="n"/>
      <c r="H39" s="2" t="n"/>
      <c r="I39" s="2" t="n"/>
      <c r="J39" s="2" t="n"/>
      <c r="K39" s="2" t="n"/>
      <c r="L39" s="2" t="n"/>
      <c r="M39" s="2" t="n"/>
    </row>
    <row r="40" ht="39.7" customHeight="1">
      <c r="A40" s="25"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5"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5"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5"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5"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5"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5"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5"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5" t="inlineStr"/>
      <c r="B48" s="2" t="n"/>
      <c r="C48" s="2" t="n"/>
      <c r="D48" s="2" t="n"/>
      <c r="E48" s="2" t="n"/>
      <c r="F48" s="2" t="n"/>
      <c r="G48" s="2" t="n"/>
      <c r="H48" s="2" t="n"/>
      <c r="I48" s="2" t="n"/>
      <c r="J48" s="2" t="n"/>
      <c r="K48" s="2" t="n"/>
      <c r="L48" s="2" t="n"/>
      <c r="M48" s="2" t="n"/>
    </row>
    <row r="49" ht="39.7" customHeight="1">
      <c r="A49" s="25"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5"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5"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5"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5"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5"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5"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5" t="inlineStr"/>
      <c r="B56" s="2" t="n"/>
      <c r="C56" s="2" t="n"/>
      <c r="D56" s="2" t="n"/>
      <c r="E56" s="2" t="n"/>
      <c r="F56" s="2" t="n"/>
      <c r="G56" s="2" t="n"/>
      <c r="H56" s="2" t="n"/>
      <c r="I56" s="2" t="n"/>
      <c r="J56" s="2" t="n"/>
      <c r="K56" s="2" t="n"/>
      <c r="L56" s="2" t="n"/>
      <c r="M56" s="2" t="n"/>
    </row>
    <row r="57" ht="39.7" customHeight="1">
      <c r="A57" s="25"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5"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5"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5"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5"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5" t="inlineStr"/>
      <c r="B62" s="2" t="n"/>
      <c r="C62" s="2" t="n"/>
      <c r="D62" s="2" t="n"/>
      <c r="E62" s="2" t="n"/>
      <c r="F62" s="2" t="n"/>
      <c r="G62" s="2" t="n"/>
      <c r="H62" s="2" t="n"/>
      <c r="I62" s="2" t="n"/>
      <c r="J62" s="2" t="n"/>
      <c r="K62" s="2" t="n"/>
      <c r="L62" s="2" t="n"/>
      <c r="M62" s="2" t="n"/>
    </row>
    <row r="63" ht="39.7" customHeight="1">
      <c r="A63" s="25"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5"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5"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5"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5"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5" t="inlineStr">
        <is>
          <t>Las alturas de PV01 (3,00), PF04 (0,60) y PV04 (2) (2,95) las aporto el autor del proyecto.</t>
        </is>
      </c>
      <c r="B70" s="2" t="n"/>
      <c r="C70" s="2" t="n"/>
      <c r="D70" s="2" t="n"/>
      <c r="E70" s="2" t="n"/>
      <c r="F70" s="2" t="n"/>
      <c r="G70" s="2" t="n"/>
      <c r="H70" s="2" t="n"/>
      <c r="I70" s="2" t="n"/>
      <c r="J70" s="2" t="n"/>
      <c r="K70" s="2" t="n"/>
      <c r="L70" s="2" t="n"/>
      <c r="M70" s="2" t="n"/>
    </row>
    <row r="71">
      <c r="A71" s="25" t="inlineStr"/>
      <c r="B71" s="2" t="n"/>
      <c r="C71" s="2" t="n"/>
      <c r="D71" s="2" t="n"/>
      <c r="E71" s="2" t="n"/>
      <c r="F71" s="2" t="n"/>
      <c r="G71" s="2" t="n"/>
      <c r="H71" s="2" t="n"/>
      <c r="I71" s="2" t="n"/>
      <c r="J71" s="2" t="n"/>
      <c r="K71" s="2" t="n"/>
      <c r="L71" s="2" t="n"/>
      <c r="M71" s="2" t="n"/>
    </row>
    <row r="72" ht="39.7" customHeight="1">
      <c r="A72" s="25"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5"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5"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5"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5"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5"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5" t="inlineStr">
        <is>
          <t>parecen ser nombres de uso, no orientaciones.</t>
        </is>
      </c>
      <c r="B78" s="2" t="n"/>
      <c r="C78" s="2" t="n"/>
      <c r="D78" s="2" t="n"/>
      <c r="E78" s="2" t="n"/>
      <c r="F78" s="2" t="n"/>
      <c r="G78" s="2" t="n"/>
      <c r="H78" s="2" t="n"/>
      <c r="I78" s="2" t="n"/>
      <c r="J78" s="2" t="n"/>
      <c r="K78" s="2" t="n"/>
      <c r="L78" s="2" t="n"/>
      <c r="M78" s="2" t="n"/>
    </row>
    <row r="79">
      <c r="A79" s="25" t="inlineStr"/>
      <c r="B79" s="2" t="n"/>
      <c r="C79" s="2" t="n"/>
      <c r="D79" s="2" t="n"/>
      <c r="E79" s="2" t="n"/>
      <c r="F79" s="2" t="n"/>
      <c r="G79" s="2" t="n"/>
      <c r="H79" s="2" t="n"/>
      <c r="I79" s="2" t="n"/>
      <c r="J79" s="2" t="n"/>
      <c r="K79" s="2" t="n"/>
      <c r="L79" s="2" t="n"/>
      <c r="M79" s="2" t="n"/>
    </row>
    <row r="80" ht="39.7" customHeight="1">
      <c r="A80" s="25"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5"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5"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5" t="inlineStr">
        <is>
          <t>no 17. Las demas aberturas son de una sola unidad.</t>
        </is>
      </c>
      <c r="B83" s="2" t="n"/>
      <c r="C83" s="2" t="n"/>
      <c r="D83" s="2" t="n"/>
      <c r="E83" s="2" t="n"/>
      <c r="F83" s="2" t="n"/>
      <c r="G83" s="2" t="n"/>
      <c r="H83" s="2" t="n"/>
      <c r="I83" s="2" t="n"/>
      <c r="J83" s="2" t="n"/>
      <c r="K83" s="2" t="n"/>
      <c r="L83" s="2" t="n"/>
      <c r="M83" s="2" t="n"/>
    </row>
    <row r="84">
      <c r="A84" s="25" t="inlineStr"/>
      <c r="B84" s="2" t="n"/>
      <c r="C84" s="2" t="n"/>
      <c r="D84" s="2" t="n"/>
      <c r="E84" s="2" t="n"/>
      <c r="F84" s="2" t="n"/>
      <c r="G84" s="2" t="n"/>
      <c r="H84" s="2" t="n"/>
      <c r="I84" s="2" t="n"/>
      <c r="J84" s="2" t="n"/>
      <c r="K84" s="2" t="n"/>
      <c r="L84" s="2" t="n"/>
      <c r="M84" s="2" t="n"/>
    </row>
    <row r="85" ht="39.7" customHeight="1">
      <c r="A85" s="25"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5"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5"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4:M14"/>
    <mergeCell ref="A6:M6"/>
    <mergeCell ref="A22:M22"/>
    <mergeCell ref="B3:L3"/>
    <mergeCell ref="B2:L2"/>
    <mergeCell ref="A4:M4"/>
    <mergeCell ref="E7:E13"/>
    <mergeCell ref="E30:E37"/>
    <mergeCell ref="A29:M29"/>
    <mergeCell ref="E23:E28"/>
    <mergeCell ref="M1:M3"/>
    <mergeCell ref="B1:L1"/>
    <mergeCell ref="E15:E2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(NE)</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(NO)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(NO)</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    )</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(SE)</t>
        </is>
      </c>
      <c r="C77" s="10">
        <f>IF(COUNT(H77,I77)&lt;2,"",TEXT(H77,"0.00")&amp;" x "&amp;TEXT(I77,"0.00"))</f>
        <v/>
      </c>
      <c r="D77" s="9">
        <f>IF(COUNT(H77,I77)&lt;2,"",ROUND(H77*I77,2))</f>
        <v/>
      </c>
      <c r="E77" s="27" t="n">
        <v>20</v>
      </c>
      <c r="F77" s="30">
        <f>IF(D77="","",ROUND(D77*E77,1))</f>
        <v/>
      </c>
      <c r="G77" s="2" t="n"/>
      <c r="H77" s="37" t="n">
        <v>2.15</v>
      </c>
      <c r="I77" s="37" t="n">
        <v>3</v>
      </c>
    </row>
    <row r="78" ht="47" customHeight="1">
      <c r="A78" s="10" t="n"/>
      <c r="B78" s="36" t="inlineStr">
        <is>
          <t>AISLADAS (NE)</t>
        </is>
      </c>
      <c r="C78" s="10">
        <f>IF(COUNT(H78,I78)&lt;2,"",TEXT(H78,"0.00")&amp;" x "&amp;TEXT(I78,"0.00"))</f>
        <v/>
      </c>
      <c r="D78" s="9">
        <f>IF(COUNT(H78,I78)&lt;2,"",ROUND(H78*I78,2))</f>
        <v/>
      </c>
      <c r="E78" s="27" t="n">
        <v>20</v>
      </c>
      <c r="F78" s="30">
        <f>IF(D78="","",ROUND(D78*E78,1))</f>
        <v/>
      </c>
      <c r="G78" s="2" t="n"/>
      <c r="H78" s="37" t="n">
        <v>3.52</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(NE)</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(NO)</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(SO)</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(SO)</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(NE)</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(SE)</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(SO)</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(NE)</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(izquierda)</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(NE)</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(SE)</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(SO)</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2026-10-26T21:30:50Z</dcterms:created>
  <dcterms:modified xmlns:dcterms="http://purl.org/dc/terms/" xmlns:xsi="http://www.w3.org/2001/XMLSchema-instance" xsi:type="dcterms:W3CDTF">2026-10-26T21:30:52Z</dcterms:modified>
</cp:coreProperties>
</file>