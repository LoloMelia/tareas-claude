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luminacion y ventilacion" sheetId="1" state="visible" r:id="rId1"/>
    <sheet xmlns:r="http://schemas.openxmlformats.org/officeDocument/2006/relationships" name="Planilla vigas" sheetId="2" state="visible" r:id="rId2"/>
    <sheet xmlns:r="http://schemas.openxmlformats.org/officeDocument/2006/relationships" name="Planilla losas" sheetId="3" state="visible" r:id="rId3"/>
    <sheet xmlns:r="http://schemas.openxmlformats.org/officeDocument/2006/relationships" name="Planilla columnas" sheetId="4" state="visible" r:id="rId4"/>
    <sheet xmlns:r="http://schemas.openxmlformats.org/officeDocument/2006/relationships" name="Vigas de fundacion" sheetId="5" state="visible" r:id="rId5"/>
    <sheet xmlns:r="http://schemas.openxmlformats.org/officeDocument/2006/relationships" name="Pilotes y cabezales" sheetId="6" state="visible" r:id="rId6"/>
    <sheet xmlns:r="http://schemas.openxmlformats.org/officeDocument/2006/relationships" name="Tabiques" sheetId="7" state="visible" r:id="rId7"/>
    <sheet xmlns:r="http://schemas.openxmlformats.org/officeDocument/2006/relationships" name="Datos_vigas" sheetId="8" state="visible" r:id="rId8"/>
    <sheet xmlns:r="http://schemas.openxmlformats.org/officeDocument/2006/relationships" name="Datos_losas" sheetId="9" state="visible" r:id="rId9"/>
    <sheet xmlns:r="http://schemas.openxmlformats.org/officeDocument/2006/relationships" name="Datos_columnas" sheetId="10" state="visible" r:id="rId10"/>
    <sheet xmlns:r="http://schemas.openxmlformats.org/officeDocument/2006/relationships" name="Datos_pilotes" sheetId="11" state="visible" r:id="rId11"/>
    <sheet xmlns:r="http://schemas.openxmlformats.org/officeDocument/2006/relationships" name="Memoria ilum. y vent." sheetId="12" state="visible" r:id="rId12"/>
    <sheet xmlns:r="http://schemas.openxmlformats.org/officeDocument/2006/relationships" name="Memoria vigas" sheetId="13" state="visible" r:id="rId13"/>
    <sheet xmlns:r="http://schemas.openxmlformats.org/officeDocument/2006/relationships" name="Memoria losas" sheetId="14" state="visible" r:id="rId14"/>
    <sheet xmlns:r="http://schemas.openxmlformats.org/officeDocument/2006/relationships" name="Memoria columnas" sheetId="15" state="visible" r:id="rId15"/>
    <sheet xmlns:r="http://schemas.openxmlformats.org/officeDocument/2006/relationships" name="Fundacion (inventario)" sheetId="16" state="visible" r:id="rId16"/>
  </sheets>
  <definedNames>
    <definedName name="_xlnm.Print_Titles" localSheetId="0">'Iluminacion y ventilacion'!$1:$3</definedName>
    <definedName name="_xlnm.Print_Titles" localSheetId="1">'Planilla vigas'!$1:$3</definedName>
    <definedName name="_xlnm.Print_Area" localSheetId="1">'Planilla vigas'!$A$1:$X$34</definedName>
    <definedName name="_xlnm.Print_Titles" localSheetId="2">'Planilla losas'!$1:$3</definedName>
    <definedName name="_xlnm.Print_Area" localSheetId="2">'Planilla losas'!$A$1:$R$15</definedName>
    <definedName name="_xlnm.Print_Titles" localSheetId="3">'Planilla columnas'!$1:$3</definedName>
    <definedName name="_xlnm.Print_Area" localSheetId="3">'Planilla columnas'!$A$1:$N$16</definedName>
    <definedName name="_xlnm.Print_Titles" localSheetId="4">'Vigas de fundacion'!$1:$3</definedName>
    <definedName name="_xlnm.Print_Area" localSheetId="4">'Vigas de fundacion'!$A$1:$X$34</definedName>
    <definedName name="_xlnm.Print_Titles" localSheetId="5">'Pilotes y cabezales'!$1:$3</definedName>
    <definedName name="_xlnm.Print_Titles" localSheetId="6">'Tabiques'!$1:$3</definedName>
  </definedNames>
  <calcPr calcId="124519" fullCalcOnLoad="1"/>
</workbook>
</file>

<file path=xl/styles.xml><?xml version="1.0" encoding="utf-8"?>
<styleSheet xmlns="http://schemas.openxmlformats.org/spreadsheetml/2006/main">
  <numFmts count="3">
    <numFmt numFmtId="164" formatCode="0.0000"/>
    <numFmt numFmtId="165" formatCode="0.0"/>
    <numFmt numFmtId="166" formatCode="0.000"/>
  </numFmts>
  <fonts count="20">
    <font>
      <name val="Calibri"/>
      <family val="2"/>
      <color theme="1"/>
      <sz val="11"/>
      <scheme val="minor"/>
    </font>
    <font>
      <b val="1"/>
      <sz val="12"/>
    </font>
    <font>
      <b val="1"/>
      <sz val="9"/>
    </font>
    <font>
      <b val="1"/>
      <sz val="8"/>
    </font>
    <font>
      <b val="1"/>
      <sz val="10"/>
    </font>
    <font>
      <sz val="9"/>
    </font>
    <font>
      <sz val="8"/>
    </font>
    <font>
      <b val="1"/>
      <sz val="11"/>
    </font>
    <font>
      <b val="1"/>
      <sz val="13"/>
    </font>
    <font>
      <sz val="10"/>
    </font>
    <font>
      <name val="Bahnschrift Light Condensed"/>
      <b val="1"/>
      <sz val="12"/>
    </font>
    <font>
      <name val="Bahnschrift Light Condensed"/>
      <color theme="1"/>
      <sz val="11"/>
    </font>
    <font>
      <name val="Bahnschrift Light Condensed"/>
      <b val="1"/>
      <sz val="9"/>
    </font>
    <font>
      <name val="Bahnschrift Light Condensed"/>
      <b val="1"/>
      <sz val="8"/>
    </font>
    <font>
      <name val="Bahnschrift Light Condensed"/>
      <b val="1"/>
      <sz val="10"/>
    </font>
    <font>
      <name val="Bahnschrift Light Condensed"/>
      <sz val="9"/>
    </font>
    <font>
      <name val="Bahnschrift Light Condensed"/>
      <sz val="8"/>
    </font>
    <font>
      <name val="Bahnschrift Light Condensed"/>
      <b val="1"/>
      <sz val="11"/>
    </font>
    <font>
      <name val="Bahnschrift Light Condensed"/>
      <b val="1"/>
      <sz val="13"/>
    </font>
    <font>
      <name val="Bahnschrift Light Condensed"/>
      <sz val="10"/>
    </font>
  </fonts>
  <fills count="9">
    <fill>
      <patternFill/>
    </fill>
    <fill>
      <patternFill patternType="gray125"/>
    </fill>
    <fill>
      <patternFill patternType="solid">
        <fgColor rgb="00D9D9D9"/>
      </patternFill>
    </fill>
    <fill>
      <patternFill patternType="solid">
        <fgColor rgb="00EDEDED"/>
      </patternFill>
    </fill>
    <fill>
      <patternFill patternType="solid">
        <fgColor rgb="00DDEBF7"/>
      </patternFill>
    </fill>
    <fill>
      <patternFill patternType="solid">
        <fgColor rgb="00E2EFDA"/>
      </patternFill>
    </fill>
    <fill>
      <patternFill patternType="solid">
        <fgColor rgb="00FFF2CC"/>
      </patternFill>
    </fill>
    <fill>
      <patternFill patternType="solid">
        <fgColor rgb="00FCE4D6"/>
      </patternFill>
    </fill>
    <fill>
      <patternFill patternType="solid">
        <fgColor rgb="00FFE699"/>
      </patternFill>
    </fill>
  </fills>
  <borders count="6">
    <border>
      <left/>
      <right/>
      <top/>
      <bottom/>
      <diagonal/>
    </border>
    <border>
      <left style="thin">
        <color rgb="00000000"/>
      </left>
      <right style="thin">
        <color rgb="00000000"/>
      </right>
      <top style="thin">
        <color rgb="00000000"/>
      </top>
      <bottom style="thin">
        <color rgb="00000000"/>
      </bottom>
    </border>
    <border>
      <left style="thin">
        <color rgb="00000000"/>
      </left>
      <right style="thin">
        <color rgb="00000000"/>
      </right>
      <top style="thin">
        <color rgb="00000000"/>
      </top>
      <bottom style="medium">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64">
    <xf numFmtId="0" fontId="0" fillId="0" borderId="0" pivotButton="0" quotePrefix="0" xfId="0"/>
    <xf numFmtId="0" fontId="10" fillId="0" borderId="0" applyAlignment="1" pivotButton="0" quotePrefix="0" xfId="0">
      <alignment horizontal="center" vertical="center" wrapText="1"/>
    </xf>
    <xf numFmtId="0" fontId="11" fillId="0" borderId="0" pivotButton="0" quotePrefix="0" xfId="0"/>
    <xf numFmtId="0" fontId="12" fillId="2" borderId="1" applyAlignment="1" pivotButton="0" quotePrefix="0" xfId="0">
      <alignment horizontal="center" vertical="center" wrapText="1"/>
    </xf>
    <xf numFmtId="0" fontId="11" fillId="0" borderId="1" pivotButton="0" quotePrefix="0" xfId="0"/>
    <xf numFmtId="0" fontId="13" fillId="3" borderId="1" applyAlignment="1" pivotButton="0" quotePrefix="0" xfId="0">
      <alignment horizontal="center" vertical="center" wrapText="1"/>
    </xf>
    <xf numFmtId="0" fontId="14" fillId="4" borderId="1" applyAlignment="1" pivotButton="0" quotePrefix="0" xfId="0">
      <alignment horizontal="left" vertical="center"/>
    </xf>
    <xf numFmtId="0" fontId="15" fillId="0" borderId="1" applyAlignment="1" pivotButton="0" quotePrefix="0" xfId="0">
      <alignment horizontal="left" vertical="center"/>
    </xf>
    <xf numFmtId="2" fontId="15" fillId="5" borderId="1" applyAlignment="1" pivotButton="0" quotePrefix="0" xfId="0">
      <alignment horizontal="center" vertical="center" wrapText="1"/>
    </xf>
    <xf numFmtId="2" fontId="15" fillId="6" borderId="1" applyAlignment="1" pivotButton="0" quotePrefix="0" xfId="0">
      <alignment horizontal="center" vertical="center" wrapText="1"/>
    </xf>
    <xf numFmtId="0" fontId="15" fillId="5" borderId="1" applyAlignment="1" pivotButton="0" quotePrefix="0" xfId="0">
      <alignment horizontal="center" vertical="center" wrapText="1"/>
    </xf>
    <xf numFmtId="0" fontId="15" fillId="0" borderId="1" applyAlignment="1" pivotButton="0" quotePrefix="0" xfId="0">
      <alignment horizontal="center" vertical="center" wrapText="1"/>
    </xf>
    <xf numFmtId="0" fontId="15" fillId="6" borderId="1" applyAlignment="1" pivotButton="0" quotePrefix="0" xfId="0">
      <alignment horizontal="center" vertical="center" wrapText="1"/>
    </xf>
    <xf numFmtId="0" fontId="16" fillId="7" borderId="1" applyAlignment="1" pivotButton="0" quotePrefix="0" xfId="0">
      <alignment horizontal="left" vertical="center" wrapText="1"/>
    </xf>
    <xf numFmtId="0" fontId="15" fillId="0" borderId="2" applyAlignment="1" pivotButton="0" quotePrefix="0" xfId="0">
      <alignment horizontal="left" vertical="center"/>
    </xf>
    <xf numFmtId="2" fontId="15" fillId="5" borderId="2" applyAlignment="1" pivotButton="0" quotePrefix="0" xfId="0">
      <alignment horizontal="center" vertical="center" wrapText="1"/>
    </xf>
    <xf numFmtId="2" fontId="15" fillId="6" borderId="2" applyAlignment="1" pivotButton="0" quotePrefix="0" xfId="0">
      <alignment horizontal="center" vertical="center" wrapText="1"/>
    </xf>
    <xf numFmtId="0" fontId="15" fillId="5" borderId="2" applyAlignment="1" pivotButton="0" quotePrefix="0" xfId="0">
      <alignment horizontal="center" vertical="center" wrapText="1"/>
    </xf>
    <xf numFmtId="0" fontId="15" fillId="0" borderId="2" applyAlignment="1" pivotButton="0" quotePrefix="0" xfId="0">
      <alignment horizontal="center" vertical="center" wrapText="1"/>
    </xf>
    <xf numFmtId="0" fontId="15" fillId="6" borderId="2" applyAlignment="1" pivotButton="0" quotePrefix="0" xfId="0">
      <alignment horizontal="center" vertical="center" wrapText="1"/>
    </xf>
    <xf numFmtId="0" fontId="16" fillId="7" borderId="2" applyAlignment="1" pivotButton="0" quotePrefix="0" xfId="0">
      <alignment horizontal="left" vertical="center" wrapText="1"/>
    </xf>
    <xf numFmtId="0" fontId="10" fillId="0" borderId="0" applyAlignment="1" pivotButton="0" quotePrefix="0" xfId="0">
      <alignment horizontal="left" vertical="center"/>
    </xf>
    <xf numFmtId="0" fontId="17" fillId="3" borderId="1" applyAlignment="1" pivotButton="0" quotePrefix="0" xfId="0">
      <alignment horizontal="center" vertical="center" wrapText="1"/>
    </xf>
    <xf numFmtId="0" fontId="12" fillId="0" borderId="1" applyAlignment="1" pivotButton="0" quotePrefix="0" xfId="0">
      <alignment horizontal="center" vertical="center" wrapText="1"/>
    </xf>
    <xf numFmtId="1" fontId="15" fillId="0" borderId="1" applyAlignment="1" pivotButton="0" quotePrefix="0" xfId="0">
      <alignment horizontal="center" vertical="center" wrapText="1"/>
    </xf>
    <xf numFmtId="2" fontId="15" fillId="0" borderId="1" applyAlignment="1" pivotButton="0" quotePrefix="0" xfId="0">
      <alignment horizontal="center" vertical="center" wrapText="1"/>
    </xf>
    <xf numFmtId="0" fontId="11" fillId="0" borderId="4" pivotButton="0" quotePrefix="0" xfId="0"/>
    <xf numFmtId="0" fontId="11" fillId="0" borderId="2" pivotButton="0" quotePrefix="0" xfId="0"/>
    <xf numFmtId="0" fontId="12" fillId="0" borderId="2" applyAlignment="1" pivotButton="0" quotePrefix="0" xfId="0">
      <alignment horizontal="center" vertical="center" wrapText="1"/>
    </xf>
    <xf numFmtId="1" fontId="15" fillId="0" borderId="2" applyAlignment="1" pivotButton="0" quotePrefix="0" xfId="0">
      <alignment horizontal="center" vertical="center" wrapText="1"/>
    </xf>
    <xf numFmtId="2" fontId="15" fillId="0" borderId="2" applyAlignment="1" pivotButton="0" quotePrefix="0" xfId="0">
      <alignment horizontal="center" vertical="center" wrapText="1"/>
    </xf>
    <xf numFmtId="165" fontId="15" fillId="0" borderId="1" applyAlignment="1" pivotButton="0" quotePrefix="0" xfId="0">
      <alignment horizontal="center" vertical="center" wrapText="1"/>
    </xf>
    <xf numFmtId="0" fontId="16" fillId="0" borderId="1" applyAlignment="1" pivotButton="0" quotePrefix="0" xfId="0">
      <alignment horizontal="left" vertical="center" wrapText="1"/>
    </xf>
    <xf numFmtId="166" fontId="15" fillId="6" borderId="1" applyAlignment="1" pivotButton="0" quotePrefix="0" xfId="0">
      <alignment horizontal="center" vertical="center" wrapText="1"/>
    </xf>
    <xf numFmtId="165" fontId="15" fillId="0" borderId="2" applyAlignment="1" pivotButton="0" quotePrefix="0" xfId="0">
      <alignment horizontal="center" vertical="center" wrapText="1"/>
    </xf>
    <xf numFmtId="166" fontId="15" fillId="6" borderId="2" applyAlignment="1" pivotButton="0" quotePrefix="0" xfId="0">
      <alignment horizontal="center" vertical="center" wrapText="1"/>
    </xf>
    <xf numFmtId="0" fontId="10" fillId="0" borderId="0" applyAlignment="1" pivotButton="0" quotePrefix="0" xfId="0">
      <alignment horizontal="center" vertical="center"/>
    </xf>
    <xf numFmtId="0" fontId="15" fillId="8" borderId="1" applyAlignment="1" pivotButton="0" quotePrefix="0" xfId="0">
      <alignment horizontal="center" vertical="center" wrapText="1"/>
    </xf>
    <xf numFmtId="1" fontId="15" fillId="6" borderId="1" applyAlignment="1" pivotButton="0" quotePrefix="0" xfId="0">
      <alignment horizontal="center" vertical="center" wrapText="1"/>
    </xf>
    <xf numFmtId="0" fontId="15" fillId="8" borderId="2" applyAlignment="1" pivotButton="0" quotePrefix="0" xfId="0">
      <alignment horizontal="center" vertical="center" wrapText="1"/>
    </xf>
    <xf numFmtId="1" fontId="15" fillId="6" borderId="2" applyAlignment="1" pivotButton="0" quotePrefix="0" xfId="0">
      <alignment horizontal="center" vertical="center" wrapText="1"/>
    </xf>
    <xf numFmtId="0" fontId="12" fillId="0" borderId="0" pivotButton="0" quotePrefix="0" xfId="0"/>
    <xf numFmtId="0" fontId="15" fillId="0" borderId="0" pivotButton="0" quotePrefix="0" xfId="0"/>
    <xf numFmtId="0" fontId="18" fillId="0" borderId="0" pivotButton="0" quotePrefix="0" xfId="0"/>
    <xf numFmtId="0" fontId="14" fillId="2" borderId="1" pivotButton="0" quotePrefix="0" xfId="0"/>
    <xf numFmtId="0" fontId="14" fillId="2" borderId="1" applyAlignment="1" pivotButton="0" quotePrefix="0" xfId="0">
      <alignment horizontal="center" vertical="center" wrapText="1"/>
    </xf>
    <xf numFmtId="0" fontId="19" fillId="0" borderId="1" pivotButton="0" quotePrefix="0" xfId="0"/>
    <xf numFmtId="0" fontId="19" fillId="5" borderId="1" applyAlignment="1" pivotButton="0" quotePrefix="0" xfId="0">
      <alignment horizontal="center" vertical="center" wrapText="1"/>
    </xf>
    <xf numFmtId="0" fontId="14" fillId="0" borderId="1" pivotButton="0" quotePrefix="0" xfId="0"/>
    <xf numFmtId="1" fontId="19" fillId="5" borderId="1" applyAlignment="1" pivotButton="0" quotePrefix="0" xfId="0">
      <alignment horizontal="center" vertical="center" wrapText="1"/>
    </xf>
    <xf numFmtId="2" fontId="19" fillId="5" borderId="1" applyAlignment="1" pivotButton="0" quotePrefix="0" xfId="0">
      <alignment horizontal="center" vertical="center" wrapText="1"/>
    </xf>
    <xf numFmtId="0" fontId="16" fillId="0" borderId="1" pivotButton="0" quotePrefix="0" xfId="0"/>
    <xf numFmtId="164" fontId="19" fillId="0" borderId="1" applyAlignment="1" pivotButton="0" quotePrefix="0" xfId="0">
      <alignment horizontal="center" vertical="center" wrapText="1"/>
    </xf>
    <xf numFmtId="165" fontId="19" fillId="0" borderId="1" applyAlignment="1" pivotButton="0" quotePrefix="0" xfId="0">
      <alignment horizontal="center" vertical="center" wrapText="1"/>
    </xf>
    <xf numFmtId="0" fontId="14" fillId="0" borderId="1" applyAlignment="1" pivotButton="0" quotePrefix="0" xfId="0">
      <alignment horizontal="center" vertical="center" wrapText="1"/>
    </xf>
    <xf numFmtId="166" fontId="19" fillId="0" borderId="1" applyAlignment="1" pivotButton="0" quotePrefix="0" xfId="0">
      <alignment horizontal="center" vertical="center" wrapText="1"/>
    </xf>
    <xf numFmtId="0" fontId="15" fillId="0" borderId="1" pivotButton="0" quotePrefix="0" xfId="0"/>
    <xf numFmtId="0" fontId="14" fillId="0" borderId="0" pivotButton="0" quotePrefix="0" xfId="0"/>
    <xf numFmtId="0" fontId="19" fillId="0" borderId="1" applyAlignment="1" pivotButton="0" quotePrefix="0" xfId="0">
      <alignment horizontal="center" vertical="center" wrapText="1"/>
    </xf>
    <xf numFmtId="0" fontId="17" fillId="0" borderId="0" applyAlignment="1" pivotButton="0" quotePrefix="0" xfId="0">
      <alignment vertical="top" wrapText="1"/>
    </xf>
    <xf numFmtId="0" fontId="12" fillId="0" borderId="0" applyAlignment="1" pivotButton="0" quotePrefix="0" xfId="0">
      <alignment vertical="top" wrapText="1"/>
    </xf>
    <xf numFmtId="0" fontId="15" fillId="0" borderId="0" applyAlignment="1" pivotButton="0" quotePrefix="0" xfId="0">
      <alignment vertical="top" wrapText="1"/>
    </xf>
    <xf numFmtId="0" fontId="17" fillId="0" borderId="0" pivotButton="0" quotePrefix="0" xfId="0"/>
    <xf numFmtId="0" fontId="15" fillId="7" borderId="1" applyAlignment="1" pivotButton="0" quotePrefix="0" xfId="0">
      <alignment horizontal="left" vertical="center"/>
    </xf>
  </cellXfs>
  <cellStyles count="1">
    <cellStyle name="Normal" xfId="0" builtinId="0" hidden="0"/>
  </cellStyles>
  <dxfs count="2">
    <dxf>
      <font>
        <b val="1"/>
        <color rgb="00006100"/>
        <sz val="9"/>
      </font>
      <fill>
        <patternFill patternType="solid">
          <fgColor rgb="00C6EFCE"/>
        </patternFill>
      </fill>
    </dxf>
    <dxf>
      <font>
        <b val="1"/>
        <color rgb="009C0006"/>
        <sz val="9"/>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s>
</file>

<file path=xl/drawings/_rels/drawing2.xml.rels><Relationships xmlns="http://schemas.openxmlformats.org/package/2006/relationships"><Relationship Type="http://schemas.openxmlformats.org/officeDocument/2006/relationships/image" Target="/xl/media/image32.png" Id="rId1"/><Relationship Type="http://schemas.openxmlformats.org/officeDocument/2006/relationships/image" Target="/xl/media/image33.png" Id="rId2"/><Relationship Type="http://schemas.openxmlformats.org/officeDocument/2006/relationships/image" Target="/xl/media/image34.png" Id="rId3"/><Relationship Type="http://schemas.openxmlformats.org/officeDocument/2006/relationships/image" Target="/xl/media/image35.png" Id="rId4"/><Relationship Type="http://schemas.openxmlformats.org/officeDocument/2006/relationships/image" Target="/xl/media/image36.png" Id="rId5"/><Relationship Type="http://schemas.openxmlformats.org/officeDocument/2006/relationships/image" Target="/xl/media/image37.png" Id="rId6"/><Relationship Type="http://schemas.openxmlformats.org/officeDocument/2006/relationships/image" Target="/xl/media/image38.png" Id="rId7"/><Relationship Type="http://schemas.openxmlformats.org/officeDocument/2006/relationships/image" Target="/xl/media/image39.png" Id="rId8"/><Relationship Type="http://schemas.openxmlformats.org/officeDocument/2006/relationships/image" Target="/xl/media/image40.png" Id="rId9"/><Relationship Type="http://schemas.openxmlformats.org/officeDocument/2006/relationships/image" Target="/xl/media/image41.png" Id="rId10"/><Relationship Type="http://schemas.openxmlformats.org/officeDocument/2006/relationships/image" Target="/xl/media/image42.png" Id="rId11"/><Relationship Type="http://schemas.openxmlformats.org/officeDocument/2006/relationships/image" Target="/xl/media/image43.png" Id="rId12"/></Relationships>
</file>

<file path=xl/drawings/_rels/drawing3.xml.rels><Relationships xmlns="http://schemas.openxmlformats.org/package/2006/relationships"><Relationship Type="http://schemas.openxmlformats.org/officeDocument/2006/relationships/image" Target="/xl/media/image44.png" Id="rId1"/><Relationship Type="http://schemas.openxmlformats.org/officeDocument/2006/relationships/image" Target="/xl/media/image45.png" Id="rId2"/><Relationship Type="http://schemas.openxmlformats.org/officeDocument/2006/relationships/image" Target="/xl/media/image46.png" Id="rId3"/><Relationship Type="http://schemas.openxmlformats.org/officeDocument/2006/relationships/image" Target="/xl/media/image47.png" Id="rId4"/><Relationship Type="http://schemas.openxmlformats.org/officeDocument/2006/relationships/image" Target="/xl/media/image48.png" Id="rId5"/><Relationship Type="http://schemas.openxmlformats.org/officeDocument/2006/relationships/image" Target="/xl/media/image49.png" Id="rId6"/><Relationship Type="http://schemas.openxmlformats.org/officeDocument/2006/relationships/image" Target="/xl/media/image50.png" Id="rId7"/><Relationship Type="http://schemas.openxmlformats.org/officeDocument/2006/relationships/image" Target="/xl/media/image51.png" Id="rId8"/><Relationship Type="http://schemas.openxmlformats.org/officeDocument/2006/relationships/image" Target="/xl/media/image52.png" Id="rId9"/><Relationship Type="http://schemas.openxmlformats.org/officeDocument/2006/relationships/image" Target="/xl/media/image53.png" Id="rId10"/><Relationship Type="http://schemas.openxmlformats.org/officeDocument/2006/relationships/image" Target="/xl/media/image54.png" Id="rId11"/><Relationship Type="http://schemas.openxmlformats.org/officeDocument/2006/relationships/image" Target="/xl/media/image55.png" Id="rId12"/><Relationship Type="http://schemas.openxmlformats.org/officeDocument/2006/relationships/image" Target="/xl/media/image56.png" Id="rId13"/><Relationship Type="http://schemas.openxmlformats.org/officeDocument/2006/relationships/image" Target="/xl/media/image57.png" Id="rId14"/><Relationship Type="http://schemas.openxmlformats.org/officeDocument/2006/relationships/image" Target="/xl/media/image58.png" Id="rId15"/><Relationship Type="http://schemas.openxmlformats.org/officeDocument/2006/relationships/image" Target="/xl/media/image59.png" Id="rId16"/><Relationship Type="http://schemas.openxmlformats.org/officeDocument/2006/relationships/image" Target="/xl/media/image60.png" Id="rId17"/><Relationship Type="http://schemas.openxmlformats.org/officeDocument/2006/relationships/image" Target="/xl/media/image61.png" Id="rId18"/><Relationship Type="http://schemas.openxmlformats.org/officeDocument/2006/relationships/image" Target="/xl/media/image62.png" Id="rId19"/><Relationship Type="http://schemas.openxmlformats.org/officeDocument/2006/relationships/image" Target="/xl/media/image63.png" Id="rId20"/><Relationship Type="http://schemas.openxmlformats.org/officeDocument/2006/relationships/image" Target="/xl/media/image64.png" Id="rId21"/><Relationship Type="http://schemas.openxmlformats.org/officeDocument/2006/relationships/image" Target="/xl/media/image65.png" Id="rId22"/><Relationship Type="http://schemas.openxmlformats.org/officeDocument/2006/relationships/image" Target="/xl/media/image66.png" Id="rId23"/><Relationship Type="http://schemas.openxmlformats.org/officeDocument/2006/relationships/image" Target="/xl/media/image67.png" Id="rId24"/><Relationship Type="http://schemas.openxmlformats.org/officeDocument/2006/relationships/image" Target="/xl/media/image68.png" Id="rId25"/><Relationship Type="http://schemas.openxmlformats.org/officeDocument/2006/relationships/image" Target="/xl/media/image69.png" Id="rId26"/><Relationship Type="http://schemas.openxmlformats.org/officeDocument/2006/relationships/image" Target="/xl/media/image70.png" Id="rId27"/><Relationship Type="http://schemas.openxmlformats.org/officeDocument/2006/relationships/image" Target="/xl/media/image71.png" Id="rId28"/><Relationship Type="http://schemas.openxmlformats.org/officeDocument/2006/relationships/image" Target="/xl/media/image72.png" Id="rId29"/><Relationship Type="http://schemas.openxmlformats.org/officeDocument/2006/relationships/image" Target="/xl/media/image73.png" Id="rId30"/><Relationship Type="http://schemas.openxmlformats.org/officeDocument/2006/relationships/image" Target="/xl/media/image74.png" Id="rId31"/></Relationships>
</file>

<file path=xl/drawings/drawing1.xml><?xml version="1.0" encoding="utf-8"?>
<wsDr xmlns="http://schemas.openxmlformats.org/drawingml/2006/spreadsheetDrawing">
  <oneCellAnchor>
    <from>
      <col>4</col>
      <colOff>0</colOff>
      <row>3</row>
      <rowOff>0</rowOff>
    </from>
    <ext cx="2095500" cy="571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0</colOff>
      <row>4</row>
      <rowOff>0</rowOff>
    </from>
    <ext cx="2095500" cy="571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4</col>
      <colOff>0</colOff>
      <row>5</row>
      <rowOff>0</rowOff>
    </from>
    <ext cx="2095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4</col>
      <colOff>0</colOff>
      <row>6</row>
      <rowOff>0</rowOff>
    </from>
    <ext cx="2095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4</col>
      <colOff>0</colOff>
      <row>7</row>
      <rowOff>0</rowOff>
    </from>
    <ext cx="2095500" cy="571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0</colOff>
      <row>8</row>
      <rowOff>0</rowOff>
    </from>
    <ext cx="2095500" cy="571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4</col>
      <colOff>0</colOff>
      <row>9</row>
      <rowOff>0</rowOff>
    </from>
    <ext cx="2095500" cy="571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4</col>
      <colOff>0</colOff>
      <row>10</row>
      <rowOff>0</rowOff>
    </from>
    <ext cx="2095500" cy="571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4</col>
      <colOff>0</colOff>
      <row>11</row>
      <rowOff>0</rowOff>
    </from>
    <ext cx="2095500" cy="571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4</col>
      <colOff>0</colOff>
      <row>12</row>
      <rowOff>0</rowOff>
    </from>
    <ext cx="2095500" cy="571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4</col>
      <colOff>0</colOff>
      <row>13</row>
      <rowOff>0</rowOff>
    </from>
    <ext cx="2095500" cy="571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4</col>
      <colOff>0</colOff>
      <row>14</row>
      <rowOff>0</rowOff>
    </from>
    <ext cx="2095500" cy="571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4</col>
      <colOff>0</colOff>
      <row>15</row>
      <rowOff>0</rowOff>
    </from>
    <ext cx="2095500" cy="571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4</col>
      <colOff>0</colOff>
      <row>16</row>
      <rowOff>0</rowOff>
    </from>
    <ext cx="2095500" cy="571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4</col>
      <colOff>0</colOff>
      <row>17</row>
      <rowOff>0</rowOff>
    </from>
    <ext cx="2095500" cy="571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4</col>
      <colOff>0</colOff>
      <row>18</row>
      <rowOff>0</rowOff>
    </from>
    <ext cx="2095500" cy="571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4</col>
      <colOff>0</colOff>
      <row>19</row>
      <rowOff>0</rowOff>
    </from>
    <ext cx="2095500" cy="571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4</col>
      <colOff>0</colOff>
      <row>20</row>
      <rowOff>0</rowOff>
    </from>
    <ext cx="2095500" cy="5715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4</col>
      <colOff>0</colOff>
      <row>21</row>
      <rowOff>0</rowOff>
    </from>
    <ext cx="2095500" cy="571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4</col>
      <colOff>0</colOff>
      <row>22</row>
      <rowOff>0</rowOff>
    </from>
    <ext cx="2095500" cy="571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4</col>
      <colOff>0</colOff>
      <row>23</row>
      <rowOff>0</rowOff>
    </from>
    <ext cx="2095500" cy="571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4</col>
      <colOff>0</colOff>
      <row>24</row>
      <rowOff>0</rowOff>
    </from>
    <ext cx="2095500" cy="571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4</col>
      <colOff>0</colOff>
      <row>25</row>
      <rowOff>0</rowOff>
    </from>
    <ext cx="2095500" cy="571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4</col>
      <colOff>0</colOff>
      <row>26</row>
      <rowOff>0</rowOff>
    </from>
    <ext cx="2095500" cy="5715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4</col>
      <colOff>0</colOff>
      <row>27</row>
      <rowOff>0</rowOff>
    </from>
    <ext cx="2095500" cy="5715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4</col>
      <colOff>0</colOff>
      <row>28</row>
      <rowOff>0</rowOff>
    </from>
    <ext cx="2095500" cy="5715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4</col>
      <colOff>0</colOff>
      <row>29</row>
      <rowOff>0</rowOff>
    </from>
    <ext cx="2095500" cy="5715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4</col>
      <colOff>0</colOff>
      <row>30</row>
      <rowOff>0</rowOff>
    </from>
    <ext cx="2095500" cy="5715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4</col>
      <colOff>0</colOff>
      <row>31</row>
      <rowOff>0</rowOff>
    </from>
    <ext cx="2095500" cy="5715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4</col>
      <colOff>0</colOff>
      <row>32</row>
      <rowOff>0</rowOff>
    </from>
    <ext cx="2095500" cy="5715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4</col>
      <colOff>0</colOff>
      <row>33</row>
      <rowOff>0</rowOff>
    </from>
    <ext cx="2095500" cy="5715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5</col>
      <colOff>0</colOff>
      <row>3</row>
      <rowOff>0</rowOff>
    </from>
    <ext cx="2095500" cy="571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5</col>
      <colOff>0</colOff>
      <row>4</row>
      <rowOff>0</rowOff>
    </from>
    <ext cx="2095500" cy="571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5</col>
      <colOff>0</colOff>
      <row>5</row>
      <rowOff>0</rowOff>
    </from>
    <ext cx="2095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5</col>
      <colOff>0</colOff>
      <row>6</row>
      <rowOff>0</rowOff>
    </from>
    <ext cx="2095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5</col>
      <colOff>0</colOff>
      <row>7</row>
      <rowOff>0</rowOff>
    </from>
    <ext cx="2095500" cy="571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5</col>
      <colOff>0</colOff>
      <row>8</row>
      <rowOff>0</rowOff>
    </from>
    <ext cx="2095500" cy="571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5</col>
      <colOff>0</colOff>
      <row>9</row>
      <rowOff>0</rowOff>
    </from>
    <ext cx="2095500" cy="571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5</col>
      <colOff>0</colOff>
      <row>10</row>
      <rowOff>0</rowOff>
    </from>
    <ext cx="2095500" cy="571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5</col>
      <colOff>0</colOff>
      <row>11</row>
      <rowOff>0</rowOff>
    </from>
    <ext cx="2095500" cy="571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5</col>
      <colOff>0</colOff>
      <row>12</row>
      <rowOff>0</rowOff>
    </from>
    <ext cx="2095500" cy="571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5</col>
      <colOff>0</colOff>
      <row>13</row>
      <rowOff>0</rowOff>
    </from>
    <ext cx="2095500" cy="571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5</col>
      <colOff>0</colOff>
      <row>14</row>
      <rowOff>0</rowOff>
    </from>
    <ext cx="2095500" cy="571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4</col>
      <colOff>0</colOff>
      <row>3</row>
      <rowOff>0</rowOff>
    </from>
    <ext cx="2095500" cy="571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0</colOff>
      <row>4</row>
      <rowOff>0</rowOff>
    </from>
    <ext cx="2095500" cy="571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4</col>
      <colOff>0</colOff>
      <row>5</row>
      <rowOff>0</rowOff>
    </from>
    <ext cx="2095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4</col>
      <colOff>0</colOff>
      <row>6</row>
      <rowOff>0</rowOff>
    </from>
    <ext cx="2095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4</col>
      <colOff>0</colOff>
      <row>7</row>
      <rowOff>0</rowOff>
    </from>
    <ext cx="2095500" cy="571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0</colOff>
      <row>8</row>
      <rowOff>0</rowOff>
    </from>
    <ext cx="2095500" cy="571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4</col>
      <colOff>0</colOff>
      <row>9</row>
      <rowOff>0</rowOff>
    </from>
    <ext cx="2095500" cy="571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4</col>
      <colOff>0</colOff>
      <row>10</row>
      <rowOff>0</rowOff>
    </from>
    <ext cx="2095500" cy="571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4</col>
      <colOff>0</colOff>
      <row>11</row>
      <rowOff>0</rowOff>
    </from>
    <ext cx="2095500" cy="571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4</col>
      <colOff>0</colOff>
      <row>12</row>
      <rowOff>0</rowOff>
    </from>
    <ext cx="2095500" cy="571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4</col>
      <colOff>0</colOff>
      <row>13</row>
      <rowOff>0</rowOff>
    </from>
    <ext cx="2095500" cy="571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4</col>
      <colOff>0</colOff>
      <row>14</row>
      <rowOff>0</rowOff>
    </from>
    <ext cx="2095500" cy="571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4</col>
      <colOff>0</colOff>
      <row>15</row>
      <rowOff>0</rowOff>
    </from>
    <ext cx="2095500" cy="571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4</col>
      <colOff>0</colOff>
      <row>16</row>
      <rowOff>0</rowOff>
    </from>
    <ext cx="2095500" cy="571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4</col>
      <colOff>0</colOff>
      <row>17</row>
      <rowOff>0</rowOff>
    </from>
    <ext cx="2095500" cy="571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4</col>
      <colOff>0</colOff>
      <row>18</row>
      <rowOff>0</rowOff>
    </from>
    <ext cx="2095500" cy="571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4</col>
      <colOff>0</colOff>
      <row>19</row>
      <rowOff>0</rowOff>
    </from>
    <ext cx="2095500" cy="571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4</col>
      <colOff>0</colOff>
      <row>20</row>
      <rowOff>0</rowOff>
    </from>
    <ext cx="2095500" cy="5715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4</col>
      <colOff>0</colOff>
      <row>21</row>
      <rowOff>0</rowOff>
    </from>
    <ext cx="2095500" cy="571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4</col>
      <colOff>0</colOff>
      <row>22</row>
      <rowOff>0</rowOff>
    </from>
    <ext cx="2095500" cy="571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4</col>
      <colOff>0</colOff>
      <row>23</row>
      <rowOff>0</rowOff>
    </from>
    <ext cx="2095500" cy="571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4</col>
      <colOff>0</colOff>
      <row>24</row>
      <rowOff>0</rowOff>
    </from>
    <ext cx="2095500" cy="571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4</col>
      <colOff>0</colOff>
      <row>25</row>
      <rowOff>0</rowOff>
    </from>
    <ext cx="2095500" cy="571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4</col>
      <colOff>0</colOff>
      <row>26</row>
      <rowOff>0</rowOff>
    </from>
    <ext cx="2095500" cy="5715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4</col>
      <colOff>0</colOff>
      <row>27</row>
      <rowOff>0</rowOff>
    </from>
    <ext cx="2095500" cy="5715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4</col>
      <colOff>0</colOff>
      <row>28</row>
      <rowOff>0</rowOff>
    </from>
    <ext cx="2095500" cy="5715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4</col>
      <colOff>0</colOff>
      <row>29</row>
      <rowOff>0</rowOff>
    </from>
    <ext cx="2095500" cy="5715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4</col>
      <colOff>0</colOff>
      <row>30</row>
      <rowOff>0</rowOff>
    </from>
    <ext cx="2095500" cy="5715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4</col>
      <colOff>0</colOff>
      <row>31</row>
      <rowOff>0</rowOff>
    </from>
    <ext cx="2095500" cy="5715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4</col>
      <colOff>0</colOff>
      <row>32</row>
      <rowOff>0</rowOff>
    </from>
    <ext cx="2095500" cy="5715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4</col>
      <colOff>0</colOff>
      <row>33</row>
      <rowOff>0</rowOff>
    </from>
    <ext cx="2095500" cy="5715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fitToPage="1"/>
  </sheetPr>
  <dimension ref="A1:L1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9" customWidth="1" min="3" max="3"/>
    <col width="10" customWidth="1" min="4" max="4"/>
    <col width="8" customWidth="1" min="5" max="5"/>
    <col width="12" customWidth="1" min="6" max="6"/>
    <col width="12" customWidth="1" min="7" max="7"/>
    <col width="8" customWidth="1" min="8" max="8"/>
    <col width="12" customWidth="1" min="9" max="9"/>
    <col width="12" customWidth="1" min="10" max="10"/>
    <col width="14" customWidth="1" min="11" max="11"/>
    <col width="40" customWidth="1" min="12" max="12"/>
  </cols>
  <sheetData>
    <row r="1" ht="22" customHeight="1">
      <c r="A1" s="1" t="inlineStr">
        <is>
          <t>PLANILLA DE ILUMINACION Y VENTILACION</t>
        </is>
      </c>
      <c r="B1" s="2" t="n"/>
      <c r="C1" s="2" t="n"/>
      <c r="D1" s="2" t="n"/>
      <c r="E1" s="2" t="n"/>
      <c r="F1" s="2" t="n"/>
      <c r="G1" s="2" t="n"/>
      <c r="H1" s="2" t="n"/>
      <c r="I1" s="2" t="n"/>
      <c r="J1" s="2" t="n"/>
      <c r="K1" s="2" t="n"/>
      <c r="L1" s="2" t="n"/>
    </row>
    <row r="2" ht="16" customHeight="1">
      <c r="A2" s="3" t="inlineStr">
        <is>
          <t>Local</t>
        </is>
      </c>
      <c r="B2" s="3" t="inlineStr">
        <is>
          <t>(a)
Medidas</t>
        </is>
      </c>
      <c r="C2" s="3" t="inlineStr">
        <is>
          <t>(b)
Medidas</t>
        </is>
      </c>
      <c r="D2" s="3" t="inlineStr">
        <is>
          <t>(Area)
Medidas</t>
        </is>
      </c>
      <c r="E2" s="3" t="inlineStr">
        <is>
          <t>Iluminacion</t>
        </is>
      </c>
      <c r="F2" s="4" t="n"/>
      <c r="G2" s="4" t="n"/>
      <c r="H2" s="3" t="inlineStr">
        <is>
          <t>Ventilacion</t>
        </is>
      </c>
      <c r="I2" s="4" t="n"/>
      <c r="J2" s="4" t="n"/>
      <c r="K2" s="3" t="inlineStr">
        <is>
          <t>VERIFICACION</t>
        </is>
      </c>
      <c r="L2" s="3" t="inlineStr">
        <is>
          <t>OBSERVACIONES</t>
        </is>
      </c>
    </row>
    <row r="3" ht="28" customHeight="1">
      <c r="A3" s="4" t="n"/>
      <c r="B3" s="4" t="n"/>
      <c r="C3" s="4" t="n"/>
      <c r="D3" s="4" t="n"/>
      <c r="E3" s="5" t="inlineStr">
        <is>
          <t>Coef.</t>
        </is>
      </c>
      <c r="F3" s="5" t="inlineStr">
        <is>
          <t>Area requerida</t>
        </is>
      </c>
      <c r="G3" s="5" t="inlineStr">
        <is>
          <t>Area proyectada</t>
        </is>
      </c>
      <c r="H3" s="5" t="inlineStr">
        <is>
          <t>Coef.</t>
        </is>
      </c>
      <c r="I3" s="5" t="inlineStr">
        <is>
          <t>Area requerida</t>
        </is>
      </c>
      <c r="J3" s="5" t="inlineStr">
        <is>
          <t>Area proyectada</t>
        </is>
      </c>
      <c r="K3" s="4" t="n"/>
      <c r="L3" s="4" t="n"/>
    </row>
    <row r="4">
      <c r="A4" s="6" t="inlineStr">
        <is>
          <t>PB</t>
        </is>
      </c>
      <c r="B4" s="4" t="n"/>
      <c r="C4" s="4" t="n"/>
      <c r="D4" s="4" t="n"/>
      <c r="E4" s="4" t="n"/>
      <c r="F4" s="4" t="n"/>
      <c r="G4" s="4" t="n"/>
      <c r="H4" s="4" t="n"/>
      <c r="I4" s="4" t="n"/>
      <c r="J4" s="4" t="n"/>
      <c r="K4" s="4" t="n"/>
      <c r="L4" s="4" t="n"/>
    </row>
    <row r="5" ht="17" customHeight="1">
      <c r="A5" s="7" t="inlineStr">
        <is>
          <t>01 - Cocina / comedor</t>
        </is>
      </c>
      <c r="B5" s="8" t="n">
        <v>7.5</v>
      </c>
      <c r="C5" s="8" t="n">
        <v>3.5</v>
      </c>
      <c r="D5" s="9">
        <f>B5*C5</f>
        <v/>
      </c>
      <c r="E5" s="10" t="n">
        <v>9</v>
      </c>
      <c r="F5" s="9">
        <f>D5/E5</f>
        <v/>
      </c>
      <c r="G5" s="8" t="n">
        <v>16.95</v>
      </c>
      <c r="H5" s="11" t="inlineStr">
        <is>
          <t>i/3</t>
        </is>
      </c>
      <c r="I5" s="9">
        <f>F5/3</f>
        <v/>
      </c>
      <c r="J5" s="8" t="n">
        <v>8.48</v>
      </c>
      <c r="K5" s="12">
        <f>IF(OR(G5="COND",J5="COND"),"COND",IF(AND(G5&gt;=F5,J5&gt;=I5),"CUMPLE","NO CUMPLE"))</f>
        <v/>
      </c>
      <c r="L5" s="11" t="n"/>
    </row>
    <row r="6" ht="17" customHeight="1">
      <c r="A6" s="7" t="inlineStr">
        <is>
          <t>02 - Deposito</t>
        </is>
      </c>
      <c r="B6" s="8" t="n">
        <v>3.8</v>
      </c>
      <c r="C6" s="8" t="n">
        <v>3.1</v>
      </c>
      <c r="D6" s="9">
        <f>B6*C6</f>
        <v/>
      </c>
      <c r="E6" s="10" t="inlineStr">
        <is>
          <t>-</t>
        </is>
      </c>
      <c r="F6" s="9" t="inlineStr">
        <is>
          <t>-</t>
        </is>
      </c>
      <c r="G6" s="8" t="inlineStr">
        <is>
          <t>-</t>
        </is>
      </c>
      <c r="H6" s="11" t="inlineStr">
        <is>
          <t>-</t>
        </is>
      </c>
      <c r="I6" s="9" t="inlineStr">
        <is>
          <t>-</t>
        </is>
      </c>
      <c r="J6" s="8" t="inlineStr">
        <is>
          <t>-</t>
        </is>
      </c>
      <c r="K6" s="12" t="inlineStr">
        <is>
          <t>NO EXIGIBLE</t>
        </is>
      </c>
      <c r="L6" s="13" t="inlineStr">
        <is>
          <t>Local no habitable: el codigo no le exige iluminacion ni ventilacion natural. Si se lo considera habitable, hay que preverle conducto.</t>
        </is>
      </c>
    </row>
    <row r="7" ht="17" customHeight="1">
      <c r="A7" s="7" t="inlineStr">
        <is>
          <t>03 - Lavadero</t>
        </is>
      </c>
      <c r="B7" s="8" t="n">
        <v>3.5</v>
      </c>
      <c r="C7" s="8" t="n">
        <v>1.7</v>
      </c>
      <c r="D7" s="9">
        <f>B7*C7</f>
        <v/>
      </c>
      <c r="E7" s="10" t="n">
        <v>9</v>
      </c>
      <c r="F7" s="9">
        <f>D7/E7</f>
        <v/>
      </c>
      <c r="G7" s="8" t="n">
        <v>10.5</v>
      </c>
      <c r="H7" s="11" t="inlineStr">
        <is>
          <t>i/3</t>
        </is>
      </c>
      <c r="I7" s="9">
        <f>F7/3</f>
        <v/>
      </c>
      <c r="J7" s="8" t="n">
        <v>1.6</v>
      </c>
      <c r="K7" s="12">
        <f>IF(OR(G7="COND",J7="COND"),"COND",IF(AND(G7&gt;=F7,J7&gt;=I7),"CUMPLE","NO CUMPLE"))</f>
        <v/>
      </c>
      <c r="L7" s="11" t="n"/>
    </row>
    <row r="8" ht="17" customHeight="1">
      <c r="A8" s="7" t="inlineStr">
        <is>
          <t>06 - Living / comedor</t>
        </is>
      </c>
      <c r="B8" s="8" t="n">
        <v>8.4</v>
      </c>
      <c r="C8" s="8" t="n">
        <v>4</v>
      </c>
      <c r="D8" s="9">
        <f>B8*C8</f>
        <v/>
      </c>
      <c r="E8" s="10" t="n">
        <v>9</v>
      </c>
      <c r="F8" s="9">
        <f>D8/E8</f>
        <v/>
      </c>
      <c r="G8" s="8" t="n">
        <v>34.05</v>
      </c>
      <c r="H8" s="11" t="inlineStr">
        <is>
          <t>i/3</t>
        </is>
      </c>
      <c r="I8" s="9">
        <f>F8/3</f>
        <v/>
      </c>
      <c r="J8" s="8" t="n">
        <v>15</v>
      </c>
      <c r="K8" s="12">
        <f>IF(OR(G8="COND",J8="COND"),"COND",IF(AND(G8&gt;=F8,J8&gt;=I8),"CUMPLE","NO CUMPLE"))</f>
        <v/>
      </c>
      <c r="L8" s="11" t="n"/>
    </row>
    <row r="9" ht="17" customHeight="1">
      <c r="A9" s="7" t="inlineStr">
        <is>
          <t>07 - Hall / ingreso</t>
        </is>
      </c>
      <c r="B9" s="8" t="n">
        <v>3.5</v>
      </c>
      <c r="C9" s="8" t="n">
        <v>2.15</v>
      </c>
      <c r="D9" s="9">
        <f>B9*C9</f>
        <v/>
      </c>
      <c r="E9" s="10" t="n">
        <v>9</v>
      </c>
      <c r="F9" s="9">
        <f>D9/E9</f>
        <v/>
      </c>
      <c r="G9" s="8" t="n">
        <v>10.5</v>
      </c>
      <c r="H9" s="11" t="inlineStr">
        <is>
          <t>i/3</t>
        </is>
      </c>
      <c r="I9" s="9">
        <f>F9/3</f>
        <v/>
      </c>
      <c r="J9" s="8" t="n">
        <v>1.6</v>
      </c>
      <c r="K9" s="12">
        <f>IF(OR(G9="COND",J9="COND"),"COND",IF(AND(G9&gt;=F9,J9&gt;=I9),"CUMPLE","NO CUMPLE"))</f>
        <v/>
      </c>
      <c r="L9" s="13" t="inlineStr">
        <is>
          <t>CORREGIDO: la planilla original repetia los valores del local 03 (0,66 y 0,22). Con 7,53 m2 corresponden 0,84 y 0,28. Cumple igual.</t>
        </is>
      </c>
    </row>
    <row r="10" ht="17" customHeight="1">
      <c r="A10" s="7" t="inlineStr">
        <is>
          <t>09 - Dormitorio suite</t>
        </is>
      </c>
      <c r="B10" s="8" t="n">
        <v>3.5</v>
      </c>
      <c r="C10" s="8" t="n">
        <v>3.5</v>
      </c>
      <c r="D10" s="9">
        <f>B10*C10</f>
        <v/>
      </c>
      <c r="E10" s="10" t="n">
        <v>9</v>
      </c>
      <c r="F10" s="9">
        <f>D10/E10</f>
        <v/>
      </c>
      <c r="G10" s="8" t="n">
        <v>6</v>
      </c>
      <c r="H10" s="11" t="inlineStr">
        <is>
          <t>i/3</t>
        </is>
      </c>
      <c r="I10" s="9">
        <f>F10/3</f>
        <v/>
      </c>
      <c r="J10" s="8" t="n">
        <v>3</v>
      </c>
      <c r="K10" s="12">
        <f>IF(OR(G10="COND",J10="COND"),"COND",IF(AND(G10&gt;=F10,J10&gt;=I10),"CUMPLE","NO CUMPLE"))</f>
        <v/>
      </c>
      <c r="L10" s="11" t="n"/>
    </row>
    <row r="11" ht="17" customHeight="1">
      <c r="A11" s="7" t="inlineStr">
        <is>
          <t>10 - Bano suite</t>
        </is>
      </c>
      <c r="B11" s="8" t="n">
        <v>3.3</v>
      </c>
      <c r="C11" s="8" t="n">
        <v>1.7</v>
      </c>
      <c r="D11" s="9">
        <f>B11*C11</f>
        <v/>
      </c>
      <c r="E11" s="10" t="n">
        <v>9</v>
      </c>
      <c r="F11" s="9">
        <f>D11/E11</f>
        <v/>
      </c>
      <c r="G11" s="8" t="inlineStr">
        <is>
          <t>COND</t>
        </is>
      </c>
      <c r="H11" s="11" t="inlineStr">
        <is>
          <t>i/3</t>
        </is>
      </c>
      <c r="I11" s="9">
        <f>F11/3</f>
        <v/>
      </c>
      <c r="J11" s="8" t="inlineStr">
        <is>
          <t>COND</t>
        </is>
      </c>
      <c r="K11" s="12">
        <f>IF(OR(G11="COND",J11="COND"),"COND",IF(AND(G11&gt;=F11,J11&gt;=I11),"CUMPLE","NO CUMPLE"))</f>
        <v/>
      </c>
      <c r="L11" s="13" t="inlineStr">
        <is>
          <t>Sin ventana al exterior: se ventila por conducto o extraccion mecanica.</t>
        </is>
      </c>
    </row>
    <row r="12" ht="17" customHeight="1">
      <c r="A12" s="7" t="inlineStr">
        <is>
          <t>11 - Bano visita</t>
        </is>
      </c>
      <c r="B12" s="8" t="n">
        <v>2.4</v>
      </c>
      <c r="C12" s="8" t="n">
        <v>1.3</v>
      </c>
      <c r="D12" s="9">
        <f>B12*C12</f>
        <v/>
      </c>
      <c r="E12" s="10" t="n">
        <v>9</v>
      </c>
      <c r="F12" s="9">
        <f>D12/E12</f>
        <v/>
      </c>
      <c r="G12" s="8" t="inlineStr">
        <is>
          <t>COND</t>
        </is>
      </c>
      <c r="H12" s="11" t="inlineStr">
        <is>
          <t>i/3</t>
        </is>
      </c>
      <c r="I12" s="9">
        <f>F12/3</f>
        <v/>
      </c>
      <c r="J12" s="8" t="inlineStr">
        <is>
          <t>COND</t>
        </is>
      </c>
      <c r="K12" s="12">
        <f>IF(OR(G12="COND",J12="COND"),"COND",IF(AND(G12&gt;=F12,J12&gt;=I12),"CUMPLE","NO CUMPLE"))</f>
        <v/>
      </c>
      <c r="L12" s="13" t="inlineStr">
        <is>
          <t>Sin ventana al exterior: se ventila por conducto o extraccion mecanica.</t>
        </is>
      </c>
    </row>
    <row r="13" ht="17" customHeight="1">
      <c r="A13" s="14" t="inlineStr">
        <is>
          <t>12 - Bano exterior</t>
        </is>
      </c>
      <c r="B13" s="15" t="n">
        <v>1.9</v>
      </c>
      <c r="C13" s="15" t="n">
        <v>0.95</v>
      </c>
      <c r="D13" s="16">
        <f>B13*C13</f>
        <v/>
      </c>
      <c r="E13" s="17" t="n">
        <v>9</v>
      </c>
      <c r="F13" s="16">
        <f>D13/E13</f>
        <v/>
      </c>
      <c r="G13" s="15" t="inlineStr">
        <is>
          <t>COND</t>
        </is>
      </c>
      <c r="H13" s="18" t="inlineStr">
        <is>
          <t>i/3</t>
        </is>
      </c>
      <c r="I13" s="16">
        <f>F13/3</f>
        <v/>
      </c>
      <c r="J13" s="15" t="inlineStr">
        <is>
          <t>COND</t>
        </is>
      </c>
      <c r="K13" s="19">
        <f>IF(OR(G13="COND",J13="COND"),"COND",IF(AND(G13&gt;=F13,J13&gt;=I13),"CUMPLE","NO CUMPLE"))</f>
        <v/>
      </c>
      <c r="L13" s="20" t="inlineStr">
        <is>
          <t>Sin ventana al exterior: se ventila por conducto o extraccion mecanica.</t>
        </is>
      </c>
    </row>
    <row r="14">
      <c r="A14" s="6" t="inlineStr">
        <is>
          <t>PA</t>
        </is>
      </c>
      <c r="B14" s="4" t="n"/>
      <c r="C14" s="4" t="n"/>
      <c r="D14" s="4" t="n"/>
      <c r="E14" s="4" t="n"/>
      <c r="F14" s="4" t="n"/>
      <c r="G14" s="4" t="n"/>
      <c r="H14" s="4" t="n"/>
      <c r="I14" s="4" t="n"/>
      <c r="J14" s="4" t="n"/>
      <c r="K14" s="4" t="n"/>
      <c r="L14" s="4" t="n"/>
    </row>
    <row r="15" ht="17" customHeight="1">
      <c r="A15" s="7" t="inlineStr">
        <is>
          <t>13 - Dormitorio 1</t>
        </is>
      </c>
      <c r="B15" s="8" t="n">
        <v>4.25</v>
      </c>
      <c r="C15" s="8" t="n">
        <v>4</v>
      </c>
      <c r="D15" s="9">
        <f>B15*C15</f>
        <v/>
      </c>
      <c r="E15" s="10" t="n">
        <v>9</v>
      </c>
      <c r="F15" s="9">
        <f>D15/E15</f>
        <v/>
      </c>
      <c r="G15" s="8" t="n">
        <v>8.75</v>
      </c>
      <c r="H15" s="11" t="inlineStr">
        <is>
          <t>i/3</t>
        </is>
      </c>
      <c r="I15" s="9">
        <f>F15/3</f>
        <v/>
      </c>
      <c r="J15" s="8" t="n">
        <v>4.38</v>
      </c>
      <c r="K15" s="12">
        <f>IF(OR(G15="COND",J15="COND"),"COND",IF(AND(G15&gt;=F15,J15&gt;=I15),"CUMPLE","NO CUMPLE"))</f>
        <v/>
      </c>
      <c r="L15" s="11" t="n"/>
    </row>
    <row r="16" ht="17" customHeight="1">
      <c r="A16" s="7" t="inlineStr">
        <is>
          <t>14 - Estar / Playroom</t>
        </is>
      </c>
      <c r="B16" s="8" t="n">
        <v>4</v>
      </c>
      <c r="C16" s="8" t="n">
        <v>4.1</v>
      </c>
      <c r="D16" s="9">
        <f>B16*C16</f>
        <v/>
      </c>
      <c r="E16" s="10" t="n">
        <v>9</v>
      </c>
      <c r="F16" s="9">
        <f>D16/E16</f>
        <v/>
      </c>
      <c r="G16" s="8" t="n">
        <v>5</v>
      </c>
      <c r="H16" s="11" t="inlineStr">
        <is>
          <t>i/3</t>
        </is>
      </c>
      <c r="I16" s="9">
        <f>F16/3</f>
        <v/>
      </c>
      <c r="J16" s="8" t="n">
        <v>5</v>
      </c>
      <c r="K16" s="12">
        <f>IF(OR(G16="COND",J16="COND"),"COND",IF(AND(G16&gt;=F16,J16&gt;=I16),"CUMPLE","NO CUMPLE"))</f>
        <v/>
      </c>
      <c r="L16" s="13" t="inlineStr">
        <is>
          <t>La superficie abrible declarada iguala a la vidriada: supondria una carpinteria 100% abrible. En el resto de los locales la relacion es del 50%. Verificar.</t>
        </is>
      </c>
    </row>
    <row r="17" ht="17" customHeight="1">
      <c r="A17" s="7" t="inlineStr">
        <is>
          <t>15 - Dormitorio 2</t>
        </is>
      </c>
      <c r="B17" s="8" t="n">
        <v>3.5</v>
      </c>
      <c r="C17" s="8" t="n">
        <v>4.05</v>
      </c>
      <c r="D17" s="9">
        <f>B17*C17</f>
        <v/>
      </c>
      <c r="E17" s="10" t="n">
        <v>9</v>
      </c>
      <c r="F17" s="9">
        <f>D17/E17</f>
        <v/>
      </c>
      <c r="G17" s="8" t="n">
        <v>3.75</v>
      </c>
      <c r="H17" s="11" t="inlineStr">
        <is>
          <t>i/3</t>
        </is>
      </c>
      <c r="I17" s="9">
        <f>F17/3</f>
        <v/>
      </c>
      <c r="J17" s="8" t="n">
        <v>1.88</v>
      </c>
      <c r="K17" s="12">
        <f>IF(OR(G17="COND",J17="COND"),"COND",IF(AND(G17&gt;=F17,J17&gt;=I17),"CUMPLE","NO CUMPLE"))</f>
        <v/>
      </c>
      <c r="L17" s="11" t="n"/>
    </row>
    <row r="18" ht="17" customHeight="1">
      <c r="A18" s="14" t="inlineStr">
        <is>
          <t>17 - Bano</t>
        </is>
      </c>
      <c r="B18" s="15" t="n">
        <v>2.2</v>
      </c>
      <c r="C18" s="15" t="n">
        <v>1.6</v>
      </c>
      <c r="D18" s="16">
        <f>B18*C18</f>
        <v/>
      </c>
      <c r="E18" s="17" t="n">
        <v>9</v>
      </c>
      <c r="F18" s="16">
        <f>D18/E18</f>
        <v/>
      </c>
      <c r="G18" s="15" t="n">
        <v>1.875</v>
      </c>
      <c r="H18" s="18" t="inlineStr">
        <is>
          <t>i/3</t>
        </is>
      </c>
      <c r="I18" s="16">
        <f>F18/3</f>
        <v/>
      </c>
      <c r="J18" s="15" t="n">
        <v>0.9399999999999999</v>
      </c>
      <c r="K18" s="19">
        <f>IF(OR(G18="COND",J18="COND"),"COND",IF(AND(G18&gt;=F18,J18&gt;=I18),"CUMPLE","NO CUMPLE"))</f>
        <v/>
      </c>
      <c r="L18" s="18" t="n"/>
    </row>
  </sheetData>
  <mergeCells count="11">
    <mergeCell ref="E2:G2"/>
    <mergeCell ref="A1:L1"/>
    <mergeCell ref="D2:D3"/>
    <mergeCell ref="A14:L14"/>
    <mergeCell ref="B2:B3"/>
    <mergeCell ref="A2:A3"/>
    <mergeCell ref="H2:J2"/>
    <mergeCell ref="C2:C3"/>
    <mergeCell ref="K2:K3"/>
    <mergeCell ref="A4:L4"/>
    <mergeCell ref="L2:L3"/>
  </mergeCells>
  <conditionalFormatting sqref="K4:K18">
    <cfRule type="cellIs" priority="1" operator="equal" dxfId="0">
      <formula>"CUMPLE"</formula>
    </cfRule>
    <cfRule type="cellIs" priority="2" operator="equal" dxfId="1">
      <formula>"NO CUMPLE"</formula>
    </cfRule>
  </conditionalFormatting>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fitToPage="1"/>
  </sheetPr>
  <dimension ref="A1:AF34"/>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8" customWidth="1" min="3" max="3"/>
    <col width="9" customWidth="1" min="4" max="4"/>
    <col width="32" customWidth="1" min="5" max="5"/>
    <col width="9" customWidth="1" min="6" max="6"/>
    <col width="9" customWidth="1" min="7" max="7"/>
    <col width="12" customWidth="1" min="8" max="8"/>
    <col width="12" customWidth="1" min="9" max="9"/>
    <col width="6" customWidth="1" min="10" max="10"/>
    <col width="6" customWidth="1" min="11" max="11"/>
    <col width="6" customWidth="1" min="12" max="12"/>
    <col width="7" customWidth="1" min="13" max="13"/>
    <col width="5" customWidth="1" min="14" max="14"/>
    <col width="6" customWidth="1" min="15" max="15"/>
    <col width="7" customWidth="1" min="16" max="16"/>
    <col width="5" customWidth="1" min="17" max="17"/>
    <col width="6" customWidth="1" min="18" max="18"/>
    <col width="7" customWidth="1" min="19" max="19"/>
    <col width="7" customWidth="1" min="20" max="20"/>
    <col width="6" customWidth="1" min="21" max="21"/>
    <col width="8" customWidth="1" min="22" max="22"/>
    <col width="15" customWidth="1" min="23" max="23"/>
    <col width="34" customWidth="1" min="24" max="24"/>
    <col width="17" customWidth="1" min="25" max="25"/>
    <col width="11" customWidth="1" min="26" max="26"/>
    <col width="8" customWidth="1" min="27" max="27"/>
    <col width="10" customWidth="1" min="28" max="28"/>
    <col width="10" customWidth="1" min="29" max="29"/>
    <col width="8" customWidth="1" min="30" max="30"/>
    <col width="8" customWidth="1" min="31" max="31"/>
    <col width="7" customWidth="1" min="32" max="32"/>
  </cols>
  <sheetData>
    <row r="1" ht="22" customHeight="1">
      <c r="A1" s="21" t="inlineStr">
        <is>
          <t>VIGAS  H°A°        H-21        ACERO 42/50</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row>
    <row r="2" ht="16" customHeight="1">
      <c r="A2" s="3" t="inlineStr">
        <is>
          <t>NIVEL</t>
        </is>
      </c>
      <c r="B2" s="3" t="inlineStr">
        <is>
          <t>POSICION</t>
        </is>
      </c>
      <c r="C2" s="3" t="inlineStr">
        <is>
          <t>LUZ (m)</t>
        </is>
      </c>
      <c r="D2" s="3" t="inlineStr">
        <is>
          <t>CARGAS (kg/m)</t>
        </is>
      </c>
      <c r="E2" s="4" t="n"/>
      <c r="F2" s="3" t="inlineStr">
        <is>
          <t>REACCIONES</t>
        </is>
      </c>
      <c r="G2" s="4" t="n"/>
      <c r="H2" s="3" t="inlineStr">
        <is>
          <t>MOMENTO TRAMO (kgm)</t>
        </is>
      </c>
      <c r="I2" s="3" t="inlineStr">
        <is>
          <t>MOMENTO APOYO (kgm)</t>
        </is>
      </c>
      <c r="J2" s="3" t="inlineStr">
        <is>
          <t>DIMENSIONES</t>
        </is>
      </c>
      <c r="K2" s="4" t="n"/>
      <c r="L2" s="4" t="n"/>
      <c r="M2" s="3" t="inlineStr">
        <is>
          <t>ARMADURA TRAMO</t>
        </is>
      </c>
      <c r="N2" s="4" t="n"/>
      <c r="O2" s="4" t="n"/>
      <c r="P2" s="3" t="inlineStr">
        <is>
          <t>ARMADURA APOYO</t>
        </is>
      </c>
      <c r="Q2" s="4" t="n"/>
      <c r="R2" s="4" t="n"/>
      <c r="S2" s="3" t="inlineStr">
        <is>
          <t>T (kg/cm2)</t>
        </is>
      </c>
      <c r="T2" s="4" t="n"/>
      <c r="U2" s="4" t="n"/>
      <c r="V2" s="3" t="inlineStr">
        <is>
          <t>ESTRIBOS</t>
        </is>
      </c>
      <c r="W2" s="3" t="inlineStr">
        <is>
          <t>VERIFICACION</t>
        </is>
      </c>
      <c r="X2" s="3" t="inlineStr">
        <is>
          <t>OBSERVACIONES</t>
        </is>
      </c>
      <c r="Y2" s="3" t="inlineStr">
        <is>
          <t>DATOS AUXILIARES</t>
        </is>
      </c>
      <c r="Z2" s="4" t="n"/>
      <c r="AA2" s="4" t="n"/>
      <c r="AB2" s="4" t="n"/>
      <c r="AC2" s="4" t="n"/>
      <c r="AD2" s="4" t="n"/>
      <c r="AE2" s="4" t="n"/>
      <c r="AF2" s="4" t="n"/>
    </row>
    <row r="3" ht="28" customHeight="1">
      <c r="A3" s="4" t="n"/>
      <c r="B3" s="4" t="n"/>
      <c r="C3" s="4" t="n"/>
      <c r="D3" s="5" t="inlineStr">
        <is>
          <t>p</t>
        </is>
      </c>
      <c r="E3" s="5" t="inlineStr">
        <is>
          <t>diagrama</t>
        </is>
      </c>
      <c r="F3" s="5" t="inlineStr">
        <is>
          <t>RA</t>
        </is>
      </c>
      <c r="G3" s="5" t="inlineStr">
        <is>
          <t>RB</t>
        </is>
      </c>
      <c r="H3" s="4" t="n"/>
      <c r="I3" s="4" t="n"/>
      <c r="J3" s="5" t="inlineStr">
        <is>
          <t>b</t>
        </is>
      </c>
      <c r="K3" s="5" t="inlineStr">
        <is>
          <t>h</t>
        </is>
      </c>
      <c r="L3" s="5" t="inlineStr">
        <is>
          <t>d</t>
        </is>
      </c>
      <c r="M3" s="5" t="inlineStr">
        <is>
          <t>cm2</t>
        </is>
      </c>
      <c r="N3" s="5" t="inlineStr">
        <is>
          <t>n</t>
        </is>
      </c>
      <c r="O3" s="5" t="inlineStr">
        <is>
          <t>o</t>
        </is>
      </c>
      <c r="P3" s="5" t="inlineStr">
        <is>
          <t>cm2</t>
        </is>
      </c>
      <c r="Q3" s="5" t="inlineStr">
        <is>
          <t>n</t>
        </is>
      </c>
      <c r="R3" s="5" t="inlineStr">
        <is>
          <t>o</t>
        </is>
      </c>
      <c r="S3" s="5" t="inlineStr">
        <is>
          <t>A</t>
        </is>
      </c>
      <c r="T3" s="5" t="inlineStr">
        <is>
          <t>B</t>
        </is>
      </c>
      <c r="U3" s="5" t="inlineStr">
        <is>
          <t>o</t>
        </is>
      </c>
      <c r="V3" s="5" t="inlineStr">
        <is>
          <t>SEPAR</t>
        </is>
      </c>
      <c r="W3" s="4" t="n"/>
      <c r="X3" s="4" t="n"/>
      <c r="Y3" s="5" t="inlineStr">
        <is>
          <t>esquema</t>
        </is>
      </c>
      <c r="Z3" s="5" t="inlineStr">
        <is>
          <t>tipo</t>
        </is>
      </c>
      <c r="AA3" s="5" t="inlineStr">
        <is>
          <t>hf losa</t>
        </is>
      </c>
      <c r="AB3" s="5" t="inlineStr">
        <is>
          <t>b ef tramo</t>
        </is>
      </c>
      <c r="AC3" s="5" t="inlineStr">
        <is>
          <t>b ef apoyo</t>
        </is>
      </c>
      <c r="AD3" s="5" t="inlineStr">
        <is>
          <t>B trib.</t>
        </is>
      </c>
      <c r="AE3" s="5" t="inlineStr">
        <is>
          <t>h muro</t>
        </is>
      </c>
      <c r="AF3" s="5" t="inlineStr">
        <is>
          <t>rec.</t>
        </is>
      </c>
    </row>
    <row r="4" ht="46" customHeight="1">
      <c r="A4" s="22" t="inlineStr">
        <is>
          <t>PA</t>
        </is>
      </c>
      <c r="B4" s="23" t="inlineStr">
        <is>
          <t>VI 01a</t>
        </is>
      </c>
      <c r="C4" s="8" t="n">
        <v>9.9</v>
      </c>
      <c r="D4" s="24">
        <f>(Datos_vigas!$B$10*(VLOOKUP($A$4,Datos_vigas!$A$14:$E$15,2,0)*AD4+Datos_vigas!$B$7*J4*L4/10000+Datos_vigas!$B$16*AE4)+Datos_vigas!$B$11*VLOOKUP($A$4,Datos_vigas!$A$14:$E$15,3,0)*AD4)</f>
        <v/>
      </c>
      <c r="E4" s="11" t="n"/>
      <c r="F4" s="24">
        <f>VLOOKUP(Y4,Datos_vigas!$A$19:$E$23,4,0)*D4*C4</f>
        <v/>
      </c>
      <c r="G4" s="24">
        <f>F4</f>
        <v/>
      </c>
      <c r="H4" s="24">
        <f>VLOOKUP(Y4,Datos_vigas!$A$19:$E$23,2,0)*D4*C4^2</f>
        <v/>
      </c>
      <c r="I4" s="24">
        <f>IF(VLOOKUP(Y4,Datos_vigas!$A$19:$E$23,3,0)=0,"---",VLOOKUP(Y4,Datos_vigas!$A$19:$E$23,3,0)*D4*C4^2)</f>
        <v/>
      </c>
      <c r="J4" s="10" t="n">
        <v>15</v>
      </c>
      <c r="K4" s="11">
        <f>L4-AF4</f>
        <v/>
      </c>
      <c r="L4" s="10" t="n">
        <v>70</v>
      </c>
      <c r="M4" s="25">
        <f>IF(NOT(ISNUMBER(H4)),"---",IF(H4&lt;=0,"---",IF(H4*100/(Datos_vigas!$B$8*AB4*K4^2*Datos_vigas!$B$5)&gt;=0.5,"REVISAR",MAX((1-SQRT(1-2*H4*100/(Datos_vigas!$B$8*AB4*K4^2*Datos_vigas!$B$5)))*AB4*K4*Datos_vigas!$B$5/Datos_vigas!$B$6,0.0033*J4*K4))))</f>
        <v/>
      </c>
      <c r="N4" s="10" t="n">
        <v>3</v>
      </c>
      <c r="O4" s="10" t="n">
        <v>12</v>
      </c>
      <c r="P4" s="25">
        <f>IF(NOT(ISNUMBER(I4)),"---",IF(I4&lt;=0,"---",IF(I4*100/(Datos_vigas!$B$8*AC4*K4^2*Datos_vigas!$B$5)&gt;=0.5,"REVISAR",MAX((1-SQRT(1-2*I4*100/(Datos_vigas!$B$8*AC4*K4^2*Datos_vigas!$B$5)))*AC4*K4*Datos_vigas!$B$5/Datos_vigas!$B$6,0.0033*J4*K4))))</f>
        <v/>
      </c>
      <c r="Q4" s="10" t="n">
        <v>2</v>
      </c>
      <c r="R4" s="10" t="n">
        <v>20</v>
      </c>
      <c r="S4" s="25">
        <f>F4/(J4*0.85*K4)</f>
        <v/>
      </c>
      <c r="T4" s="25">
        <f>G4/(J4*0.85*K4)</f>
        <v/>
      </c>
      <c r="U4" s="10" t="n">
        <v>6</v>
      </c>
      <c r="V4" s="10" t="n">
        <v>30</v>
      </c>
      <c r="W4" s="11">
        <f>IF(OR(M4="REVISAR",P4="REVISAR"),"SECCION INSUF.",IF(NOT(AND(M4&lt;&gt;"REVISAR",P4&lt;&gt;"REVISAR",IF(ISNUMBER(M4),N4*PI()*(O4/10)^2/4&gt;=M4,TRUE),IF(ISNUMBER(P4),Q4*PI()*(R4/10)^2/4&gt;=P4,TRUE),IF(ISNUMBER(M4),M4&lt;=0.0163*AB4*K4,TRUE),IF(ISNUMBER(P4),P4&lt;=0.0163*AC4*K4,TRUE))),"NO VERIFICA FLEX.",IF(NOT(F4&lt;=Datos_vigas!$B$9*(0.53*SQRT(Datos_vigas!$B$5)*J4*K4+2*PI()*(U4/10)^2/4*Datos_vigas!$B$6*K4/V4)),"NO VERIF. CORTE",IF(NOT(L4&gt;=C4*100/VLOOKUP(Y4,Datos_vigas!$A$19:$E$23,5,0)),"VERIFICAR FLECHA","VERIFICA"))))</f>
        <v/>
      </c>
      <c r="X4" s="13" t="inlineStr">
        <is>
          <t>Viga de borde sobre la medianera: NO recibe losa. Solo peso propio y mamposteria. Apoya en el tabique T01a y en la columna COL 01 de 10x10. Viga de borde: recibe la reaccion de la losa excentrica y queda sometida a TORSION, no verificada en esta planilla.</t>
        </is>
      </c>
      <c r="Y4" s="10" t="inlineStr">
        <is>
          <t>Continua</t>
        </is>
      </c>
      <c r="Z4" s="10" t="inlineStr">
        <is>
          <t>Invertida</t>
        </is>
      </c>
      <c r="AA4" s="10" t="n">
        <v>12</v>
      </c>
      <c r="AB4" s="11">
        <f>IF(Z4="Colgante",MIN(C4*100/4,J4+16*AA4),J4)</f>
        <v/>
      </c>
      <c r="AC4" s="11">
        <f>IF(Z4="Invertida",MIN(C4*100/4,J4+16*AA4),J4)</f>
        <v/>
      </c>
      <c r="AD4" s="10" t="n">
        <v>0</v>
      </c>
      <c r="AE4" s="10" t="n">
        <v>2.6</v>
      </c>
      <c r="AF4" s="10" t="n">
        <v>3</v>
      </c>
    </row>
    <row r="5" ht="46" customHeight="1">
      <c r="A5" s="26" t="n"/>
      <c r="B5" s="23" t="inlineStr">
        <is>
          <t>VI 01b</t>
        </is>
      </c>
      <c r="C5" s="8" t="n">
        <v>3.95</v>
      </c>
      <c r="D5" s="24">
        <f>(Datos_vigas!$B$10*(VLOOKUP($A$4,Datos_vigas!$A$14:$E$15,2,0)*AD5+Datos_vigas!$B$7*J5*L5/10000+Datos_vigas!$B$16*AE5)+Datos_vigas!$B$11*VLOOKUP($A$4,Datos_vigas!$A$14:$E$15,3,0)*AD5)</f>
        <v/>
      </c>
      <c r="E5" s="11" t="n"/>
      <c r="F5" s="24">
        <f>VLOOKUP(Y5,Datos_vigas!$A$19:$E$23,4,0)*D5*C5</f>
        <v/>
      </c>
      <c r="G5" s="24">
        <f>F5</f>
        <v/>
      </c>
      <c r="H5" s="24">
        <f>VLOOKUP(Y5,Datos_vigas!$A$19:$E$23,2,0)*D5*C5^2</f>
        <v/>
      </c>
      <c r="I5" s="24">
        <f>IF(VLOOKUP(Y5,Datos_vigas!$A$19:$E$23,3,0)=0,"---",VLOOKUP(Y5,Datos_vigas!$A$19:$E$23,3,0)*D5*C5^2)</f>
        <v/>
      </c>
      <c r="J5" s="10" t="n">
        <v>15</v>
      </c>
      <c r="K5" s="11">
        <f>L5-AF5</f>
        <v/>
      </c>
      <c r="L5" s="10" t="n">
        <v>70</v>
      </c>
      <c r="M5" s="25">
        <f>IF(NOT(ISNUMBER(H5)),"---",IF(H5&lt;=0,"---",IF(H5*100/(Datos_vigas!$B$8*AB5*K5^2*Datos_vigas!$B$5)&gt;=0.5,"REVISAR",MAX((1-SQRT(1-2*H5*100/(Datos_vigas!$B$8*AB5*K5^2*Datos_vigas!$B$5)))*AB5*K5*Datos_vigas!$B$5/Datos_vigas!$B$6,0.0033*J5*K5))))</f>
        <v/>
      </c>
      <c r="N5" s="10" t="n">
        <v>3</v>
      </c>
      <c r="O5" s="10" t="n">
        <v>12</v>
      </c>
      <c r="P5" s="25">
        <f>IF(NOT(ISNUMBER(I5)),"---",IF(I5&lt;=0,"---",IF(I5*100/(Datos_vigas!$B$8*AC5*K5^2*Datos_vigas!$B$5)&gt;=0.5,"REVISAR",MAX((1-SQRT(1-2*I5*100/(Datos_vigas!$B$8*AC5*K5^2*Datos_vigas!$B$5)))*AC5*K5*Datos_vigas!$B$5/Datos_vigas!$B$6,0.0033*J5*K5))))</f>
        <v/>
      </c>
      <c r="Q5" s="10" t="n">
        <v>3</v>
      </c>
      <c r="R5" s="10" t="n">
        <v>12</v>
      </c>
      <c r="S5" s="25">
        <f>F5/(J5*0.85*K5)</f>
        <v/>
      </c>
      <c r="T5" s="25">
        <f>G5/(J5*0.85*K5)</f>
        <v/>
      </c>
      <c r="U5" s="10" t="n">
        <v>6</v>
      </c>
      <c r="V5" s="10" t="n">
        <v>30</v>
      </c>
      <c r="W5" s="11">
        <f>IF(OR(M5="REVISAR",P5="REVISAR"),"SECCION INSUF.",IF(NOT(AND(M5&lt;&gt;"REVISAR",P5&lt;&gt;"REVISAR",IF(ISNUMBER(M5),N5*PI()*(O5/10)^2/4&gt;=M5,TRUE),IF(ISNUMBER(P5),Q5*PI()*(R5/10)^2/4&gt;=P5,TRUE),IF(ISNUMBER(M5),M5&lt;=0.0163*AB5*K5,TRUE),IF(ISNUMBER(P5),P5&lt;=0.0163*AC5*K5,TRUE))),"NO VERIFICA FLEX.",IF(NOT(F5&lt;=Datos_vigas!$B$9*(0.53*SQRT(Datos_vigas!$B$5)*J5*K5+2*PI()*(U5/10)^2/4*Datos_vigas!$B$6*K5/V5)),"NO VERIF. CORTE",IF(NOT(L5&gt;=C5*100/VLOOKUP(Y5,Datos_vigas!$A$19:$E$23,5,0)),"VERIFICAR FLECHA","VERIFICA"))))</f>
        <v/>
      </c>
      <c r="X5" s="13" t="inlineStr">
        <is>
          <t>Viga de borde: recibe la reaccion de la losa excentrica y queda sometida a TORSION, no verificada en esta planilla.</t>
        </is>
      </c>
      <c r="Y5" s="10" t="inlineStr">
        <is>
          <t>Continua</t>
        </is>
      </c>
      <c r="Z5" s="10" t="inlineStr">
        <is>
          <t>Invertida</t>
        </is>
      </c>
      <c r="AA5" s="10" t="n">
        <v>12</v>
      </c>
      <c r="AB5" s="11">
        <f>IF(Z5="Colgante",MIN(C5*100/4,J5+16*AA5),J5)</f>
        <v/>
      </c>
      <c r="AC5" s="11">
        <f>IF(Z5="Invertida",MIN(C5*100/4,J5+16*AA5),J5)</f>
        <v/>
      </c>
      <c r="AD5" s="10" t="n">
        <v>0</v>
      </c>
      <c r="AE5" s="10" t="n">
        <v>2.6</v>
      </c>
      <c r="AF5" s="10" t="n">
        <v>3</v>
      </c>
    </row>
    <row r="6" ht="46" customHeight="1">
      <c r="A6" s="26" t="n"/>
      <c r="B6" s="23" t="inlineStr">
        <is>
          <t>VI 02</t>
        </is>
      </c>
      <c r="C6" s="8" t="n">
        <v>9.880000000000001</v>
      </c>
      <c r="D6" s="24">
        <f>(Datos_vigas!$B$10*(VLOOKUP($A$4,Datos_vigas!$A$14:$E$15,2,0)*AD6+Datos_vigas!$B$7*J6*L6/10000+Datos_vigas!$B$16*AE6)+Datos_vigas!$B$11*VLOOKUP($A$4,Datos_vigas!$A$14:$E$15,3,0)*AD6)</f>
        <v/>
      </c>
      <c r="E6" s="11" t="n"/>
      <c r="F6" s="24">
        <f>VLOOKUP(Y6,Datos_vigas!$A$19:$E$23,4,0)*D6*C6</f>
        <v/>
      </c>
      <c r="G6" s="24">
        <f>F6</f>
        <v/>
      </c>
      <c r="H6" s="24">
        <f>VLOOKUP(Y6,Datos_vigas!$A$19:$E$23,2,0)*D6*C6^2</f>
        <v/>
      </c>
      <c r="I6" s="24">
        <f>IF(VLOOKUP(Y6,Datos_vigas!$A$19:$E$23,3,0)=0,"---",VLOOKUP(Y6,Datos_vigas!$A$19:$E$23,3,0)*D6*C6^2)</f>
        <v/>
      </c>
      <c r="J6" s="10" t="n">
        <v>15</v>
      </c>
      <c r="K6" s="11">
        <f>L6-AF6</f>
        <v/>
      </c>
      <c r="L6" s="10" t="n">
        <v>70</v>
      </c>
      <c r="M6" s="25">
        <f>IF(NOT(ISNUMBER(H6)),"---",IF(H6&lt;=0,"---",IF(H6*100/(Datos_vigas!$B$8*AB6*K6^2*Datos_vigas!$B$5)&gt;=0.5,"REVISAR",MAX((1-SQRT(1-2*H6*100/(Datos_vigas!$B$8*AB6*K6^2*Datos_vigas!$B$5)))*AB6*K6*Datos_vigas!$B$5/Datos_vigas!$B$6,0.0033*J6*K6))))</f>
        <v/>
      </c>
      <c r="N6" s="10" t="n">
        <v>4</v>
      </c>
      <c r="O6" s="10" t="n">
        <v>20</v>
      </c>
      <c r="P6" s="25">
        <f>IF(NOT(ISNUMBER(I6)),"---",IF(I6&lt;=0,"---",IF(I6*100/(Datos_vigas!$B$8*AC6*K6^2*Datos_vigas!$B$5)&gt;=0.5,"REVISAR",MAX((1-SQRT(1-2*I6*100/(Datos_vigas!$B$8*AC6*K6^2*Datos_vigas!$B$5)))*AC6*K6*Datos_vigas!$B$5/Datos_vigas!$B$6,0.0033*J6*K6))))</f>
        <v/>
      </c>
      <c r="Q6" s="10" t="n">
        <v>4</v>
      </c>
      <c r="R6" s="10" t="n">
        <v>25</v>
      </c>
      <c r="S6" s="25">
        <f>F6/(J6*0.85*K6)</f>
        <v/>
      </c>
      <c r="T6" s="25">
        <f>G6/(J6*0.85*K6)</f>
        <v/>
      </c>
      <c r="U6" s="10" t="n">
        <v>8</v>
      </c>
      <c r="V6" s="10" t="n">
        <v>10</v>
      </c>
      <c r="W6" s="11">
        <f>IF(OR(M6="REVISAR",P6="REVISAR"),"SECCION INSUF.",IF(NOT(AND(M6&lt;&gt;"REVISAR",P6&lt;&gt;"REVISAR",IF(ISNUMBER(M6),N6*PI()*(O6/10)^2/4&gt;=M6,TRUE),IF(ISNUMBER(P6),Q6*PI()*(R6/10)^2/4&gt;=P6,TRUE),IF(ISNUMBER(M6),M6&lt;=0.0163*AB6*K6,TRUE),IF(ISNUMBER(P6),P6&lt;=0.0163*AC6*K6,TRUE))),"NO VERIFICA FLEX.",IF(NOT(F6&lt;=Datos_vigas!$B$9*(0.53*SQRT(Datos_vigas!$B$5)*J6*K6+2*PI()*(U6/10)^2/4*Datos_vigas!$B$6*K6/V6)),"NO VERIF. CORTE",IF(NOT(L6&gt;=C6*100/VLOOKUP(Y6,Datos_vigas!$A$19:$E$23,5,0)),"VERIFICAR FLECHA","VERIFICA"))))</f>
        <v/>
      </c>
      <c r="X6" s="13" t="inlineStr">
        <is>
          <t>Armadura en 2 capas (rec. 6 cm). NO USAR TEXTO VIEJO. Recibe L03 (2,08 m) y el alero L02, computado como 0,59 m equivalentes por tener menor carga que un entrepiso. Con 9,88 m de luz y 15x60 la armadura de apoyo necesaria (25,5 cm2) supera la cuantia maxima (13,2). Apoyos confirmados en obra: tabique T07 perpendicular en el extremo superior y COL 02 en el inferior, sin apoyo intermedio. Para esta carga harian falta 15x75 (As 16,2 cm2). Verificar la seccion real construida.</t>
        </is>
      </c>
      <c r="Y6" s="10" t="inlineStr">
        <is>
          <t>Continua</t>
        </is>
      </c>
      <c r="Z6" s="10" t="inlineStr">
        <is>
          <t>Invertida</t>
        </is>
      </c>
      <c r="AA6" s="10" t="n">
        <v>12</v>
      </c>
      <c r="AB6" s="11">
        <f>IF(Z6="Colgante",MIN(C6*100/4,J6+16*AA6),J6)</f>
        <v/>
      </c>
      <c r="AC6" s="11">
        <f>IF(Z6="Invertida",MIN(C6*100/4,J6+16*AA6),J6)</f>
        <v/>
      </c>
      <c r="AD6" s="10" t="n">
        <v>2.689</v>
      </c>
      <c r="AE6" s="10" t="n">
        <v>2.6</v>
      </c>
      <c r="AF6" s="10" t="n">
        <v>6</v>
      </c>
    </row>
    <row r="7" ht="46" customHeight="1">
      <c r="A7" s="26" t="n"/>
      <c r="B7" s="23" t="inlineStr">
        <is>
          <t>VI 03c</t>
        </is>
      </c>
      <c r="C7" s="8" t="n">
        <v>3.75</v>
      </c>
      <c r="D7" s="24">
        <f>(Datos_vigas!$B$10*(VLOOKUP($A$4,Datos_vigas!$A$14:$E$15,2,0)*AD7+Datos_vigas!$B$7*J7*L7/10000+Datos_vigas!$B$16*AE7)+Datos_vigas!$B$11*VLOOKUP($A$4,Datos_vigas!$A$14:$E$15,3,0)*AD7)</f>
        <v/>
      </c>
      <c r="E7" s="11" t="n"/>
      <c r="F7" s="24">
        <f>VLOOKUP(Y7,Datos_vigas!$A$19:$E$23,4,0)*D7*C7</f>
        <v/>
      </c>
      <c r="G7" s="24">
        <f>F7</f>
        <v/>
      </c>
      <c r="H7" s="24">
        <f>VLOOKUP(Y7,Datos_vigas!$A$19:$E$23,2,0)*D7*C7^2</f>
        <v/>
      </c>
      <c r="I7" s="24">
        <f>IF(VLOOKUP(Y7,Datos_vigas!$A$19:$E$23,3,0)=0,"---",VLOOKUP(Y7,Datos_vigas!$A$19:$E$23,3,0)*D7*C7^2)</f>
        <v/>
      </c>
      <c r="J7" s="10" t="n">
        <v>15</v>
      </c>
      <c r="K7" s="11">
        <f>L7-AF7</f>
        <v/>
      </c>
      <c r="L7" s="10" t="n">
        <v>70</v>
      </c>
      <c r="M7" s="25">
        <f>IF(NOT(ISNUMBER(H7)),"---",IF(H7&lt;=0,"---",IF(H7*100/(Datos_vigas!$B$8*AB7*K7^2*Datos_vigas!$B$5)&gt;=0.5,"REVISAR",MAX((1-SQRT(1-2*H7*100/(Datos_vigas!$B$8*AB7*K7^2*Datos_vigas!$B$5)))*AB7*K7*Datos_vigas!$B$5/Datos_vigas!$B$6,0.0033*J7*K7))))</f>
        <v/>
      </c>
      <c r="N7" s="10" t="n">
        <v>3</v>
      </c>
      <c r="O7" s="10" t="n">
        <v>12</v>
      </c>
      <c r="P7" s="25">
        <f>IF(NOT(ISNUMBER(I7)),"---",IF(I7&lt;=0,"---",IF(I7*100/(Datos_vigas!$B$8*AC7*K7^2*Datos_vigas!$B$5)&gt;=0.5,"REVISAR",MAX((1-SQRT(1-2*I7*100/(Datos_vigas!$B$8*AC7*K7^2*Datos_vigas!$B$5)))*AC7*K7*Datos_vigas!$B$5/Datos_vigas!$B$6,0.0033*J7*K7))))</f>
        <v/>
      </c>
      <c r="Q7" s="10" t="n">
        <v>3</v>
      </c>
      <c r="R7" s="10" t="n">
        <v>12</v>
      </c>
      <c r="S7" s="25">
        <f>F7/(J7*0.85*K7)</f>
        <v/>
      </c>
      <c r="T7" s="25">
        <f>G7/(J7*0.85*K7)</f>
        <v/>
      </c>
      <c r="U7" s="10" t="n">
        <v>6</v>
      </c>
      <c r="V7" s="10" t="n">
        <v>30</v>
      </c>
      <c r="W7" s="11">
        <f>IF(OR(M7="REVISAR",P7="REVISAR"),"SECCION INSUF.",IF(NOT(AND(M7&lt;&gt;"REVISAR",P7&lt;&gt;"REVISAR",IF(ISNUMBER(M7),N7*PI()*(O7/10)^2/4&gt;=M7,TRUE),IF(ISNUMBER(P7),Q7*PI()*(R7/10)^2/4&gt;=P7,TRUE),IF(ISNUMBER(M7),M7&lt;=0.0163*AB7*K7,TRUE),IF(ISNUMBER(P7),P7&lt;=0.0163*AC7*K7,TRUE))),"NO VERIFICA FLEX.",IF(NOT(F7&lt;=Datos_vigas!$B$9*(0.53*SQRT(Datos_vigas!$B$5)*J7*K7+2*PI()*(U7/10)^2/4*Datos_vigas!$B$6*K7/V7)),"NO VERIF. CORTE",IF(NOT(L7&gt;=C7*100/VLOOKUP(Y7,Datos_vigas!$A$19:$E$23,5,0)),"VERIFICAR FLECHA","VERIFICA"))))</f>
        <v/>
      </c>
      <c r="X7" s="11" t="n"/>
      <c r="Y7" s="10" t="inlineStr">
        <is>
          <t>Continua</t>
        </is>
      </c>
      <c r="Z7" s="10" t="inlineStr">
        <is>
          <t>Invertida</t>
        </is>
      </c>
      <c r="AA7" s="10" t="n">
        <v>12</v>
      </c>
      <c r="AB7" s="11">
        <f>IF(Z7="Colgante",MIN(C7*100/4,J7+16*AA7),J7)</f>
        <v/>
      </c>
      <c r="AC7" s="11">
        <f>IF(Z7="Invertida",MIN(C7*100/4,J7+16*AA7),J7)</f>
        <v/>
      </c>
      <c r="AD7" s="10" t="n">
        <v>2.1</v>
      </c>
      <c r="AE7" s="10" t="n">
        <v>2.6</v>
      </c>
      <c r="AF7" s="10" t="n">
        <v>3</v>
      </c>
    </row>
    <row r="8" ht="46" customHeight="1">
      <c r="A8" s="26" t="n"/>
      <c r="B8" s="23" t="inlineStr">
        <is>
          <t>VI 04a</t>
        </is>
      </c>
      <c r="C8" s="8" t="n">
        <v>3.75</v>
      </c>
      <c r="D8" s="24">
        <f>(Datos_vigas!$B$10*(VLOOKUP($A$4,Datos_vigas!$A$14:$E$15,2,0)*AD8+Datos_vigas!$B$7*J8*L8/10000+Datos_vigas!$B$16*AE8)+Datos_vigas!$B$11*VLOOKUP($A$4,Datos_vigas!$A$14:$E$15,3,0)*AD8)</f>
        <v/>
      </c>
      <c r="E8" s="11" t="n"/>
      <c r="F8" s="24">
        <f>VLOOKUP(Y8,Datos_vigas!$A$19:$E$23,4,0)*D8*C8</f>
        <v/>
      </c>
      <c r="G8" s="24">
        <f>F8</f>
        <v/>
      </c>
      <c r="H8" s="24">
        <f>VLOOKUP(Y8,Datos_vigas!$A$19:$E$23,2,0)*D8*C8^2</f>
        <v/>
      </c>
      <c r="I8" s="24">
        <f>IF(VLOOKUP(Y8,Datos_vigas!$A$19:$E$23,3,0)=0,"---",VLOOKUP(Y8,Datos_vigas!$A$19:$E$23,3,0)*D8*C8^2)</f>
        <v/>
      </c>
      <c r="J8" s="10" t="n">
        <v>15</v>
      </c>
      <c r="K8" s="11">
        <f>L8-AF8</f>
        <v/>
      </c>
      <c r="L8" s="10" t="n">
        <v>70</v>
      </c>
      <c r="M8" s="25">
        <f>IF(NOT(ISNUMBER(H8)),"---",IF(H8&lt;=0,"---",IF(H8*100/(Datos_vigas!$B$8*AB8*K8^2*Datos_vigas!$B$5)&gt;=0.5,"REVISAR",MAX((1-SQRT(1-2*H8*100/(Datos_vigas!$B$8*AB8*K8^2*Datos_vigas!$B$5)))*AB8*K8*Datos_vigas!$B$5/Datos_vigas!$B$6,0.0033*J8*K8))))</f>
        <v/>
      </c>
      <c r="N8" s="10" t="n">
        <v>3</v>
      </c>
      <c r="O8" s="10" t="n">
        <v>12</v>
      </c>
      <c r="P8" s="25">
        <f>IF(NOT(ISNUMBER(I8)),"---",IF(I8&lt;=0,"---",IF(I8*100/(Datos_vigas!$B$8*AC8*K8^2*Datos_vigas!$B$5)&gt;=0.5,"REVISAR",MAX((1-SQRT(1-2*I8*100/(Datos_vigas!$B$8*AC8*K8^2*Datos_vigas!$B$5)))*AC8*K8*Datos_vigas!$B$5/Datos_vigas!$B$6,0.0033*J8*K8))))</f>
        <v/>
      </c>
      <c r="Q8" s="10" t="n">
        <v>3</v>
      </c>
      <c r="R8" s="10" t="n">
        <v>12</v>
      </c>
      <c r="S8" s="25">
        <f>F8/(J8*0.85*K8)</f>
        <v/>
      </c>
      <c r="T8" s="25">
        <f>G8/(J8*0.85*K8)</f>
        <v/>
      </c>
      <c r="U8" s="10" t="n">
        <v>6</v>
      </c>
      <c r="V8" s="10" t="n">
        <v>30</v>
      </c>
      <c r="W8" s="11">
        <f>IF(OR(M8="REVISAR",P8="REVISAR"),"SECCION INSUF.",IF(NOT(AND(M8&lt;&gt;"REVISAR",P8&lt;&gt;"REVISAR",IF(ISNUMBER(M8),N8*PI()*(O8/10)^2/4&gt;=M8,TRUE),IF(ISNUMBER(P8),Q8*PI()*(R8/10)^2/4&gt;=P8,TRUE),IF(ISNUMBER(M8),M8&lt;=0.0163*AB8*K8,TRUE),IF(ISNUMBER(P8),P8&lt;=0.0163*AC8*K8,TRUE))),"NO VERIFICA FLEX.",IF(NOT(F8&lt;=Datos_vigas!$B$9*(0.53*SQRT(Datos_vigas!$B$5)*J8*K8+2*PI()*(U8/10)^2/4*Datos_vigas!$B$6*K8/V8)),"NO VERIF. CORTE",IF(NOT(L8&gt;=C8*100/VLOOKUP(Y8,Datos_vigas!$A$19:$E$23,5,0)),"VERIFICAR FLECHA","VERIFICA"))))</f>
        <v/>
      </c>
      <c r="X8" s="11" t="n"/>
      <c r="Y8" s="10" t="inlineStr">
        <is>
          <t>Continua</t>
        </is>
      </c>
      <c r="Z8" s="10" t="inlineStr">
        <is>
          <t>Invertida</t>
        </is>
      </c>
      <c r="AA8" s="10" t="n">
        <v>12</v>
      </c>
      <c r="AB8" s="11">
        <f>IF(Z8="Colgante",MIN(C8*100/4,J8+16*AA8),J8)</f>
        <v/>
      </c>
      <c r="AC8" s="11">
        <f>IF(Z8="Invertida",MIN(C8*100/4,J8+16*AA8),J8)</f>
        <v/>
      </c>
      <c r="AD8" s="10" t="n">
        <v>0</v>
      </c>
      <c r="AE8" s="10" t="n">
        <v>2.6</v>
      </c>
      <c r="AF8" s="10" t="n">
        <v>3</v>
      </c>
    </row>
    <row r="9" ht="46" customHeight="1">
      <c r="A9" s="26" t="n"/>
      <c r="B9" s="23" t="inlineStr">
        <is>
          <t>VI 04b</t>
        </is>
      </c>
      <c r="C9" s="8" t="n">
        <v>3.8</v>
      </c>
      <c r="D9" s="24">
        <f>(Datos_vigas!$B$10*(VLOOKUP($A$4,Datos_vigas!$A$14:$E$15,2,0)*AD9+Datos_vigas!$B$7*J9*L9/10000+Datos_vigas!$B$16*AE9)+Datos_vigas!$B$11*VLOOKUP($A$4,Datos_vigas!$A$14:$E$15,3,0)*AD9)</f>
        <v/>
      </c>
      <c r="E9" s="11" t="n"/>
      <c r="F9" s="24">
        <f>VLOOKUP(Y9,Datos_vigas!$A$19:$E$23,4,0)*D9*C9</f>
        <v/>
      </c>
      <c r="G9" s="24">
        <f>F9</f>
        <v/>
      </c>
      <c r="H9" s="24">
        <f>VLOOKUP(Y9,Datos_vigas!$A$19:$E$23,2,0)*D9*C9^2</f>
        <v/>
      </c>
      <c r="I9" s="24">
        <f>IF(VLOOKUP(Y9,Datos_vigas!$A$19:$E$23,3,0)=0,"---",VLOOKUP(Y9,Datos_vigas!$A$19:$E$23,3,0)*D9*C9^2)</f>
        <v/>
      </c>
      <c r="J9" s="10" t="n">
        <v>15</v>
      </c>
      <c r="K9" s="11">
        <f>L9-AF9</f>
        <v/>
      </c>
      <c r="L9" s="10" t="n">
        <v>70</v>
      </c>
      <c r="M9" s="25">
        <f>IF(NOT(ISNUMBER(H9)),"---",IF(H9&lt;=0,"---",IF(H9*100/(Datos_vigas!$B$8*AB9*K9^2*Datos_vigas!$B$5)&gt;=0.5,"REVISAR",MAX((1-SQRT(1-2*H9*100/(Datos_vigas!$B$8*AB9*K9^2*Datos_vigas!$B$5)))*AB9*K9*Datos_vigas!$B$5/Datos_vigas!$B$6,0.0033*J9*K9))))</f>
        <v/>
      </c>
      <c r="N9" s="10" t="n">
        <v>3</v>
      </c>
      <c r="O9" s="10" t="n">
        <v>12</v>
      </c>
      <c r="P9" s="25">
        <f>IF(NOT(ISNUMBER(I9)),"---",IF(I9&lt;=0,"---",IF(I9*100/(Datos_vigas!$B$8*AC9*K9^2*Datos_vigas!$B$5)&gt;=0.5,"REVISAR",MAX((1-SQRT(1-2*I9*100/(Datos_vigas!$B$8*AC9*K9^2*Datos_vigas!$B$5)))*AC9*K9*Datos_vigas!$B$5/Datos_vigas!$B$6,0.0033*J9*K9))))</f>
        <v/>
      </c>
      <c r="Q9" s="10" t="n">
        <v>3</v>
      </c>
      <c r="R9" s="10" t="n">
        <v>12</v>
      </c>
      <c r="S9" s="25">
        <f>F9/(J9*0.85*K9)</f>
        <v/>
      </c>
      <c r="T9" s="25">
        <f>G9/(J9*0.85*K9)</f>
        <v/>
      </c>
      <c r="U9" s="10" t="n">
        <v>6</v>
      </c>
      <c r="V9" s="10" t="n">
        <v>30</v>
      </c>
      <c r="W9" s="11">
        <f>IF(OR(M9="REVISAR",P9="REVISAR"),"SECCION INSUF.",IF(NOT(AND(M9&lt;&gt;"REVISAR",P9&lt;&gt;"REVISAR",IF(ISNUMBER(M9),N9*PI()*(O9/10)^2/4&gt;=M9,TRUE),IF(ISNUMBER(P9),Q9*PI()*(R9/10)^2/4&gt;=P9,TRUE),IF(ISNUMBER(M9),M9&lt;=0.0163*AB9*K9,TRUE),IF(ISNUMBER(P9),P9&lt;=0.0163*AC9*K9,TRUE))),"NO VERIFICA FLEX.",IF(NOT(F9&lt;=Datos_vigas!$B$9*(0.53*SQRT(Datos_vigas!$B$5)*J9*K9+2*PI()*(U9/10)^2/4*Datos_vigas!$B$6*K9/V9)),"NO VERIF. CORTE",IF(NOT(L9&gt;=C9*100/VLOOKUP(Y9,Datos_vigas!$A$19:$E$23,5,0)),"VERIFICAR FLECHA","VERIFICA"))))</f>
        <v/>
      </c>
      <c r="X9" s="11" t="n"/>
      <c r="Y9" s="10" t="inlineStr">
        <is>
          <t>Continua</t>
        </is>
      </c>
      <c r="Z9" s="10" t="inlineStr">
        <is>
          <t>Invertida</t>
        </is>
      </c>
      <c r="AA9" s="10" t="n">
        <v>12</v>
      </c>
      <c r="AB9" s="11">
        <f>IF(Z9="Colgante",MIN(C9*100/4,J9+16*AA9),J9)</f>
        <v/>
      </c>
      <c r="AC9" s="11">
        <f>IF(Z9="Invertida",MIN(C9*100/4,J9+16*AA9),J9)</f>
        <v/>
      </c>
      <c r="AD9" s="10" t="n">
        <v>1.549</v>
      </c>
      <c r="AE9" s="10" t="n">
        <v>2.6</v>
      </c>
      <c r="AF9" s="10" t="n">
        <v>3</v>
      </c>
    </row>
    <row r="10" ht="46" customHeight="1">
      <c r="A10" s="26" t="n"/>
      <c r="B10" s="23" t="inlineStr">
        <is>
          <t>VI 06</t>
        </is>
      </c>
      <c r="C10" s="8" t="n">
        <v>6.53</v>
      </c>
      <c r="D10" s="24">
        <f>(Datos_vigas!$B$10*(VLOOKUP($A$4,Datos_vigas!$A$14:$E$15,2,0)*AD10+Datos_vigas!$B$7*J10*L10/10000+Datos_vigas!$B$16*AE10)+Datos_vigas!$B$11*VLOOKUP($A$4,Datos_vigas!$A$14:$E$15,3,0)*AD10)</f>
        <v/>
      </c>
      <c r="E10" s="11" t="n"/>
      <c r="F10" s="24">
        <f>VLOOKUP(Y10,Datos_vigas!$A$19:$E$23,4,0)*D10*C10</f>
        <v/>
      </c>
      <c r="G10" s="24">
        <f>F10</f>
        <v/>
      </c>
      <c r="H10" s="24">
        <f>VLOOKUP(Y10,Datos_vigas!$A$19:$E$23,2,0)*D10*C10^2</f>
        <v/>
      </c>
      <c r="I10" s="24">
        <f>IF(VLOOKUP(Y10,Datos_vigas!$A$19:$E$23,3,0)=0,"---",VLOOKUP(Y10,Datos_vigas!$A$19:$E$23,3,0)*D10*C10^2)</f>
        <v/>
      </c>
      <c r="J10" s="10" t="n">
        <v>15</v>
      </c>
      <c r="K10" s="11">
        <f>L10-AF10</f>
        <v/>
      </c>
      <c r="L10" s="10" t="n">
        <v>70</v>
      </c>
      <c r="M10" s="25">
        <f>IF(NOT(ISNUMBER(H10)),"---",IF(H10&lt;=0,"---",IF(H10*100/(Datos_vigas!$B$8*AB10*K10^2*Datos_vigas!$B$5)&gt;=0.5,"REVISAR",MAX((1-SQRT(1-2*H10*100/(Datos_vigas!$B$8*AB10*K10^2*Datos_vigas!$B$5)))*AB10*K10*Datos_vigas!$B$5/Datos_vigas!$B$6,0.0033*J10*K10))))</f>
        <v/>
      </c>
      <c r="N10" s="10" t="n">
        <v>3</v>
      </c>
      <c r="O10" s="10" t="n">
        <v>12</v>
      </c>
      <c r="P10" s="25">
        <f>IF(NOT(ISNUMBER(I10)),"---",IF(I10&lt;=0,"---",IF(I10*100/(Datos_vigas!$B$8*AC10*K10^2*Datos_vigas!$B$5)&gt;=0.5,"REVISAR",MAX((1-SQRT(1-2*I10*100/(Datos_vigas!$B$8*AC10*K10^2*Datos_vigas!$B$5)))*AC10*K10*Datos_vigas!$B$5/Datos_vigas!$B$6,0.0033*J10*K10))))</f>
        <v/>
      </c>
      <c r="Q10" s="10" t="n">
        <v>2</v>
      </c>
      <c r="R10" s="10" t="n">
        <v>20</v>
      </c>
      <c r="S10" s="25">
        <f>F10/(J10*0.85*K10)</f>
        <v/>
      </c>
      <c r="T10" s="25">
        <f>G10/(J10*0.85*K10)</f>
        <v/>
      </c>
      <c r="U10" s="10" t="n">
        <v>6</v>
      </c>
      <c r="V10" s="10" t="n">
        <v>30</v>
      </c>
      <c r="W10" s="11">
        <f>IF(OR(M10="REVISAR",P10="REVISAR"),"SECCION INSUF.",IF(NOT(AND(M10&lt;&gt;"REVISAR",P10&lt;&gt;"REVISAR",IF(ISNUMBER(M10),N10*PI()*(O10/10)^2/4&gt;=M10,TRUE),IF(ISNUMBER(P10),Q10*PI()*(R10/10)^2/4&gt;=P10,TRUE),IF(ISNUMBER(M10),M10&lt;=0.0163*AB10*K10,TRUE),IF(ISNUMBER(P10),P10&lt;=0.0163*AC10*K10,TRUE))),"NO VERIFICA FLEX.",IF(NOT(F10&lt;=Datos_vigas!$B$9*(0.53*SQRT(Datos_vigas!$B$5)*J10*K10+2*PI()*(U10/10)^2/4*Datos_vigas!$B$6*K10/V10)),"NO VERIF. CORTE",IF(NOT(L10&gt;=C10*100/VLOOKUP(Y10,Datos_vigas!$A$19:$E$23,5,0)),"VERIFICAR FLECHA","VERIFICA"))))</f>
        <v/>
      </c>
      <c r="X10" s="13" t="inlineStr">
        <is>
          <t>Longitud total 14,00 m. Sobre su eje hay cuatro columnas: trabaja como viga continua de tres tramos de 4,10, 4,32 y 6,53 m. Se calcula con el mayor. Es el cuarto borde de la losa cruzada L07. Longitud total 14,00 m. Sobre su eje hay cuatro columnas: trabaja como viga continua de tres tramos de 4,10, 4,32 y 6,53 m. Se calcula con el mayor. Es el cuarto borde de la losa cruzada L07.</t>
        </is>
      </c>
      <c r="Y10" s="10" t="inlineStr">
        <is>
          <t>Continua</t>
        </is>
      </c>
      <c r="Z10" s="10" t="inlineStr">
        <is>
          <t>Invertida</t>
        </is>
      </c>
      <c r="AA10" s="10" t="n">
        <v>12</v>
      </c>
      <c r="AB10" s="11">
        <f>IF(Z10="Colgante",MIN(C10*100/4,J10+16*AA10),J10)</f>
        <v/>
      </c>
      <c r="AC10" s="11">
        <f>IF(Z10="Invertida",MIN(C10*100/4,J10+16*AA10),J10)</f>
        <v/>
      </c>
      <c r="AD10" s="10" t="n">
        <v>1.549</v>
      </c>
      <c r="AE10" s="10" t="n">
        <v>2.6</v>
      </c>
      <c r="AF10" s="10" t="n">
        <v>3</v>
      </c>
    </row>
    <row r="11" ht="46" customHeight="1">
      <c r="A11" s="26" t="n"/>
      <c r="B11" s="23" t="inlineStr">
        <is>
          <t>VI 07a</t>
        </is>
      </c>
      <c r="C11" s="8" t="n">
        <v>3.37</v>
      </c>
      <c r="D11" s="24">
        <f>(Datos_vigas!$B$10*(VLOOKUP($A$4,Datos_vigas!$A$14:$E$15,2,0)*AD11+Datos_vigas!$B$7*J11*L11/10000+Datos_vigas!$B$16*AE11)+Datos_vigas!$B$11*VLOOKUP($A$4,Datos_vigas!$A$14:$E$15,3,0)*AD11)</f>
        <v/>
      </c>
      <c r="E11" s="11" t="n"/>
      <c r="F11" s="24">
        <f>VLOOKUP(Y11,Datos_vigas!$A$19:$E$23,4,0)*D11*C11</f>
        <v/>
      </c>
      <c r="G11" s="24">
        <f>F11</f>
        <v/>
      </c>
      <c r="H11" s="24">
        <f>VLOOKUP(Y11,Datos_vigas!$A$19:$E$23,2,0)*D11*C11^2</f>
        <v/>
      </c>
      <c r="I11" s="24">
        <f>IF(VLOOKUP(Y11,Datos_vigas!$A$19:$E$23,3,0)=0,"---",VLOOKUP(Y11,Datos_vigas!$A$19:$E$23,3,0)*D11*C11^2)</f>
        <v/>
      </c>
      <c r="J11" s="10" t="n">
        <v>15</v>
      </c>
      <c r="K11" s="11">
        <f>L11-AF11</f>
        <v/>
      </c>
      <c r="L11" s="10" t="n">
        <v>70</v>
      </c>
      <c r="M11" s="25">
        <f>IF(NOT(ISNUMBER(H11)),"---",IF(H11&lt;=0,"---",IF(H11*100/(Datos_vigas!$B$8*AB11*K11^2*Datos_vigas!$B$5)&gt;=0.5,"REVISAR",MAX((1-SQRT(1-2*H11*100/(Datos_vigas!$B$8*AB11*K11^2*Datos_vigas!$B$5)))*AB11*K11*Datos_vigas!$B$5/Datos_vigas!$B$6,0.0033*J11*K11))))</f>
        <v/>
      </c>
      <c r="N11" s="10" t="n">
        <v>3</v>
      </c>
      <c r="O11" s="10" t="n">
        <v>12</v>
      </c>
      <c r="P11" s="25">
        <f>IF(NOT(ISNUMBER(I11)),"---",IF(I11&lt;=0,"---",IF(I11*100/(Datos_vigas!$B$8*AC11*K11^2*Datos_vigas!$B$5)&gt;=0.5,"REVISAR",MAX((1-SQRT(1-2*I11*100/(Datos_vigas!$B$8*AC11*K11^2*Datos_vigas!$B$5)))*AC11*K11*Datos_vigas!$B$5/Datos_vigas!$B$6,0.0033*J11*K11))))</f>
        <v/>
      </c>
      <c r="Q11" s="10" t="n">
        <v>3</v>
      </c>
      <c r="R11" s="10" t="n">
        <v>12</v>
      </c>
      <c r="S11" s="25">
        <f>F11/(J11*0.85*K11)</f>
        <v/>
      </c>
      <c r="T11" s="25">
        <f>G11/(J11*0.85*K11)</f>
        <v/>
      </c>
      <c r="U11" s="10" t="n">
        <v>6</v>
      </c>
      <c r="V11" s="10" t="n">
        <v>30</v>
      </c>
      <c r="W11" s="11">
        <f>IF(OR(M11="REVISAR",P11="REVISAR"),"SECCION INSUF.",IF(NOT(AND(M11&lt;&gt;"REVISAR",P11&lt;&gt;"REVISAR",IF(ISNUMBER(M11),N11*PI()*(O11/10)^2/4&gt;=M11,TRUE),IF(ISNUMBER(P11),Q11*PI()*(R11/10)^2/4&gt;=P11,TRUE),IF(ISNUMBER(M11),M11&lt;=0.0163*AB11*K11,TRUE),IF(ISNUMBER(P11),P11&lt;=0.0163*AC11*K11,TRUE))),"NO VERIFICA FLEX.",IF(NOT(F11&lt;=Datos_vigas!$B$9*(0.53*SQRT(Datos_vigas!$B$5)*J11*K11+2*PI()*(U11/10)^2/4*Datos_vigas!$B$6*K11/V11)),"NO VERIF. CORTE",IF(NOT(L11&gt;=C11*100/VLOOKUP(Y11,Datos_vigas!$A$19:$E$23,5,0)),"VERIFICAR FLECHA","VERIFICA"))))</f>
        <v/>
      </c>
      <c r="X11" s="13" t="inlineStr">
        <is>
          <t>Viga de borde: recibe la reaccion de la losa excentrica y queda sometida a TORSION, no verificada en esta planilla.</t>
        </is>
      </c>
      <c r="Y11" s="10" t="inlineStr">
        <is>
          <t>Continua</t>
        </is>
      </c>
      <c r="Z11" s="10" t="inlineStr">
        <is>
          <t>Invertida</t>
        </is>
      </c>
      <c r="AA11" s="10" t="n">
        <v>12</v>
      </c>
      <c r="AB11" s="11">
        <f>IF(Z11="Colgante",MIN(C11*100/4,J11+16*AA11),J11)</f>
        <v/>
      </c>
      <c r="AC11" s="11">
        <f>IF(Z11="Invertida",MIN(C11*100/4,J11+16*AA11),J11)</f>
        <v/>
      </c>
      <c r="AD11" s="10" t="n">
        <v>0.78</v>
      </c>
      <c r="AE11" s="10" t="n">
        <v>2.6</v>
      </c>
      <c r="AF11" s="10" t="n">
        <v>3</v>
      </c>
    </row>
    <row r="12" ht="46" customHeight="1">
      <c r="A12" s="26" t="n"/>
      <c r="B12" s="23" t="inlineStr">
        <is>
          <t>VI 07b</t>
        </is>
      </c>
      <c r="C12" s="8" t="n">
        <v>4.03</v>
      </c>
      <c r="D12" s="24">
        <f>(Datos_vigas!$B$10*(VLOOKUP($A$4,Datos_vigas!$A$14:$E$15,2,0)*AD12+Datos_vigas!$B$7*J12*L12/10000+Datos_vigas!$B$16*AE12)+Datos_vigas!$B$11*VLOOKUP($A$4,Datos_vigas!$A$14:$E$15,3,0)*AD12)</f>
        <v/>
      </c>
      <c r="E12" s="11" t="n"/>
      <c r="F12" s="24">
        <f>VLOOKUP(Y12,Datos_vigas!$A$19:$E$23,4,0)*D12*C12</f>
        <v/>
      </c>
      <c r="G12" s="24">
        <f>F12</f>
        <v/>
      </c>
      <c r="H12" s="24">
        <f>VLOOKUP(Y12,Datos_vigas!$A$19:$E$23,2,0)*D12*C12^2</f>
        <v/>
      </c>
      <c r="I12" s="24">
        <f>IF(VLOOKUP(Y12,Datos_vigas!$A$19:$E$23,3,0)=0,"---",VLOOKUP(Y12,Datos_vigas!$A$19:$E$23,3,0)*D12*C12^2)</f>
        <v/>
      </c>
      <c r="J12" s="10" t="n">
        <v>15</v>
      </c>
      <c r="K12" s="11">
        <f>L12-AF12</f>
        <v/>
      </c>
      <c r="L12" s="10" t="n">
        <v>70</v>
      </c>
      <c r="M12" s="25">
        <f>IF(NOT(ISNUMBER(H12)),"---",IF(H12&lt;=0,"---",IF(H12*100/(Datos_vigas!$B$8*AB12*K12^2*Datos_vigas!$B$5)&gt;=0.5,"REVISAR",MAX((1-SQRT(1-2*H12*100/(Datos_vigas!$B$8*AB12*K12^2*Datos_vigas!$B$5)))*AB12*K12*Datos_vigas!$B$5/Datos_vigas!$B$6,0.0033*J12*K12))))</f>
        <v/>
      </c>
      <c r="N12" s="10" t="n">
        <v>3</v>
      </c>
      <c r="O12" s="10" t="n">
        <v>12</v>
      </c>
      <c r="P12" s="25">
        <f>IF(NOT(ISNUMBER(I12)),"---",IF(I12&lt;=0,"---",IF(I12*100/(Datos_vigas!$B$8*AC12*K12^2*Datos_vigas!$B$5)&gt;=0.5,"REVISAR",MAX((1-SQRT(1-2*I12*100/(Datos_vigas!$B$8*AC12*K12^2*Datos_vigas!$B$5)))*AC12*K12*Datos_vigas!$B$5/Datos_vigas!$B$6,0.0033*J12*K12))))</f>
        <v/>
      </c>
      <c r="Q12" s="10" t="n">
        <v>3</v>
      </c>
      <c r="R12" s="10" t="n">
        <v>12</v>
      </c>
      <c r="S12" s="25">
        <f>F12/(J12*0.85*K12)</f>
        <v/>
      </c>
      <c r="T12" s="25">
        <f>G12/(J12*0.85*K12)</f>
        <v/>
      </c>
      <c r="U12" s="10" t="n">
        <v>6</v>
      </c>
      <c r="V12" s="10" t="n">
        <v>30</v>
      </c>
      <c r="W12" s="11">
        <f>IF(OR(M12="REVISAR",P12="REVISAR"),"SECCION INSUF.",IF(NOT(AND(M12&lt;&gt;"REVISAR",P12&lt;&gt;"REVISAR",IF(ISNUMBER(M12),N12*PI()*(O12/10)^2/4&gt;=M12,TRUE),IF(ISNUMBER(P12),Q12*PI()*(R12/10)^2/4&gt;=P12,TRUE),IF(ISNUMBER(M12),M12&lt;=0.0163*AB12*K12,TRUE),IF(ISNUMBER(P12),P12&lt;=0.0163*AC12*K12,TRUE))),"NO VERIFICA FLEX.",IF(NOT(F12&lt;=Datos_vigas!$B$9*(0.53*SQRT(Datos_vigas!$B$5)*J12*K12+2*PI()*(U12/10)^2/4*Datos_vigas!$B$6*K12/V12)),"NO VERIF. CORTE",IF(NOT(L12&gt;=C12*100/VLOOKUP(Y12,Datos_vigas!$A$19:$E$23,5,0)),"VERIFICAR FLECHA","VERIFICA"))))</f>
        <v/>
      </c>
      <c r="X12" s="13" t="inlineStr">
        <is>
          <t>Viga de borde: recibe la reaccion de la losa excentrica y queda sometida a TORSION, no verificada en esta planilla.</t>
        </is>
      </c>
      <c r="Y12" s="10" t="inlineStr">
        <is>
          <t>Continua</t>
        </is>
      </c>
      <c r="Z12" s="10" t="inlineStr">
        <is>
          <t>Invertida</t>
        </is>
      </c>
      <c r="AA12" s="10" t="n">
        <v>12</v>
      </c>
      <c r="AB12" s="11">
        <f>IF(Z12="Colgante",MIN(C12*100/4,J12+16*AA12),J12)</f>
        <v/>
      </c>
      <c r="AC12" s="11">
        <f>IF(Z12="Invertida",MIN(C12*100/4,J12+16*AA12),J12)</f>
        <v/>
      </c>
      <c r="AD12" s="10" t="n">
        <v>0</v>
      </c>
      <c r="AE12" s="10" t="n">
        <v>2.6</v>
      </c>
      <c r="AF12" s="10" t="n">
        <v>3</v>
      </c>
    </row>
    <row r="13" ht="46" customHeight="1">
      <c r="A13" s="26" t="n"/>
      <c r="B13" s="23" t="inlineStr">
        <is>
          <t>VI 07c</t>
        </is>
      </c>
      <c r="C13" s="8" t="n">
        <v>8.6</v>
      </c>
      <c r="D13" s="24">
        <f>(Datos_vigas!$B$10*(VLOOKUP($A$4,Datos_vigas!$A$14:$E$15,2,0)*AD13+Datos_vigas!$B$7*J13*L13/10000+Datos_vigas!$B$16*AE13)+Datos_vigas!$B$11*VLOOKUP($A$4,Datos_vigas!$A$14:$E$15,3,0)*AD13)</f>
        <v/>
      </c>
      <c r="E13" s="11" t="n"/>
      <c r="F13" s="24">
        <f>VLOOKUP(Y13,Datos_vigas!$A$19:$E$23,4,0)*D13*C13</f>
        <v/>
      </c>
      <c r="G13" s="24">
        <f>F13</f>
        <v/>
      </c>
      <c r="H13" s="24">
        <f>VLOOKUP(Y13,Datos_vigas!$A$19:$E$23,2,0)*D13*C13^2</f>
        <v/>
      </c>
      <c r="I13" s="24">
        <f>IF(VLOOKUP(Y13,Datos_vigas!$A$19:$E$23,3,0)=0,"---",VLOOKUP(Y13,Datos_vigas!$A$19:$E$23,3,0)*D13*C13^2)</f>
        <v/>
      </c>
      <c r="J13" s="10" t="n">
        <v>15</v>
      </c>
      <c r="K13" s="11">
        <f>L13-AF13</f>
        <v/>
      </c>
      <c r="L13" s="10" t="n">
        <v>70</v>
      </c>
      <c r="M13" s="25">
        <f>IF(NOT(ISNUMBER(H13)),"---",IF(H13&lt;=0,"---",IF(H13*100/(Datos_vigas!$B$8*AB13*K13^2*Datos_vigas!$B$5)&gt;=0.5,"REVISAR",MAX((1-SQRT(1-2*H13*100/(Datos_vigas!$B$8*AB13*K13^2*Datos_vigas!$B$5)))*AB13*K13*Datos_vigas!$B$5/Datos_vigas!$B$6,0.0033*J13*K13))))</f>
        <v/>
      </c>
      <c r="N13" s="10" t="n">
        <v>4</v>
      </c>
      <c r="O13" s="10" t="n">
        <v>20</v>
      </c>
      <c r="P13" s="25">
        <f>IF(NOT(ISNUMBER(I13)),"---",IF(I13&lt;=0,"---",IF(I13*100/(Datos_vigas!$B$8*AC13*K13^2*Datos_vigas!$B$5)&gt;=0.5,"REVISAR",MAX((1-SQRT(1-2*I13*100/(Datos_vigas!$B$8*AC13*K13^2*Datos_vigas!$B$5)))*AC13*K13*Datos_vigas!$B$5/Datos_vigas!$B$6,0.0033*J13*K13))))</f>
        <v/>
      </c>
      <c r="Q13" s="10" t="n">
        <v>4</v>
      </c>
      <c r="R13" s="10" t="n">
        <v>25</v>
      </c>
      <c r="S13" s="25">
        <f>F13/(J13*0.85*K13)</f>
        <v/>
      </c>
      <c r="T13" s="25">
        <f>G13/(J13*0.85*K13)</f>
        <v/>
      </c>
      <c r="U13" s="10" t="n">
        <v>8</v>
      </c>
      <c r="V13" s="10" t="n">
        <v>10</v>
      </c>
      <c r="W13" s="11">
        <f>IF(OR(M13="REVISAR",P13="REVISAR"),"SECCION INSUF.",IF(NOT(AND(M13&lt;&gt;"REVISAR",P13&lt;&gt;"REVISAR",IF(ISNUMBER(M13),N13*PI()*(O13/10)^2/4&gt;=M13,TRUE),IF(ISNUMBER(P13),Q13*PI()*(R13/10)^2/4&gt;=P13,TRUE),IF(ISNUMBER(M13),M13&lt;=0.0163*AB13*K13,TRUE),IF(ISNUMBER(P13),P13&lt;=0.0163*AC13*K13,TRUE))),"NO VERIFICA FLEX.",IF(NOT(F13&lt;=Datos_vigas!$B$9*(0.53*SQRT(Datos_vigas!$B$5)*J13*K13+2*PI()*(U13/10)^2/4*Datos_vigas!$B$6*K13/V13)),"NO VERIF. CORTE",IF(NOT(L13&gt;=C13*100/VLOOKUP(Y13,Datos_vigas!$A$19:$E$23,5,0)),"VERIFICAR FLECHA","VERIFICA"))))</f>
        <v/>
      </c>
      <c r="X13" s="13" t="inlineStr">
        <is>
          <t>Armadura en 2 capas (rec. 6 cm). Apoya en columna COL 02 de 15x30 y en el tabique T05b. Viga de borde: recibe la reaccion de la losa excentrica y queda sometida a TORSION, no verificada en esta planilla.</t>
        </is>
      </c>
      <c r="Y13" s="10" t="inlineStr">
        <is>
          <t>Empotrada-apoyada</t>
        </is>
      </c>
      <c r="Z13" s="10" t="inlineStr">
        <is>
          <t>Invertida</t>
        </is>
      </c>
      <c r="AA13" s="10" t="n">
        <v>12</v>
      </c>
      <c r="AB13" s="11">
        <f>IF(Z13="Colgante",MIN(C13*100/4,J13+16*AA13),J13)</f>
        <v/>
      </c>
      <c r="AC13" s="11">
        <f>IF(Z13="Invertida",MIN(C13*100/4,J13+16*AA13),J13)</f>
        <v/>
      </c>
      <c r="AD13" s="10" t="n">
        <v>3.71</v>
      </c>
      <c r="AE13" s="10" t="n">
        <v>2.6</v>
      </c>
      <c r="AF13" s="10" t="n">
        <v>6</v>
      </c>
    </row>
    <row r="14" ht="46" customHeight="1">
      <c r="A14" s="26" t="n"/>
      <c r="B14" s="23" t="inlineStr">
        <is>
          <t>VI 08a</t>
        </is>
      </c>
      <c r="C14" s="8" t="n">
        <v>3.65</v>
      </c>
      <c r="D14" s="24">
        <f>(Datos_vigas!$B$10*(VLOOKUP($A$4,Datos_vigas!$A$14:$E$15,2,0)*AD14+Datos_vigas!$B$7*J14*L14/10000+Datos_vigas!$B$16*AE14)+Datos_vigas!$B$11*VLOOKUP($A$4,Datos_vigas!$A$14:$E$15,3,0)*AD14)</f>
        <v/>
      </c>
      <c r="E14" s="11" t="n"/>
      <c r="F14" s="24">
        <f>VLOOKUP(Y14,Datos_vigas!$A$19:$E$23,4,0)*D14*C14</f>
        <v/>
      </c>
      <c r="G14" s="24">
        <f>F14</f>
        <v/>
      </c>
      <c r="H14" s="24">
        <f>VLOOKUP(Y14,Datos_vigas!$A$19:$E$23,2,0)*D14*C14^2</f>
        <v/>
      </c>
      <c r="I14" s="24">
        <f>IF(VLOOKUP(Y14,Datos_vigas!$A$19:$E$23,3,0)=0,"---",VLOOKUP(Y14,Datos_vigas!$A$19:$E$23,3,0)*D14*C14^2)</f>
        <v/>
      </c>
      <c r="J14" s="10" t="n">
        <v>15</v>
      </c>
      <c r="K14" s="11">
        <f>L14-AF14</f>
        <v/>
      </c>
      <c r="L14" s="10" t="n">
        <v>70</v>
      </c>
      <c r="M14" s="25">
        <f>IF(NOT(ISNUMBER(H14)),"---",IF(H14&lt;=0,"---",IF(H14*100/(Datos_vigas!$B$8*AB14*K14^2*Datos_vigas!$B$5)&gt;=0.5,"REVISAR",MAX((1-SQRT(1-2*H14*100/(Datos_vigas!$B$8*AB14*K14^2*Datos_vigas!$B$5)))*AB14*K14*Datos_vigas!$B$5/Datos_vigas!$B$6,0.0033*J14*K14))))</f>
        <v/>
      </c>
      <c r="N14" s="10" t="n">
        <v>3</v>
      </c>
      <c r="O14" s="10" t="n">
        <v>12</v>
      </c>
      <c r="P14" s="25">
        <f>IF(NOT(ISNUMBER(I14)),"---",IF(I14&lt;=0,"---",IF(I14*100/(Datos_vigas!$B$8*AC14*K14^2*Datos_vigas!$B$5)&gt;=0.5,"REVISAR",MAX((1-SQRT(1-2*I14*100/(Datos_vigas!$B$8*AC14*K14^2*Datos_vigas!$B$5)))*AC14*K14*Datos_vigas!$B$5/Datos_vigas!$B$6,0.0033*J14*K14))))</f>
        <v/>
      </c>
      <c r="Q14" s="10" t="n">
        <v>3</v>
      </c>
      <c r="R14" s="10" t="n">
        <v>12</v>
      </c>
      <c r="S14" s="25">
        <f>F14/(J14*0.85*K14)</f>
        <v/>
      </c>
      <c r="T14" s="25">
        <f>G14/(J14*0.85*K14)</f>
        <v/>
      </c>
      <c r="U14" s="10" t="n">
        <v>6</v>
      </c>
      <c r="V14" s="10" t="n">
        <v>30</v>
      </c>
      <c r="W14" s="11">
        <f>IF(OR(M14="REVISAR",P14="REVISAR"),"SECCION INSUF.",IF(NOT(AND(M14&lt;&gt;"REVISAR",P14&lt;&gt;"REVISAR",IF(ISNUMBER(M14),N14*PI()*(O14/10)^2/4&gt;=M14,TRUE),IF(ISNUMBER(P14),Q14*PI()*(R14/10)^2/4&gt;=P14,TRUE),IF(ISNUMBER(M14),M14&lt;=0.0163*AB14*K14,TRUE),IF(ISNUMBER(P14),P14&lt;=0.0163*AC14*K14,TRUE))),"NO VERIFICA FLEX.",IF(NOT(F14&lt;=Datos_vigas!$B$9*(0.53*SQRT(Datos_vigas!$B$5)*J14*K14+2*PI()*(U14/10)^2/4*Datos_vigas!$B$6*K14/V14)),"NO VERIF. CORTE",IF(NOT(L14&gt;=C14*100/VLOOKUP(Y14,Datos_vigas!$A$19:$E$23,5,0)),"VERIFICAR FLECHA","VERIFICA"))))</f>
        <v/>
      </c>
      <c r="X14" s="11" t="n"/>
      <c r="Y14" s="10" t="inlineStr">
        <is>
          <t>Continua</t>
        </is>
      </c>
      <c r="Z14" s="10" t="inlineStr">
        <is>
          <t>Invertida</t>
        </is>
      </c>
      <c r="AA14" s="10" t="n">
        <v>12</v>
      </c>
      <c r="AB14" s="11">
        <f>IF(Z14="Colgante",MIN(C14*100/4,J14+16*AA14),J14)</f>
        <v/>
      </c>
      <c r="AC14" s="11">
        <f>IF(Z14="Invertida",MIN(C14*100/4,J14+16*AA14),J14)</f>
        <v/>
      </c>
      <c r="AD14" s="10" t="n">
        <v>1.065</v>
      </c>
      <c r="AE14" s="10" t="n">
        <v>2.6</v>
      </c>
      <c r="AF14" s="10" t="n">
        <v>3</v>
      </c>
    </row>
    <row r="15" ht="46" customHeight="1">
      <c r="A15" s="26" t="n"/>
      <c r="B15" s="23" t="inlineStr">
        <is>
          <t>VI 08b</t>
        </is>
      </c>
      <c r="C15" s="8" t="n">
        <v>4.87</v>
      </c>
      <c r="D15" s="24">
        <f>(Datos_vigas!$B$10*(VLOOKUP($A$4,Datos_vigas!$A$14:$E$15,2,0)*AD15+Datos_vigas!$B$7*J15*L15/10000+Datos_vigas!$B$16*AE15)+Datos_vigas!$B$11*VLOOKUP($A$4,Datos_vigas!$A$14:$E$15,3,0)*AD15)</f>
        <v/>
      </c>
      <c r="E15" s="11" t="n"/>
      <c r="F15" s="24">
        <f>VLOOKUP(Y15,Datos_vigas!$A$19:$E$23,4,0)*D15*C15</f>
        <v/>
      </c>
      <c r="G15" s="24">
        <f>F15</f>
        <v/>
      </c>
      <c r="H15" s="24">
        <f>VLOOKUP(Y15,Datos_vigas!$A$19:$E$23,2,0)*D15*C15^2</f>
        <v/>
      </c>
      <c r="I15" s="24">
        <f>IF(VLOOKUP(Y15,Datos_vigas!$A$19:$E$23,3,0)=0,"---",VLOOKUP(Y15,Datos_vigas!$A$19:$E$23,3,0)*D15*C15^2)</f>
        <v/>
      </c>
      <c r="J15" s="10" t="n">
        <v>15</v>
      </c>
      <c r="K15" s="11">
        <f>L15-AF15</f>
        <v/>
      </c>
      <c r="L15" s="10" t="n">
        <v>70</v>
      </c>
      <c r="M15" s="25">
        <f>IF(NOT(ISNUMBER(H15)),"---",IF(H15&lt;=0,"---",IF(H15*100/(Datos_vigas!$B$8*AB15*K15^2*Datos_vigas!$B$5)&gt;=0.5,"REVISAR",MAX((1-SQRT(1-2*H15*100/(Datos_vigas!$B$8*AB15*K15^2*Datos_vigas!$B$5)))*AB15*K15*Datos_vigas!$B$5/Datos_vigas!$B$6,0.0033*J15*K15))))</f>
        <v/>
      </c>
      <c r="N15" s="10" t="n">
        <v>3</v>
      </c>
      <c r="O15" s="10" t="n">
        <v>12</v>
      </c>
      <c r="P15" s="25">
        <f>IF(NOT(ISNUMBER(I15)),"---",IF(I15&lt;=0,"---",IF(I15*100/(Datos_vigas!$B$8*AC15*K15^2*Datos_vigas!$B$5)&gt;=0.5,"REVISAR",MAX((1-SQRT(1-2*I15*100/(Datos_vigas!$B$8*AC15*K15^2*Datos_vigas!$B$5)))*AC15*K15*Datos_vigas!$B$5/Datos_vigas!$B$6,0.0033*J15*K15))))</f>
        <v/>
      </c>
      <c r="Q15" s="10" t="n">
        <v>3</v>
      </c>
      <c r="R15" s="10" t="n">
        <v>12</v>
      </c>
      <c r="S15" s="25">
        <f>F15/(J15*0.85*K15)</f>
        <v/>
      </c>
      <c r="T15" s="25">
        <f>G15/(J15*0.85*K15)</f>
        <v/>
      </c>
      <c r="U15" s="10" t="n">
        <v>6</v>
      </c>
      <c r="V15" s="10" t="n">
        <v>30</v>
      </c>
      <c r="W15" s="11">
        <f>IF(OR(M15="REVISAR",P15="REVISAR"),"SECCION INSUF.",IF(NOT(AND(M15&lt;&gt;"REVISAR",P15&lt;&gt;"REVISAR",IF(ISNUMBER(M15),N15*PI()*(O15/10)^2/4&gt;=M15,TRUE),IF(ISNUMBER(P15),Q15*PI()*(R15/10)^2/4&gt;=P15,TRUE),IF(ISNUMBER(M15),M15&lt;=0.0163*AB15*K15,TRUE),IF(ISNUMBER(P15),P15&lt;=0.0163*AC15*K15,TRUE))),"NO VERIFICA FLEX.",IF(NOT(F15&lt;=Datos_vigas!$B$9*(0.53*SQRT(Datos_vigas!$B$5)*J15*K15+2*PI()*(U15/10)^2/4*Datos_vigas!$B$6*K15/V15)),"NO VERIF. CORTE",IF(NOT(L15&gt;=C15*100/VLOOKUP(Y15,Datos_vigas!$A$19:$E$23,5,0)),"VERIFICAR FLECHA","VERIFICA"))))</f>
        <v/>
      </c>
      <c r="X15" s="11" t="n"/>
      <c r="Y15" s="10" t="inlineStr">
        <is>
          <t>Continua</t>
        </is>
      </c>
      <c r="Z15" s="10" t="inlineStr">
        <is>
          <t>Invertida</t>
        </is>
      </c>
      <c r="AA15" s="10" t="n">
        <v>12</v>
      </c>
      <c r="AB15" s="11">
        <f>IF(Z15="Colgante",MIN(C15*100/4,J15+16*AA15),J15)</f>
        <v/>
      </c>
      <c r="AC15" s="11">
        <f>IF(Z15="Invertida",MIN(C15*100/4,J15+16*AA15),J15)</f>
        <v/>
      </c>
      <c r="AD15" s="10" t="n">
        <v>1.065</v>
      </c>
      <c r="AE15" s="10" t="n">
        <v>2.6</v>
      </c>
      <c r="AF15" s="10" t="n">
        <v>3</v>
      </c>
    </row>
    <row r="16" ht="46" customHeight="1">
      <c r="A16" s="26" t="n"/>
      <c r="B16" s="23" t="inlineStr">
        <is>
          <t>VI 09</t>
        </is>
      </c>
      <c r="C16" s="8" t="n">
        <v>4.87</v>
      </c>
      <c r="D16" s="24">
        <f>(Datos_vigas!$B$10*(VLOOKUP($A$4,Datos_vigas!$A$14:$E$15,2,0)*AD16+Datos_vigas!$B$7*J16*L16/10000+Datos_vigas!$B$16*AE16)+Datos_vigas!$B$11*VLOOKUP($A$4,Datos_vigas!$A$14:$E$15,3,0)*AD16)</f>
        <v/>
      </c>
      <c r="E16" s="11" t="n"/>
      <c r="F16" s="24">
        <f>VLOOKUP(Y16,Datos_vigas!$A$19:$E$23,4,0)*D16*C16</f>
        <v/>
      </c>
      <c r="G16" s="24">
        <f>F16</f>
        <v/>
      </c>
      <c r="H16" s="24">
        <f>VLOOKUP(Y16,Datos_vigas!$A$19:$E$23,2,0)*D16*C16^2</f>
        <v/>
      </c>
      <c r="I16" s="24">
        <f>IF(VLOOKUP(Y16,Datos_vigas!$A$19:$E$23,3,0)=0,"---",VLOOKUP(Y16,Datos_vigas!$A$19:$E$23,3,0)*D16*C16^2)</f>
        <v/>
      </c>
      <c r="J16" s="10" t="n">
        <v>15</v>
      </c>
      <c r="K16" s="11">
        <f>L16-AF16</f>
        <v/>
      </c>
      <c r="L16" s="10" t="n">
        <v>70</v>
      </c>
      <c r="M16" s="25">
        <f>IF(NOT(ISNUMBER(H16)),"---",IF(H16&lt;=0,"---",IF(H16*100/(Datos_vigas!$B$8*AB16*K16^2*Datos_vigas!$B$5)&gt;=0.5,"REVISAR",MAX((1-SQRT(1-2*H16*100/(Datos_vigas!$B$8*AB16*K16^2*Datos_vigas!$B$5)))*AB16*K16*Datos_vigas!$B$5/Datos_vigas!$B$6,0.0033*J16*K16))))</f>
        <v/>
      </c>
      <c r="N16" s="10" t="n">
        <v>3</v>
      </c>
      <c r="O16" s="10" t="n">
        <v>12</v>
      </c>
      <c r="P16" s="25">
        <f>IF(NOT(ISNUMBER(I16)),"---",IF(I16&lt;=0,"---",IF(I16*100/(Datos_vigas!$B$8*AC16*K16^2*Datos_vigas!$B$5)&gt;=0.5,"REVISAR",MAX((1-SQRT(1-2*I16*100/(Datos_vigas!$B$8*AC16*K16^2*Datos_vigas!$B$5)))*AC16*K16*Datos_vigas!$B$5/Datos_vigas!$B$6,0.0033*J16*K16))))</f>
        <v/>
      </c>
      <c r="Q16" s="10" t="inlineStr">
        <is>
          <t>---</t>
        </is>
      </c>
      <c r="R16" s="10" t="inlineStr">
        <is>
          <t>---</t>
        </is>
      </c>
      <c r="S16" s="25">
        <f>F16/(J16*0.85*K16)</f>
        <v/>
      </c>
      <c r="T16" s="25">
        <f>G16/(J16*0.85*K16)</f>
        <v/>
      </c>
      <c r="U16" s="10" t="n">
        <v>6</v>
      </c>
      <c r="V16" s="10" t="n">
        <v>30</v>
      </c>
      <c r="W16" s="11">
        <f>IF(OR(M16="REVISAR",P16="REVISAR"),"SECCION INSUF.",IF(NOT(AND(M16&lt;&gt;"REVISAR",P16&lt;&gt;"REVISAR",IF(ISNUMBER(M16),N16*PI()*(O16/10)^2/4&gt;=M16,TRUE),IF(ISNUMBER(P16),Q16*PI()*(R16/10)^2/4&gt;=P16,TRUE),IF(ISNUMBER(M16),M16&lt;=0.0163*AB16*K16,TRUE),IF(ISNUMBER(P16),P16&lt;=0.0163*AC16*K16,TRUE))),"NO VERIFICA FLEX.",IF(NOT(F16&lt;=Datos_vigas!$B$9*(0.53*SQRT(Datos_vigas!$B$5)*J16*K16+2*PI()*(U16/10)^2/4*Datos_vigas!$B$6*K16/V16)),"NO VERIF. CORTE",IF(NOT(L16&gt;=C16*100/VLOOKUP(Y16,Datos_vigas!$A$19:$E$23,5,0)),"VERIFICAR FLECHA","VERIFICA"))))</f>
        <v/>
      </c>
      <c r="X16" s="11" t="n"/>
      <c r="Y16" s="10" t="inlineStr">
        <is>
          <t>Simplemente apoyada</t>
        </is>
      </c>
      <c r="Z16" s="10" t="inlineStr">
        <is>
          <t>Invertida</t>
        </is>
      </c>
      <c r="AA16" s="10" t="n">
        <v>12</v>
      </c>
      <c r="AB16" s="11">
        <f>IF(Z16="Colgante",MIN(C16*100/4,J16+16*AA16),J16)</f>
        <v/>
      </c>
      <c r="AC16" s="11">
        <f>IF(Z16="Invertida",MIN(C16*100/4,J16+16*AA16),J16)</f>
        <v/>
      </c>
      <c r="AD16" s="10" t="n">
        <v>1.549</v>
      </c>
      <c r="AE16" s="10" t="n">
        <v>2.6</v>
      </c>
      <c r="AF16" s="10" t="n">
        <v>3</v>
      </c>
    </row>
    <row r="17" ht="46" customHeight="1">
      <c r="A17" s="26" t="n"/>
      <c r="B17" s="23" t="inlineStr">
        <is>
          <t>VI 10a</t>
        </is>
      </c>
      <c r="C17" s="8" t="n">
        <v>2.55</v>
      </c>
      <c r="D17" s="24">
        <f>(Datos_vigas!$B$10*(VLOOKUP($A$4,Datos_vigas!$A$14:$E$15,2,0)*AD17+Datos_vigas!$B$7*J17*L17/10000+Datos_vigas!$B$16*AE17)+Datos_vigas!$B$11*VLOOKUP($A$4,Datos_vigas!$A$14:$E$15,3,0)*AD17)</f>
        <v/>
      </c>
      <c r="E17" s="11" t="n"/>
      <c r="F17" s="24">
        <f>VLOOKUP(Y17,Datos_vigas!$A$19:$E$23,4,0)*D17*C17</f>
        <v/>
      </c>
      <c r="G17" s="24">
        <f>F17</f>
        <v/>
      </c>
      <c r="H17" s="24">
        <f>VLOOKUP(Y17,Datos_vigas!$A$19:$E$23,2,0)*D17*C17^2</f>
        <v/>
      </c>
      <c r="I17" s="24">
        <f>IF(VLOOKUP(Y17,Datos_vigas!$A$19:$E$23,3,0)=0,"---",VLOOKUP(Y17,Datos_vigas!$A$19:$E$23,3,0)*D17*C17^2)</f>
        <v/>
      </c>
      <c r="J17" s="10" t="n">
        <v>15</v>
      </c>
      <c r="K17" s="11">
        <f>L17-AF17</f>
        <v/>
      </c>
      <c r="L17" s="10" t="n">
        <v>70</v>
      </c>
      <c r="M17" s="25">
        <f>IF(NOT(ISNUMBER(H17)),"---",IF(H17&lt;=0,"---",IF(H17*100/(Datos_vigas!$B$8*AB17*K17^2*Datos_vigas!$B$5)&gt;=0.5,"REVISAR",MAX((1-SQRT(1-2*H17*100/(Datos_vigas!$B$8*AB17*K17^2*Datos_vigas!$B$5)))*AB17*K17*Datos_vigas!$B$5/Datos_vigas!$B$6,0.0033*J17*K17))))</f>
        <v/>
      </c>
      <c r="N17" s="10" t="n">
        <v>3</v>
      </c>
      <c r="O17" s="10" t="n">
        <v>12</v>
      </c>
      <c r="P17" s="25">
        <f>IF(NOT(ISNUMBER(I17)),"---",IF(I17&lt;=0,"---",IF(I17*100/(Datos_vigas!$B$8*AC17*K17^2*Datos_vigas!$B$5)&gt;=0.5,"REVISAR",MAX((1-SQRT(1-2*I17*100/(Datos_vigas!$B$8*AC17*K17^2*Datos_vigas!$B$5)))*AC17*K17*Datos_vigas!$B$5/Datos_vigas!$B$6,0.0033*J17*K17))))</f>
        <v/>
      </c>
      <c r="Q17" s="10" t="n">
        <v>3</v>
      </c>
      <c r="R17" s="10" t="n">
        <v>12</v>
      </c>
      <c r="S17" s="25">
        <f>F17/(J17*0.85*K17)</f>
        <v/>
      </c>
      <c r="T17" s="25">
        <f>G17/(J17*0.85*K17)</f>
        <v/>
      </c>
      <c r="U17" s="10" t="n">
        <v>6</v>
      </c>
      <c r="V17" s="10" t="n">
        <v>30</v>
      </c>
      <c r="W17" s="11">
        <f>IF(OR(M17="REVISAR",P17="REVISAR"),"SECCION INSUF.",IF(NOT(AND(M17&lt;&gt;"REVISAR",P17&lt;&gt;"REVISAR",IF(ISNUMBER(M17),N17*PI()*(O17/10)^2/4&gt;=M17,TRUE),IF(ISNUMBER(P17),Q17*PI()*(R17/10)^2/4&gt;=P17,TRUE),IF(ISNUMBER(M17),M17&lt;=0.0163*AB17*K17,TRUE),IF(ISNUMBER(P17),P17&lt;=0.0163*AC17*K17,TRUE))),"NO VERIFICA FLEX.",IF(NOT(F17&lt;=Datos_vigas!$B$9*(0.53*SQRT(Datos_vigas!$B$5)*J17*K17+2*PI()*(U17/10)^2/4*Datos_vigas!$B$6*K17/V17)),"NO VERIF. CORTE",IF(NOT(L17&gt;=C17*100/VLOOKUP(Y17,Datos_vigas!$A$19:$E$23,5,0)),"VERIFICAR FLECHA","VERIFICA"))))</f>
        <v/>
      </c>
      <c r="X17" s="11" t="n"/>
      <c r="Y17" s="10" t="inlineStr">
        <is>
          <t>Continua</t>
        </is>
      </c>
      <c r="Z17" s="10" t="inlineStr">
        <is>
          <t>Invertida</t>
        </is>
      </c>
      <c r="AA17" s="10" t="n">
        <v>12</v>
      </c>
      <c r="AB17" s="11">
        <f>IF(Z17="Colgante",MIN(C17*100/4,J17+16*AA17),J17)</f>
        <v/>
      </c>
      <c r="AC17" s="11">
        <f>IF(Z17="Invertida",MIN(C17*100/4,J17+16*AA17),J17)</f>
        <v/>
      </c>
      <c r="AD17" s="10" t="n">
        <v>0</v>
      </c>
      <c r="AE17" s="10" t="n">
        <v>2.6</v>
      </c>
      <c r="AF17" s="10" t="n">
        <v>3</v>
      </c>
    </row>
    <row r="18" ht="46" customHeight="1">
      <c r="A18" s="26" t="n"/>
      <c r="B18" s="23" t="inlineStr">
        <is>
          <t>VI 10b</t>
        </is>
      </c>
      <c r="C18" s="8" t="n">
        <v>4</v>
      </c>
      <c r="D18" s="24">
        <f>(Datos_vigas!$B$10*(VLOOKUP($A$4,Datos_vigas!$A$14:$E$15,2,0)*AD18+Datos_vigas!$B$7*J18*L18/10000+Datos_vigas!$B$16*AE18)+Datos_vigas!$B$11*VLOOKUP($A$4,Datos_vigas!$A$14:$E$15,3,0)*AD18)</f>
        <v/>
      </c>
      <c r="E18" s="11" t="n"/>
      <c r="F18" s="24">
        <f>VLOOKUP(Y18,Datos_vigas!$A$19:$E$23,4,0)*D18*C18</f>
        <v/>
      </c>
      <c r="G18" s="24">
        <f>F18</f>
        <v/>
      </c>
      <c r="H18" s="24">
        <f>VLOOKUP(Y18,Datos_vigas!$A$19:$E$23,2,0)*D18*C18^2</f>
        <v/>
      </c>
      <c r="I18" s="24">
        <f>IF(VLOOKUP(Y18,Datos_vigas!$A$19:$E$23,3,0)=0,"---",VLOOKUP(Y18,Datos_vigas!$A$19:$E$23,3,0)*D18*C18^2)</f>
        <v/>
      </c>
      <c r="J18" s="10" t="n">
        <v>15</v>
      </c>
      <c r="K18" s="11">
        <f>L18-AF18</f>
        <v/>
      </c>
      <c r="L18" s="10" t="n">
        <v>70</v>
      </c>
      <c r="M18" s="25">
        <f>IF(NOT(ISNUMBER(H18)),"---",IF(H18&lt;=0,"---",IF(H18*100/(Datos_vigas!$B$8*AB18*K18^2*Datos_vigas!$B$5)&gt;=0.5,"REVISAR",MAX((1-SQRT(1-2*H18*100/(Datos_vigas!$B$8*AB18*K18^2*Datos_vigas!$B$5)))*AB18*K18*Datos_vigas!$B$5/Datos_vigas!$B$6,0.0033*J18*K18))))</f>
        <v/>
      </c>
      <c r="N18" s="10" t="n">
        <v>3</v>
      </c>
      <c r="O18" s="10" t="n">
        <v>12</v>
      </c>
      <c r="P18" s="25">
        <f>IF(NOT(ISNUMBER(I18)),"---",IF(I18&lt;=0,"---",IF(I18*100/(Datos_vigas!$B$8*AC18*K18^2*Datos_vigas!$B$5)&gt;=0.5,"REVISAR",MAX((1-SQRT(1-2*I18*100/(Datos_vigas!$B$8*AC18*K18^2*Datos_vigas!$B$5)))*AC18*K18*Datos_vigas!$B$5/Datos_vigas!$B$6,0.0033*J18*K18))))</f>
        <v/>
      </c>
      <c r="Q18" s="10" t="n">
        <v>3</v>
      </c>
      <c r="R18" s="10" t="n">
        <v>12</v>
      </c>
      <c r="S18" s="25">
        <f>F18/(J18*0.85*K18)</f>
        <v/>
      </c>
      <c r="T18" s="25">
        <f>G18/(J18*0.85*K18)</f>
        <v/>
      </c>
      <c r="U18" s="10" t="n">
        <v>6</v>
      </c>
      <c r="V18" s="10" t="n">
        <v>30</v>
      </c>
      <c r="W18" s="11">
        <f>IF(OR(M18="REVISAR",P18="REVISAR"),"SECCION INSUF.",IF(NOT(AND(M18&lt;&gt;"REVISAR",P18&lt;&gt;"REVISAR",IF(ISNUMBER(M18),N18*PI()*(O18/10)^2/4&gt;=M18,TRUE),IF(ISNUMBER(P18),Q18*PI()*(R18/10)^2/4&gt;=P18,TRUE),IF(ISNUMBER(M18),M18&lt;=0.0163*AB18*K18,TRUE),IF(ISNUMBER(P18),P18&lt;=0.0163*AC18*K18,TRUE))),"NO VERIFICA FLEX.",IF(NOT(F18&lt;=Datos_vigas!$B$9*(0.53*SQRT(Datos_vigas!$B$5)*J18*K18+2*PI()*(U18/10)^2/4*Datos_vigas!$B$6*K18/V18)),"NO VERIF. CORTE",IF(NOT(L18&gt;=C18*100/VLOOKUP(Y18,Datos_vigas!$A$19:$E$23,5,0)),"VERIFICAR FLECHA","VERIFICA"))))</f>
        <v/>
      </c>
      <c r="X18" s="11" t="n"/>
      <c r="Y18" s="10" t="inlineStr">
        <is>
          <t>Continua</t>
        </is>
      </c>
      <c r="Z18" s="10" t="inlineStr">
        <is>
          <t>Invertida</t>
        </is>
      </c>
      <c r="AA18" s="10" t="n">
        <v>12</v>
      </c>
      <c r="AB18" s="11">
        <f>IF(Z18="Colgante",MIN(C18*100/4,J18+16*AA18),J18)</f>
        <v/>
      </c>
      <c r="AC18" s="11">
        <f>IF(Z18="Invertida",MIN(C18*100/4,J18+16*AA18),J18)</f>
        <v/>
      </c>
      <c r="AD18" s="10" t="n">
        <v>1.825</v>
      </c>
      <c r="AE18" s="10" t="n">
        <v>2.6</v>
      </c>
      <c r="AF18" s="10" t="n">
        <v>3</v>
      </c>
    </row>
    <row r="19" ht="46" customHeight="1">
      <c r="A19" s="26" t="n"/>
      <c r="B19" s="23" t="inlineStr">
        <is>
          <t>VI 10c</t>
        </is>
      </c>
      <c r="C19" s="8" t="n">
        <v>3.6</v>
      </c>
      <c r="D19" s="24">
        <f>(Datos_vigas!$B$10*(VLOOKUP($A$4,Datos_vigas!$A$14:$E$15,2,0)*AD19+Datos_vigas!$B$7*J19*L19/10000+Datos_vigas!$B$16*AE19)+Datos_vigas!$B$11*VLOOKUP($A$4,Datos_vigas!$A$14:$E$15,3,0)*AD19)</f>
        <v/>
      </c>
      <c r="E19" s="11" t="n"/>
      <c r="F19" s="24">
        <f>VLOOKUP(Y19,Datos_vigas!$A$19:$E$23,4,0)*D19*C19</f>
        <v/>
      </c>
      <c r="G19" s="24">
        <f>F19</f>
        <v/>
      </c>
      <c r="H19" s="24">
        <f>VLOOKUP(Y19,Datos_vigas!$A$19:$E$23,2,0)*D19*C19^2</f>
        <v/>
      </c>
      <c r="I19" s="24">
        <f>IF(VLOOKUP(Y19,Datos_vigas!$A$19:$E$23,3,0)=0,"---",VLOOKUP(Y19,Datos_vigas!$A$19:$E$23,3,0)*D19*C19^2)</f>
        <v/>
      </c>
      <c r="J19" s="10" t="n">
        <v>15</v>
      </c>
      <c r="K19" s="11">
        <f>L19-AF19</f>
        <v/>
      </c>
      <c r="L19" s="10" t="n">
        <v>70</v>
      </c>
      <c r="M19" s="25">
        <f>IF(NOT(ISNUMBER(H19)),"---",IF(H19&lt;=0,"---",IF(H19*100/(Datos_vigas!$B$8*AB19*K19^2*Datos_vigas!$B$5)&gt;=0.5,"REVISAR",MAX((1-SQRT(1-2*H19*100/(Datos_vigas!$B$8*AB19*K19^2*Datos_vigas!$B$5)))*AB19*K19*Datos_vigas!$B$5/Datos_vigas!$B$6,0.0033*J19*K19))))</f>
        <v/>
      </c>
      <c r="N19" s="10" t="n">
        <v>3</v>
      </c>
      <c r="O19" s="10" t="n">
        <v>12</v>
      </c>
      <c r="P19" s="25">
        <f>IF(NOT(ISNUMBER(I19)),"---",IF(I19&lt;=0,"---",IF(I19*100/(Datos_vigas!$B$8*AC19*K19^2*Datos_vigas!$B$5)&gt;=0.5,"REVISAR",MAX((1-SQRT(1-2*I19*100/(Datos_vigas!$B$8*AC19*K19^2*Datos_vigas!$B$5)))*AC19*K19*Datos_vigas!$B$5/Datos_vigas!$B$6,0.0033*J19*K19))))</f>
        <v/>
      </c>
      <c r="Q19" s="10" t="n">
        <v>3</v>
      </c>
      <c r="R19" s="10" t="n">
        <v>12</v>
      </c>
      <c r="S19" s="25">
        <f>F19/(J19*0.85*K19)</f>
        <v/>
      </c>
      <c r="T19" s="25">
        <f>G19/(J19*0.85*K19)</f>
        <v/>
      </c>
      <c r="U19" s="10" t="n">
        <v>6</v>
      </c>
      <c r="V19" s="10" t="n">
        <v>30</v>
      </c>
      <c r="W19" s="11">
        <f>IF(OR(M19="REVISAR",P19="REVISAR"),"SECCION INSUF.",IF(NOT(AND(M19&lt;&gt;"REVISAR",P19&lt;&gt;"REVISAR",IF(ISNUMBER(M19),N19*PI()*(O19/10)^2/4&gt;=M19,TRUE),IF(ISNUMBER(P19),Q19*PI()*(R19/10)^2/4&gt;=P19,TRUE),IF(ISNUMBER(M19),M19&lt;=0.0163*AB19*K19,TRUE),IF(ISNUMBER(P19),P19&lt;=0.0163*AC19*K19,TRUE))),"NO VERIFICA FLEX.",IF(NOT(F19&lt;=Datos_vigas!$B$9*(0.53*SQRT(Datos_vigas!$B$5)*J19*K19+2*PI()*(U19/10)^2/4*Datos_vigas!$B$6*K19/V19)),"NO VERIF. CORTE",IF(NOT(L19&gt;=C19*100/VLOOKUP(Y19,Datos_vigas!$A$19:$E$23,5,0)),"VERIFICAR FLECHA","VERIFICA"))))</f>
        <v/>
      </c>
      <c r="X19" s="11" t="n"/>
      <c r="Y19" s="10" t="inlineStr">
        <is>
          <t>Continua</t>
        </is>
      </c>
      <c r="Z19" s="10" t="inlineStr">
        <is>
          <t>Invertida</t>
        </is>
      </c>
      <c r="AA19" s="10" t="n">
        <v>12</v>
      </c>
      <c r="AB19" s="11">
        <f>IF(Z19="Colgante",MIN(C19*100/4,J19+16*AA19),J19)</f>
        <v/>
      </c>
      <c r="AC19" s="11">
        <f>IF(Z19="Invertida",MIN(C19*100/4,J19+16*AA19),J19)</f>
        <v/>
      </c>
      <c r="AD19" s="10" t="n">
        <v>0</v>
      </c>
      <c r="AE19" s="10" t="n">
        <v>2.6</v>
      </c>
      <c r="AF19" s="10" t="n">
        <v>3</v>
      </c>
    </row>
    <row r="20" ht="46" customHeight="1">
      <c r="A20" s="26" t="n"/>
      <c r="B20" s="23" t="inlineStr">
        <is>
          <t>VI 11a</t>
        </is>
      </c>
      <c r="C20" s="8" t="n">
        <v>7.68</v>
      </c>
      <c r="D20" s="24">
        <f>(Datos_vigas!$B$10*(VLOOKUP($A$4,Datos_vigas!$A$14:$E$15,2,0)*AD20+Datos_vigas!$B$7*J20*L20/10000+Datos_vigas!$B$16*AE20)+Datos_vigas!$B$11*VLOOKUP($A$4,Datos_vigas!$A$14:$E$15,3,0)*AD20)</f>
        <v/>
      </c>
      <c r="E20" s="11" t="n"/>
      <c r="F20" s="24">
        <f>VLOOKUP(Y20,Datos_vigas!$A$19:$E$23,4,0)*D20*C20</f>
        <v/>
      </c>
      <c r="G20" s="24">
        <f>F20</f>
        <v/>
      </c>
      <c r="H20" s="24">
        <f>VLOOKUP(Y20,Datos_vigas!$A$19:$E$23,2,0)*D20*C20^2</f>
        <v/>
      </c>
      <c r="I20" s="24">
        <f>IF(VLOOKUP(Y20,Datos_vigas!$A$19:$E$23,3,0)=0,"---",VLOOKUP(Y20,Datos_vigas!$A$19:$E$23,3,0)*D20*C20^2)</f>
        <v/>
      </c>
      <c r="J20" s="10" t="n">
        <v>15</v>
      </c>
      <c r="K20" s="11">
        <f>L20-AF20</f>
        <v/>
      </c>
      <c r="L20" s="10" t="n">
        <v>70</v>
      </c>
      <c r="M20" s="25">
        <f>IF(NOT(ISNUMBER(H20)),"---",IF(H20&lt;=0,"---",IF(H20*100/(Datos_vigas!$B$8*AB20*K20^2*Datos_vigas!$B$5)&gt;=0.5,"REVISAR",MAX((1-SQRT(1-2*H20*100/(Datos_vigas!$B$8*AB20*K20^2*Datos_vigas!$B$5)))*AB20*K20*Datos_vigas!$B$5/Datos_vigas!$B$6,0.0033*J20*K20))))</f>
        <v/>
      </c>
      <c r="N20" s="10" t="n">
        <v>2</v>
      </c>
      <c r="O20" s="10" t="n">
        <v>20</v>
      </c>
      <c r="P20" s="25">
        <f>IF(NOT(ISNUMBER(I20)),"---",IF(I20&lt;=0,"---",IF(I20*100/(Datos_vigas!$B$8*AC20*K20^2*Datos_vigas!$B$5)&gt;=0.5,"REVISAR",MAX((1-SQRT(1-2*I20*100/(Datos_vigas!$B$8*AC20*K20^2*Datos_vigas!$B$5)))*AC20*K20*Datos_vigas!$B$5/Datos_vigas!$B$6,0.0033*J20*K20))))</f>
        <v/>
      </c>
      <c r="Q20" s="10" t="n">
        <v>2</v>
      </c>
      <c r="R20" s="10" t="n">
        <v>25</v>
      </c>
      <c r="S20" s="25">
        <f>F20/(J20*0.85*K20)</f>
        <v/>
      </c>
      <c r="T20" s="25">
        <f>G20/(J20*0.85*K20)</f>
        <v/>
      </c>
      <c r="U20" s="10" t="n">
        <v>6</v>
      </c>
      <c r="V20" s="10" t="n">
        <v>10</v>
      </c>
      <c r="W20" s="11">
        <f>IF(OR(M20="REVISAR",P20="REVISAR"),"SECCION INSUF.",IF(NOT(AND(M20&lt;&gt;"REVISAR",P20&lt;&gt;"REVISAR",IF(ISNUMBER(M20),N20*PI()*(O20/10)^2/4&gt;=M20,TRUE),IF(ISNUMBER(P20),Q20*PI()*(R20/10)^2/4&gt;=P20,TRUE),IF(ISNUMBER(M20),M20&lt;=0.0163*AB20*K20,TRUE),IF(ISNUMBER(P20),P20&lt;=0.0163*AC20*K20,TRUE))),"NO VERIFICA FLEX.",IF(NOT(F20&lt;=Datos_vigas!$B$9*(0.53*SQRT(Datos_vigas!$B$5)*J20*K20+2*PI()*(U20/10)^2/4*Datos_vigas!$B$6*K20/V20)),"NO VERIF. CORTE",IF(NOT(L20&gt;=C20*100/VLOOKUP(Y20,Datos_vigas!$A$19:$E$23,5,0)),"VERIFICAR FLECHA","VERIFICA"))))</f>
        <v/>
      </c>
      <c r="X20" s="13" t="inlineStr">
        <is>
          <t>El plano rotula 'VI 111'; se interpreta 11a por el orden a-b-c. Sin apoyo intermedio, empotrada en tabiques. Apoya en columna COL 02 de 15x30 y en el tabique T08a. Viga de borde: recibe la reaccion de la losa excentrica y queda sometida a TORSION, no verificada en esta planilla.</t>
        </is>
      </c>
      <c r="Y20" s="10" t="inlineStr">
        <is>
          <t>Empotrada-apoyada</t>
        </is>
      </c>
      <c r="Z20" s="10" t="inlineStr">
        <is>
          <t>Invertida</t>
        </is>
      </c>
      <c r="AA20" s="10" t="n">
        <v>12</v>
      </c>
      <c r="AB20" s="11">
        <f>IF(Z20="Colgante",MIN(C20*100/4,J20+16*AA20),J20)</f>
        <v/>
      </c>
      <c r="AC20" s="11">
        <f>IF(Z20="Invertida",MIN(C20*100/4,J20+16*AA20),J20)</f>
        <v/>
      </c>
      <c r="AD20" s="10" t="n">
        <v>1.825</v>
      </c>
      <c r="AE20" s="10" t="n">
        <v>2.6</v>
      </c>
      <c r="AF20" s="10" t="n">
        <v>3</v>
      </c>
    </row>
    <row r="21" ht="46" customHeight="1">
      <c r="A21" s="26" t="n"/>
      <c r="B21" s="23" t="inlineStr">
        <is>
          <t>VI 11b</t>
        </is>
      </c>
      <c r="C21" s="8" t="n">
        <v>3.45</v>
      </c>
      <c r="D21" s="24">
        <f>(Datos_vigas!$B$10*(VLOOKUP($A$4,Datos_vigas!$A$14:$E$15,2,0)*AD21+Datos_vigas!$B$7*J21*L21/10000+Datos_vigas!$B$16*AE21)+Datos_vigas!$B$11*VLOOKUP($A$4,Datos_vigas!$A$14:$E$15,3,0)*AD21)</f>
        <v/>
      </c>
      <c r="E21" s="11" t="n"/>
      <c r="F21" s="24">
        <f>VLOOKUP(Y21,Datos_vigas!$A$19:$E$23,4,0)*D21*C21</f>
        <v/>
      </c>
      <c r="G21" s="24">
        <f>F21</f>
        <v/>
      </c>
      <c r="H21" s="24">
        <f>VLOOKUP(Y21,Datos_vigas!$A$19:$E$23,2,0)*D21*C21^2</f>
        <v/>
      </c>
      <c r="I21" s="24">
        <f>IF(VLOOKUP(Y21,Datos_vigas!$A$19:$E$23,3,0)=0,"---",VLOOKUP(Y21,Datos_vigas!$A$19:$E$23,3,0)*D21*C21^2)</f>
        <v/>
      </c>
      <c r="J21" s="10" t="n">
        <v>15</v>
      </c>
      <c r="K21" s="11">
        <f>L21-AF21</f>
        <v/>
      </c>
      <c r="L21" s="10" t="n">
        <v>70</v>
      </c>
      <c r="M21" s="25">
        <f>IF(NOT(ISNUMBER(H21)),"---",IF(H21&lt;=0,"---",IF(H21*100/(Datos_vigas!$B$8*AB21*K21^2*Datos_vigas!$B$5)&gt;=0.5,"REVISAR",MAX((1-SQRT(1-2*H21*100/(Datos_vigas!$B$8*AB21*K21^2*Datos_vigas!$B$5)))*AB21*K21*Datos_vigas!$B$5/Datos_vigas!$B$6,0.0033*J21*K21))))</f>
        <v/>
      </c>
      <c r="N21" s="10" t="n">
        <v>3</v>
      </c>
      <c r="O21" s="10" t="n">
        <v>12</v>
      </c>
      <c r="P21" s="25">
        <f>IF(NOT(ISNUMBER(I21)),"---",IF(I21&lt;=0,"---",IF(I21*100/(Datos_vigas!$B$8*AC21*K21^2*Datos_vigas!$B$5)&gt;=0.5,"REVISAR",MAX((1-SQRT(1-2*I21*100/(Datos_vigas!$B$8*AC21*K21^2*Datos_vigas!$B$5)))*AC21*K21*Datos_vigas!$B$5/Datos_vigas!$B$6,0.0033*J21*K21))))</f>
        <v/>
      </c>
      <c r="Q21" s="10" t="n">
        <v>3</v>
      </c>
      <c r="R21" s="10" t="n">
        <v>12</v>
      </c>
      <c r="S21" s="25">
        <f>F21/(J21*0.85*K21)</f>
        <v/>
      </c>
      <c r="T21" s="25">
        <f>G21/(J21*0.85*K21)</f>
        <v/>
      </c>
      <c r="U21" s="10" t="n">
        <v>6</v>
      </c>
      <c r="V21" s="10" t="n">
        <v>30</v>
      </c>
      <c r="W21" s="11">
        <f>IF(OR(M21="REVISAR",P21="REVISAR"),"SECCION INSUF.",IF(NOT(AND(M21&lt;&gt;"REVISAR",P21&lt;&gt;"REVISAR",IF(ISNUMBER(M21),N21*PI()*(O21/10)^2/4&gt;=M21,TRUE),IF(ISNUMBER(P21),Q21*PI()*(R21/10)^2/4&gt;=P21,TRUE),IF(ISNUMBER(M21),M21&lt;=0.0163*AB21*K21,TRUE),IF(ISNUMBER(P21),P21&lt;=0.0163*AC21*K21,TRUE))),"NO VERIFICA FLEX.",IF(NOT(F21&lt;=Datos_vigas!$B$9*(0.53*SQRT(Datos_vigas!$B$5)*J21*K21+2*PI()*(U21/10)^2/4*Datos_vigas!$B$6*K21/V21)),"NO VERIF. CORTE",IF(NOT(L21&gt;=C21*100/VLOOKUP(Y21,Datos_vigas!$A$19:$E$23,5,0)),"VERIFICAR FLECHA","VERIFICA"))))</f>
        <v/>
      </c>
      <c r="X21" s="13" t="inlineStr">
        <is>
          <t>Viga de borde: recibe la reaccion de la losa excentrica y queda sometida a TORSION, no verificada en esta planilla.</t>
        </is>
      </c>
      <c r="Y21" s="10" t="inlineStr">
        <is>
          <t>Continua</t>
        </is>
      </c>
      <c r="Z21" s="10" t="inlineStr">
        <is>
          <t>Invertida</t>
        </is>
      </c>
      <c r="AA21" s="10" t="n">
        <v>12</v>
      </c>
      <c r="AB21" s="11">
        <f>IF(Z21="Colgante",MIN(C21*100/4,J21+16*AA21),J21)</f>
        <v/>
      </c>
      <c r="AC21" s="11">
        <f>IF(Z21="Invertida",MIN(C21*100/4,J21+16*AA21),J21)</f>
        <v/>
      </c>
      <c r="AD21" s="10" t="n">
        <v>0</v>
      </c>
      <c r="AE21" s="10" t="n">
        <v>2.6</v>
      </c>
      <c r="AF21" s="10" t="n">
        <v>3</v>
      </c>
    </row>
    <row r="22" ht="46" customHeight="1">
      <c r="A22" s="26" t="n"/>
      <c r="B22" s="23" t="inlineStr">
        <is>
          <t>VI 11c</t>
        </is>
      </c>
      <c r="C22" s="8" t="n">
        <v>5.02</v>
      </c>
      <c r="D22" s="24">
        <f>(Datos_vigas!$B$10*(VLOOKUP($A$4,Datos_vigas!$A$14:$E$15,2,0)*AD22+Datos_vigas!$B$7*J22*L22/10000+Datos_vigas!$B$16*AE22)+Datos_vigas!$B$11*VLOOKUP($A$4,Datos_vigas!$A$14:$E$15,3,0)*AD22)</f>
        <v/>
      </c>
      <c r="E22" s="11" t="n"/>
      <c r="F22" s="24">
        <f>VLOOKUP(Y22,Datos_vigas!$A$19:$E$23,4,0)*D22*C22</f>
        <v/>
      </c>
      <c r="G22" s="24">
        <f>F22</f>
        <v/>
      </c>
      <c r="H22" s="24">
        <f>VLOOKUP(Y22,Datos_vigas!$A$19:$E$23,2,0)*D22*C22^2</f>
        <v/>
      </c>
      <c r="I22" s="24">
        <f>IF(VLOOKUP(Y22,Datos_vigas!$A$19:$E$23,3,0)=0,"---",VLOOKUP(Y22,Datos_vigas!$A$19:$E$23,3,0)*D22*C22^2)</f>
        <v/>
      </c>
      <c r="J22" s="10" t="n">
        <v>15</v>
      </c>
      <c r="K22" s="11">
        <f>L22-AF22</f>
        <v/>
      </c>
      <c r="L22" s="10" t="n">
        <v>70</v>
      </c>
      <c r="M22" s="25">
        <f>IF(NOT(ISNUMBER(H22)),"---",IF(H22&lt;=0,"---",IF(H22*100/(Datos_vigas!$B$8*AB22*K22^2*Datos_vigas!$B$5)&gt;=0.5,"REVISAR",MAX((1-SQRT(1-2*H22*100/(Datos_vigas!$B$8*AB22*K22^2*Datos_vigas!$B$5)))*AB22*K22*Datos_vigas!$B$5/Datos_vigas!$B$6,0.0033*J22*K22))))</f>
        <v/>
      </c>
      <c r="N22" s="10" t="n">
        <v>3</v>
      </c>
      <c r="O22" s="10" t="n">
        <v>12</v>
      </c>
      <c r="P22" s="25">
        <f>IF(NOT(ISNUMBER(I22)),"---",IF(I22&lt;=0,"---",IF(I22*100/(Datos_vigas!$B$8*AC22*K22^2*Datos_vigas!$B$5)&gt;=0.5,"REVISAR",MAX((1-SQRT(1-2*I22*100/(Datos_vigas!$B$8*AC22*K22^2*Datos_vigas!$B$5)))*AC22*K22*Datos_vigas!$B$5/Datos_vigas!$B$6,0.0033*J22*K22))))</f>
        <v/>
      </c>
      <c r="Q22" s="10" t="n">
        <v>3</v>
      </c>
      <c r="R22" s="10" t="n">
        <v>12</v>
      </c>
      <c r="S22" s="25">
        <f>F22/(J22*0.85*K22)</f>
        <v/>
      </c>
      <c r="T22" s="25">
        <f>G22/(J22*0.85*K22)</f>
        <v/>
      </c>
      <c r="U22" s="10" t="n">
        <v>6</v>
      </c>
      <c r="V22" s="10" t="n">
        <v>30</v>
      </c>
      <c r="W22" s="11">
        <f>IF(OR(M22="REVISAR",P22="REVISAR"),"SECCION INSUF.",IF(NOT(AND(M22&lt;&gt;"REVISAR",P22&lt;&gt;"REVISAR",IF(ISNUMBER(M22),N22*PI()*(O22/10)^2/4&gt;=M22,TRUE),IF(ISNUMBER(P22),Q22*PI()*(R22/10)^2/4&gt;=P22,TRUE),IF(ISNUMBER(M22),M22&lt;=0.0163*AB22*K22,TRUE),IF(ISNUMBER(P22),P22&lt;=0.0163*AC22*K22,TRUE))),"NO VERIFICA FLEX.",IF(NOT(F22&lt;=Datos_vigas!$B$9*(0.53*SQRT(Datos_vigas!$B$5)*J22*K22+2*PI()*(U22/10)^2/4*Datos_vigas!$B$6*K22/V22)),"NO VERIF. CORTE",IF(NOT(L22&gt;=C22*100/VLOOKUP(Y22,Datos_vigas!$A$19:$E$23,5,0)),"VERIFICAR FLECHA","VERIFICA"))))</f>
        <v/>
      </c>
      <c r="X22" s="13" t="inlineStr">
        <is>
          <t>Viga de borde: recibe la reaccion de la losa excentrica y queda sometida a TORSION, no verificada en esta planilla.</t>
        </is>
      </c>
      <c r="Y22" s="10" t="inlineStr">
        <is>
          <t>Continua</t>
        </is>
      </c>
      <c r="Z22" s="10" t="inlineStr">
        <is>
          <t>Invertida</t>
        </is>
      </c>
      <c r="AA22" s="10" t="n">
        <v>12</v>
      </c>
      <c r="AB22" s="11">
        <f>IF(Z22="Colgante",MIN(C22*100/4,J22+16*AA22),J22)</f>
        <v/>
      </c>
      <c r="AC22" s="11">
        <f>IF(Z22="Invertida",MIN(C22*100/4,J22+16*AA22),J22)</f>
        <v/>
      </c>
      <c r="AD22" s="10" t="n">
        <v>1.549</v>
      </c>
      <c r="AE22" s="10" t="n">
        <v>2.6</v>
      </c>
      <c r="AF22" s="10" t="n">
        <v>3</v>
      </c>
    </row>
    <row r="23" ht="46" customHeight="1">
      <c r="A23" s="26" t="n"/>
      <c r="B23" s="23" t="inlineStr">
        <is>
          <t>VCH 03a</t>
        </is>
      </c>
      <c r="C23" s="8" t="n">
        <v>3.71</v>
      </c>
      <c r="D23" s="24">
        <f>(Datos_vigas!$B$10*(VLOOKUP($A$4,Datos_vigas!$A$14:$E$15,2,0)*AD23+Datos_vigas!$B$7*J23*L23/10000+Datos_vigas!$B$16*AE23)+Datos_vigas!$B$11*VLOOKUP($A$4,Datos_vigas!$A$14:$E$15,3,0)*AD23)</f>
        <v/>
      </c>
      <c r="E23" s="11" t="n"/>
      <c r="F23" s="24">
        <f>VLOOKUP(Y23,Datos_vigas!$A$19:$E$23,4,0)*D23*C23</f>
        <v/>
      </c>
      <c r="G23" s="24">
        <f>F23</f>
        <v/>
      </c>
      <c r="H23" s="24">
        <f>VLOOKUP(Y23,Datos_vigas!$A$19:$E$23,2,0)*D23*C23^2</f>
        <v/>
      </c>
      <c r="I23" s="24">
        <f>IF(VLOOKUP(Y23,Datos_vigas!$A$19:$E$23,3,0)=0,"---",VLOOKUP(Y23,Datos_vigas!$A$19:$E$23,3,0)*D23*C23^2)</f>
        <v/>
      </c>
      <c r="J23" s="10" t="n">
        <v>40</v>
      </c>
      <c r="K23" s="11">
        <f>L23-AF23</f>
        <v/>
      </c>
      <c r="L23" s="10" t="n">
        <v>13</v>
      </c>
      <c r="M23" s="25">
        <f>IF(NOT(ISNUMBER(H23)),"---",IF(H23&lt;=0,"---",IF(H23*100/(Datos_vigas!$B$8*AB23*K23^2*Datos_vigas!$B$5)&gt;=0.5,"REVISAR",MAX((1-SQRT(1-2*H23*100/(Datos_vigas!$B$8*AB23*K23^2*Datos_vigas!$B$5)))*AB23*K23*Datos_vigas!$B$5/Datos_vigas!$B$6,0.0033*J23*K23))))</f>
        <v/>
      </c>
      <c r="N23" s="10" t="n">
        <v>8</v>
      </c>
      <c r="O23" s="10" t="n">
        <v>12</v>
      </c>
      <c r="P23" s="25">
        <f>IF(NOT(ISNUMBER(I23)),"---",IF(I23&lt;=0,"---",IF(I23*100/(Datos_vigas!$B$8*AC23*K23^2*Datos_vigas!$B$5)&gt;=0.5,"REVISAR",MAX((1-SQRT(1-2*I23*100/(Datos_vigas!$B$8*AC23*K23^2*Datos_vigas!$B$5)))*AC23*K23*Datos_vigas!$B$5/Datos_vigas!$B$6,0.0033*J23*K23))))</f>
        <v/>
      </c>
      <c r="Q23" s="10" t="n">
        <v>5</v>
      </c>
      <c r="R23" s="10" t="n">
        <v>6</v>
      </c>
      <c r="S23" s="25">
        <f>F23/(J23*0.85*K23)</f>
        <v/>
      </c>
      <c r="T23" s="25">
        <f>G23/(J23*0.85*K23)</f>
        <v/>
      </c>
      <c r="U23" s="10" t="n">
        <v>12</v>
      </c>
      <c r="V23" s="10" t="n">
        <v>5</v>
      </c>
      <c r="W23" s="11">
        <f>IF(OR(M23="REVISAR",P23="REVISAR"),"SECCION INSUF.",IF(NOT(AND(M23&lt;&gt;"REVISAR",P23&lt;&gt;"REVISAR",IF(ISNUMBER(M23),N23*PI()*(O23/10)^2/4&gt;=M23,TRUE),IF(ISNUMBER(P23),Q23*PI()*(R23/10)^2/4&gt;=P23,TRUE),IF(ISNUMBER(M23),M23&lt;=0.0163*AB23*K23,TRUE),IF(ISNUMBER(P23),P23&lt;=0.0163*AC23*K23,TRUE))),"NO VERIFICA FLEX.",IF(NOT(F23&lt;=Datos_vigas!$B$9*(0.53*SQRT(Datos_vigas!$B$5)*J23*K23+2*PI()*(U23/10)^2/4*Datos_vigas!$B$6*K23/V23)),"NO VERIF. CORTE",IF(NOT(L23&gt;=C23*100/VLOOKUP(Y23,Datos_vigas!$A$19:$E$23,5,0)),"VERIFICAR FLECHA","VERIFICA"))))</f>
        <v/>
      </c>
      <c r="X23" s="13" t="inlineStr">
        <is>
          <t>Excede cuantia maxima y no llega a la altura minima por flecha. Revisar el ancho tributario real. Separacion de estribos menor a 10 cm: revisar constructividad.</t>
        </is>
      </c>
      <c r="Y23" s="10" t="inlineStr">
        <is>
          <t>Continua</t>
        </is>
      </c>
      <c r="Z23" s="10" t="inlineStr">
        <is>
          <t>Colgante</t>
        </is>
      </c>
      <c r="AA23" s="10" t="n">
        <v>12</v>
      </c>
      <c r="AB23" s="11">
        <f>IF(Z23="Colgante",MIN(C23*100/4,J23+16*AA23),J23)</f>
        <v/>
      </c>
      <c r="AC23" s="11">
        <f>IF(Z23="Invertida",MIN(C23*100/4,J23+16*AA23),J23)</f>
        <v/>
      </c>
      <c r="AD23" s="10" t="n">
        <v>2.1</v>
      </c>
      <c r="AE23" s="10" t="n">
        <v>2.6</v>
      </c>
      <c r="AF23" s="10" t="n">
        <v>3</v>
      </c>
    </row>
    <row r="24" ht="46" customHeight="1">
      <c r="A24" s="26" t="n"/>
      <c r="B24" s="23" t="inlineStr">
        <is>
          <t>VCH 03b</t>
        </is>
      </c>
      <c r="C24" s="8" t="n">
        <v>2.13</v>
      </c>
      <c r="D24" s="24">
        <f>(Datos_vigas!$B$10*(VLOOKUP($A$4,Datos_vigas!$A$14:$E$15,2,0)*AD24+Datos_vigas!$B$7*J24*L24/10000+Datos_vigas!$B$16*AE24)+Datos_vigas!$B$11*VLOOKUP($A$4,Datos_vigas!$A$14:$E$15,3,0)*AD24)</f>
        <v/>
      </c>
      <c r="E24" s="11" t="n"/>
      <c r="F24" s="24">
        <f>VLOOKUP(Y24,Datos_vigas!$A$19:$E$23,4,0)*D24*C24</f>
        <v/>
      </c>
      <c r="G24" s="24">
        <f>F24</f>
        <v/>
      </c>
      <c r="H24" s="24">
        <f>VLOOKUP(Y24,Datos_vigas!$A$19:$E$23,2,0)*D24*C24^2</f>
        <v/>
      </c>
      <c r="I24" s="24">
        <f>IF(VLOOKUP(Y24,Datos_vigas!$A$19:$E$23,3,0)=0,"---",VLOOKUP(Y24,Datos_vigas!$A$19:$E$23,3,0)*D24*C24^2)</f>
        <v/>
      </c>
      <c r="J24" s="10" t="n">
        <v>40</v>
      </c>
      <c r="K24" s="11">
        <f>L24-AF24</f>
        <v/>
      </c>
      <c r="L24" s="10" t="n">
        <v>13</v>
      </c>
      <c r="M24" s="25">
        <f>IF(NOT(ISNUMBER(H24)),"---",IF(H24&lt;=0,"---",IF(H24*100/(Datos_vigas!$B$8*AB24*K24^2*Datos_vigas!$B$5)&gt;=0.5,"REVISAR",MAX((1-SQRT(1-2*H24*100/(Datos_vigas!$B$8*AB24*K24^2*Datos_vigas!$B$5)))*AB24*K24*Datos_vigas!$B$5/Datos_vigas!$B$6,0.0033*J24*K24))))</f>
        <v/>
      </c>
      <c r="N24" s="10" t="n">
        <v>10</v>
      </c>
      <c r="O24" s="10" t="n">
        <v>6</v>
      </c>
      <c r="P24" s="25">
        <f>IF(NOT(ISNUMBER(I24)),"---",IF(I24&lt;=0,"---",IF(I24*100/(Datos_vigas!$B$8*AC24*K24^2*Datos_vigas!$B$5)&gt;=0.5,"REVISAR",MAX((1-SQRT(1-2*I24*100/(Datos_vigas!$B$8*AC24*K24^2*Datos_vigas!$B$5)))*AC24*K24*Datos_vigas!$B$5/Datos_vigas!$B$6,0.0033*J24*K24))))</f>
        <v/>
      </c>
      <c r="Q24" s="10" t="n">
        <v>8</v>
      </c>
      <c r="R24" s="10" t="n">
        <v>8</v>
      </c>
      <c r="S24" s="25">
        <f>F24/(J24*0.85*K24)</f>
        <v/>
      </c>
      <c r="T24" s="25">
        <f>G24/(J24*0.85*K24)</f>
        <v/>
      </c>
      <c r="U24" s="10" t="n">
        <v>12</v>
      </c>
      <c r="V24" s="10" t="n">
        <v>5</v>
      </c>
      <c r="W24" s="11">
        <f>IF(OR(M24="REVISAR",P24="REVISAR"),"SECCION INSUF.",IF(NOT(AND(M24&lt;&gt;"REVISAR",P24&lt;&gt;"REVISAR",IF(ISNUMBER(M24),N24*PI()*(O24/10)^2/4&gt;=M24,TRUE),IF(ISNUMBER(P24),Q24*PI()*(R24/10)^2/4&gt;=P24,TRUE),IF(ISNUMBER(M24),M24&lt;=0.0163*AB24*K24,TRUE),IF(ISNUMBER(P24),P24&lt;=0.0163*AC24*K24,TRUE))),"NO VERIFICA FLEX.",IF(NOT(F24&lt;=Datos_vigas!$B$9*(0.53*SQRT(Datos_vigas!$B$5)*J24*K24+2*PI()*(U24/10)^2/4*Datos_vigas!$B$6*K24/V24)),"NO VERIF. CORTE",IF(NOT(L24&gt;=C24*100/VLOOKUP(Y24,Datos_vigas!$A$19:$E$23,5,0)),"VERIFICAR FLECHA","VERIFICA"))))</f>
        <v/>
      </c>
      <c r="X24" s="13" t="inlineStr">
        <is>
          <t>Separacion de estribos menor a 10 cm: revisar constructividad.</t>
        </is>
      </c>
      <c r="Y24" s="10" t="inlineStr">
        <is>
          <t>Continua</t>
        </is>
      </c>
      <c r="Z24" s="10" t="inlineStr">
        <is>
          <t>Colgante</t>
        </is>
      </c>
      <c r="AA24" s="10" t="n">
        <v>12</v>
      </c>
      <c r="AB24" s="11">
        <f>IF(Z24="Colgante",MIN(C24*100/4,J24+16*AA24),J24)</f>
        <v/>
      </c>
      <c r="AC24" s="11">
        <f>IF(Z24="Invertida",MIN(C24*100/4,J24+16*AA24),J24)</f>
        <v/>
      </c>
      <c r="AD24" s="10" t="n">
        <v>2.1</v>
      </c>
      <c r="AE24" s="10" t="n">
        <v>2.6</v>
      </c>
      <c r="AF24" s="10" t="n">
        <v>3</v>
      </c>
    </row>
    <row r="25" ht="46" customHeight="1">
      <c r="A25" s="27" t="n"/>
      <c r="B25" s="28" t="inlineStr">
        <is>
          <t>VCH 05</t>
        </is>
      </c>
      <c r="C25" s="15" t="n">
        <v>3.71</v>
      </c>
      <c r="D25" s="29">
        <f>(Datos_vigas!$B$10*(VLOOKUP($A$4,Datos_vigas!$A$14:$E$15,2,0)*AD25+Datos_vigas!$B$7*J25*L25/10000+Datos_vigas!$B$16*AE25)+Datos_vigas!$B$11*VLOOKUP($A$4,Datos_vigas!$A$14:$E$15,3,0)*AD25)</f>
        <v/>
      </c>
      <c r="E25" s="18" t="n"/>
      <c r="F25" s="29">
        <f>VLOOKUP(Y25,Datos_vigas!$A$19:$E$23,4,0)*D25*C25</f>
        <v/>
      </c>
      <c r="G25" s="29">
        <f>F25</f>
        <v/>
      </c>
      <c r="H25" s="29">
        <f>VLOOKUP(Y25,Datos_vigas!$A$19:$E$23,2,0)*D25*C25^2</f>
        <v/>
      </c>
      <c r="I25" s="29">
        <f>IF(VLOOKUP(Y25,Datos_vigas!$A$19:$E$23,3,0)=0,"---",VLOOKUP(Y25,Datos_vigas!$A$19:$E$23,3,0)*D25*C25^2)</f>
        <v/>
      </c>
      <c r="J25" s="17" t="n">
        <v>12</v>
      </c>
      <c r="K25" s="18">
        <f>L25-AF25</f>
        <v/>
      </c>
      <c r="L25" s="17" t="n">
        <v>45</v>
      </c>
      <c r="M25" s="30">
        <f>IF(NOT(ISNUMBER(H25)),"---",IF(H25&lt;=0,"---",IF(H25*100/(Datos_vigas!$B$8*AB25*K25^2*Datos_vigas!$B$5)&gt;=0.5,"REVISAR",MAX((1-SQRT(1-2*H25*100/(Datos_vigas!$B$8*AB25*K25^2*Datos_vigas!$B$5)))*AB25*K25*Datos_vigas!$B$5/Datos_vigas!$B$6,0.0033*J25*K25))))</f>
        <v/>
      </c>
      <c r="N25" s="17" t="n">
        <v>2</v>
      </c>
      <c r="O25" s="17" t="n">
        <v>12</v>
      </c>
      <c r="P25" s="30">
        <f>IF(NOT(ISNUMBER(I25)),"---",IF(I25&lt;=0,"---",IF(I25*100/(Datos_vigas!$B$8*AC25*K25^2*Datos_vigas!$B$5)&gt;=0.5,"REVISAR",MAX((1-SQRT(1-2*I25*100/(Datos_vigas!$B$8*AC25*K25^2*Datos_vigas!$B$5)))*AC25*K25*Datos_vigas!$B$5/Datos_vigas!$B$6,0.0033*J25*K25))))</f>
        <v/>
      </c>
      <c r="Q25" s="17" t="inlineStr">
        <is>
          <t>---</t>
        </is>
      </c>
      <c r="R25" s="17" t="inlineStr">
        <is>
          <t>---</t>
        </is>
      </c>
      <c r="S25" s="30">
        <f>F25/(J25*0.85*K25)</f>
        <v/>
      </c>
      <c r="T25" s="30">
        <f>G25/(J25*0.85*K25)</f>
        <v/>
      </c>
      <c r="U25" s="17" t="n">
        <v>6</v>
      </c>
      <c r="V25" s="17" t="n">
        <v>20</v>
      </c>
      <c r="W25" s="18">
        <f>IF(OR(M25="REVISAR",P25="REVISAR"),"SECCION INSUF.",IF(NOT(AND(M25&lt;&gt;"REVISAR",P25&lt;&gt;"REVISAR",IF(ISNUMBER(M25),N25*PI()*(O25/10)^2/4&gt;=M25,TRUE),IF(ISNUMBER(P25),Q25*PI()*(R25/10)^2/4&gt;=P25,TRUE),IF(ISNUMBER(M25),M25&lt;=0.0163*AB25*K25,TRUE),IF(ISNUMBER(P25),P25&lt;=0.0163*AC25*K25,TRUE))),"NO VERIFICA FLEX.",IF(NOT(F25&lt;=Datos_vigas!$B$9*(0.53*SQRT(Datos_vigas!$B$5)*J25*K25+2*PI()*(U25/10)^2/4*Datos_vigas!$B$6*K25/V25)),"NO VERIF. CORTE",IF(NOT(L25&gt;=C25*100/VLOOKUP(Y25,Datos_vigas!$A$19:$E$23,5,0)),"VERIFICAR FLECHA","VERIFICA"))))</f>
        <v/>
      </c>
      <c r="X25" s="18" t="n"/>
      <c r="Y25" s="17" t="inlineStr">
        <is>
          <t>Simplemente apoyada</t>
        </is>
      </c>
      <c r="Z25" s="17" t="inlineStr">
        <is>
          <t>Colgante</t>
        </is>
      </c>
      <c r="AA25" s="17" t="n">
        <v>12</v>
      </c>
      <c r="AB25" s="18">
        <f>IF(Z25="Colgante",MIN(C25*100/4,J25+16*AA25),J25)</f>
        <v/>
      </c>
      <c r="AC25" s="18">
        <f>IF(Z25="Invertida",MIN(C25*100/4,J25+16*AA25),J25)</f>
        <v/>
      </c>
      <c r="AD25" s="17" t="n">
        <v>0</v>
      </c>
      <c r="AE25" s="17" t="n">
        <v>2.6</v>
      </c>
      <c r="AF25" s="17" t="n">
        <v>3</v>
      </c>
    </row>
    <row r="26" ht="46" customHeight="1">
      <c r="A26" s="22" t="inlineStr">
        <is>
          <t>TECHO</t>
        </is>
      </c>
      <c r="B26" s="23" t="inlineStr">
        <is>
          <t>VI 12</t>
        </is>
      </c>
      <c r="C26" s="8" t="n">
        <v>9.9</v>
      </c>
      <c r="D26" s="24">
        <f>(Datos_vigas!$B$10*(VLOOKUP($A$26,Datos_vigas!$A$14:$E$15,2,0)*AD26+Datos_vigas!$B$7*J26*L26/10000+Datos_vigas!$B$16*AE26)+Datos_vigas!$B$11*VLOOKUP($A$26,Datos_vigas!$A$14:$E$15,3,0)*AD26)</f>
        <v/>
      </c>
      <c r="E26" s="11" t="n"/>
      <c r="F26" s="24">
        <f>VLOOKUP(Y26,Datos_vigas!$A$19:$E$23,4,0)*D26*C26</f>
        <v/>
      </c>
      <c r="G26" s="24">
        <f>F26</f>
        <v/>
      </c>
      <c r="H26" s="24">
        <f>VLOOKUP(Y26,Datos_vigas!$A$19:$E$23,2,0)*D26*C26^2</f>
        <v/>
      </c>
      <c r="I26" s="24">
        <f>IF(VLOOKUP(Y26,Datos_vigas!$A$19:$E$23,3,0)=0,"---",VLOOKUP(Y26,Datos_vigas!$A$19:$E$23,3,0)*D26*C26^2)</f>
        <v/>
      </c>
      <c r="J26" s="10" t="n">
        <v>15</v>
      </c>
      <c r="K26" s="11">
        <f>L26-AF26</f>
        <v/>
      </c>
      <c r="L26" s="10" t="n">
        <v>70</v>
      </c>
      <c r="M26" s="25">
        <f>IF(NOT(ISNUMBER(H26)),"---",IF(H26&lt;=0,"---",IF(H26*100/(Datos_vigas!$B$8*AB26*K26^2*Datos_vigas!$B$5)&gt;=0.5,"REVISAR",MAX((1-SQRT(1-2*H26*100/(Datos_vigas!$B$8*AB26*K26^2*Datos_vigas!$B$5)))*AB26*K26*Datos_vigas!$B$5/Datos_vigas!$B$6,0.0033*J26*K26))))</f>
        <v/>
      </c>
      <c r="N26" s="10" t="n">
        <v>2</v>
      </c>
      <c r="O26" s="10" t="n">
        <v>25</v>
      </c>
      <c r="P26" s="25">
        <f>IF(NOT(ISNUMBER(I26)),"---",IF(I26&lt;=0,"---",IF(I26*100/(Datos_vigas!$B$8*AC26*K26^2*Datos_vigas!$B$5)&gt;=0.5,"REVISAR",MAX((1-SQRT(1-2*I26*100/(Datos_vigas!$B$8*AC26*K26^2*Datos_vigas!$B$5)))*AC26*K26*Datos_vigas!$B$5/Datos_vigas!$B$6,0.0033*J26*K26))))</f>
        <v/>
      </c>
      <c r="Q26" s="10" t="n">
        <v>2</v>
      </c>
      <c r="R26" s="10" t="n">
        <v>25</v>
      </c>
      <c r="S26" s="25">
        <f>F26/(J26*0.85*K26)</f>
        <v/>
      </c>
      <c r="T26" s="25">
        <f>G26/(J26*0.85*K26)</f>
        <v/>
      </c>
      <c r="U26" s="10" t="n">
        <v>6</v>
      </c>
      <c r="V26" s="10" t="n">
        <v>15</v>
      </c>
      <c r="W26" s="11">
        <f>IF(OR(M26="REVISAR",P26="REVISAR"),"SECCION INSUF.",IF(NOT(AND(M26&lt;&gt;"REVISAR",P26&lt;&gt;"REVISAR",IF(ISNUMBER(M26),N26*PI()*(O26/10)^2/4&gt;=M26,TRUE),IF(ISNUMBER(P26),Q26*PI()*(R26/10)^2/4&gt;=P26,TRUE),IF(ISNUMBER(M26),M26&lt;=0.0163*AB26*K26,TRUE),IF(ISNUMBER(P26),P26&lt;=0.0163*AC26*K26,TRUE))),"NO VERIFICA FLEX.",IF(NOT(F26&lt;=Datos_vigas!$B$9*(0.53*SQRT(Datos_vigas!$B$5)*J26*K26+2*PI()*(U26/10)^2/4*Datos_vigas!$B$6*K26/V26)),"NO VERIF. CORTE",IF(NOT(L26&gt;=C26*100/VLOOKUP(Y26,Datos_vigas!$A$19:$E$23,5,0)),"VERIFICAR FLECHA","VERIFICA"))))</f>
        <v/>
      </c>
      <c r="X26" s="11" t="n"/>
      <c r="Y26" s="10" t="inlineStr">
        <is>
          <t>Continua</t>
        </is>
      </c>
      <c r="Z26" s="10" t="inlineStr">
        <is>
          <t>Invertida</t>
        </is>
      </c>
      <c r="AA26" s="10" t="n">
        <v>12</v>
      </c>
      <c r="AB26" s="11">
        <f>IF(Z26="Colgante",MIN(C26*100/4,J26+16*AA26),J26)</f>
        <v/>
      </c>
      <c r="AC26" s="11">
        <f>IF(Z26="Invertida",MIN(C26*100/4,J26+16*AA26),J26)</f>
        <v/>
      </c>
      <c r="AD26" s="10" t="n">
        <v>2.1</v>
      </c>
      <c r="AE26" s="10" t="n">
        <v>1</v>
      </c>
      <c r="AF26" s="10" t="n">
        <v>3</v>
      </c>
    </row>
    <row r="27" ht="46" customHeight="1">
      <c r="A27" s="26" t="n"/>
      <c r="B27" s="23" t="inlineStr">
        <is>
          <t>VI 13a</t>
        </is>
      </c>
      <c r="C27" s="8" t="n">
        <v>6</v>
      </c>
      <c r="D27" s="24">
        <f>(Datos_vigas!$B$10*(VLOOKUP($A$26,Datos_vigas!$A$14:$E$15,2,0)*AD27+Datos_vigas!$B$7*J27*L27/10000+Datos_vigas!$B$16*AE27)+Datos_vigas!$B$11*VLOOKUP($A$26,Datos_vigas!$A$14:$E$15,3,0)*AD27)</f>
        <v/>
      </c>
      <c r="E27" s="11" t="n"/>
      <c r="F27" s="24">
        <f>VLOOKUP(Y27,Datos_vigas!$A$19:$E$23,4,0)*D27*C27</f>
        <v/>
      </c>
      <c r="G27" s="24">
        <f>F27</f>
        <v/>
      </c>
      <c r="H27" s="24">
        <f>VLOOKUP(Y27,Datos_vigas!$A$19:$E$23,2,0)*D27*C27^2</f>
        <v/>
      </c>
      <c r="I27" s="24">
        <f>IF(VLOOKUP(Y27,Datos_vigas!$A$19:$E$23,3,0)=0,"---",VLOOKUP(Y27,Datos_vigas!$A$19:$E$23,3,0)*D27*C27^2)</f>
        <v/>
      </c>
      <c r="J27" s="10" t="n">
        <v>15</v>
      </c>
      <c r="K27" s="11">
        <f>L27-AF27</f>
        <v/>
      </c>
      <c r="L27" s="10" t="n">
        <v>70</v>
      </c>
      <c r="M27" s="25">
        <f>IF(NOT(ISNUMBER(H27)),"---",IF(H27&lt;=0,"---",IF(H27*100/(Datos_vigas!$B$8*AB27*K27^2*Datos_vigas!$B$5)&gt;=0.5,"REVISAR",MAX((1-SQRT(1-2*H27*100/(Datos_vigas!$B$8*AB27*K27^2*Datos_vigas!$B$5)))*AB27*K27*Datos_vigas!$B$5/Datos_vigas!$B$6,0.0033*J27*K27))))</f>
        <v/>
      </c>
      <c r="N27" s="10" t="n">
        <v>2</v>
      </c>
      <c r="O27" s="10" t="n">
        <v>16</v>
      </c>
      <c r="P27" s="25">
        <f>IF(NOT(ISNUMBER(I27)),"---",IF(I27&lt;=0,"---",IF(I27*100/(Datos_vigas!$B$8*AC27*K27^2*Datos_vigas!$B$5)&gt;=0.5,"REVISAR",MAX((1-SQRT(1-2*I27*100/(Datos_vigas!$B$8*AC27*K27^2*Datos_vigas!$B$5)))*AC27*K27*Datos_vigas!$B$5/Datos_vigas!$B$6,0.0033*J27*K27))))</f>
        <v/>
      </c>
      <c r="Q27" s="10" t="n">
        <v>2</v>
      </c>
      <c r="R27" s="10" t="n">
        <v>20</v>
      </c>
      <c r="S27" s="25">
        <f>F27/(J27*0.85*K27)</f>
        <v/>
      </c>
      <c r="T27" s="25">
        <f>G27/(J27*0.85*K27)</f>
        <v/>
      </c>
      <c r="U27" s="10" t="n">
        <v>6</v>
      </c>
      <c r="V27" s="10" t="n">
        <v>15</v>
      </c>
      <c r="W27" s="11">
        <f>IF(OR(M27="REVISAR",P27="REVISAR"),"SECCION INSUF.",IF(NOT(AND(M27&lt;&gt;"REVISAR",P27&lt;&gt;"REVISAR",IF(ISNUMBER(M27),N27*PI()*(O27/10)^2/4&gt;=M27,TRUE),IF(ISNUMBER(P27),Q27*PI()*(R27/10)^2/4&gt;=P27,TRUE),IF(ISNUMBER(M27),M27&lt;=0.0163*AB27*K27,TRUE),IF(ISNUMBER(P27),P27&lt;=0.0163*AC27*K27,TRUE))),"NO VERIFICA FLEX.",IF(NOT(F27&lt;=Datos_vigas!$B$9*(0.53*SQRT(Datos_vigas!$B$5)*J27*K27+2*PI()*(U27/10)^2/4*Datos_vigas!$B$6*K27/V27)),"NO VERIF. CORTE",IF(NOT(L27&gt;=C27*100/VLOOKUP(Y27,Datos_vigas!$A$19:$E$23,5,0)),"VERIFICAR FLECHA","VERIFICA"))))</f>
        <v/>
      </c>
      <c r="X27" s="11" t="n"/>
      <c r="Y27" s="10" t="inlineStr">
        <is>
          <t>Continua</t>
        </is>
      </c>
      <c r="Z27" s="10" t="inlineStr">
        <is>
          <t>Invertida</t>
        </is>
      </c>
      <c r="AA27" s="10" t="n">
        <v>12</v>
      </c>
      <c r="AB27" s="11">
        <f>IF(Z27="Colgante",MIN(C27*100/4,J27+16*AA27),J27)</f>
        <v/>
      </c>
      <c r="AC27" s="11">
        <f>IF(Z27="Invertida",MIN(C27*100/4,J27+16*AA27),J27)</f>
        <v/>
      </c>
      <c r="AD27" s="10" t="n">
        <v>3.799</v>
      </c>
      <c r="AE27" s="10" t="n">
        <v>1</v>
      </c>
      <c r="AF27" s="10" t="n">
        <v>3</v>
      </c>
    </row>
    <row r="28" ht="46" customHeight="1">
      <c r="A28" s="26" t="n"/>
      <c r="B28" s="23" t="inlineStr">
        <is>
          <t>VI 13b</t>
        </is>
      </c>
      <c r="C28" s="8" t="n">
        <v>3.75</v>
      </c>
      <c r="D28" s="24">
        <f>(Datos_vigas!$B$10*(VLOOKUP($A$26,Datos_vigas!$A$14:$E$15,2,0)*AD28+Datos_vigas!$B$7*J28*L28/10000+Datos_vigas!$B$16*AE28)+Datos_vigas!$B$11*VLOOKUP($A$26,Datos_vigas!$A$14:$E$15,3,0)*AD28)</f>
        <v/>
      </c>
      <c r="E28" s="11" t="n"/>
      <c r="F28" s="24">
        <f>VLOOKUP(Y28,Datos_vigas!$A$19:$E$23,4,0)*D28*C28</f>
        <v/>
      </c>
      <c r="G28" s="24">
        <f>F28</f>
        <v/>
      </c>
      <c r="H28" s="24">
        <f>VLOOKUP(Y28,Datos_vigas!$A$19:$E$23,2,0)*D28*C28^2</f>
        <v/>
      </c>
      <c r="I28" s="24">
        <f>IF(VLOOKUP(Y28,Datos_vigas!$A$19:$E$23,3,0)=0,"---",VLOOKUP(Y28,Datos_vigas!$A$19:$E$23,3,0)*D28*C28^2)</f>
        <v/>
      </c>
      <c r="J28" s="10" t="n">
        <v>15</v>
      </c>
      <c r="K28" s="11">
        <f>L28-AF28</f>
        <v/>
      </c>
      <c r="L28" s="10" t="n">
        <v>70</v>
      </c>
      <c r="M28" s="25">
        <f>IF(NOT(ISNUMBER(H28)),"---",IF(H28&lt;=0,"---",IF(H28*100/(Datos_vigas!$B$8*AB28*K28^2*Datos_vigas!$B$5)&gt;=0.5,"REVISAR",MAX((1-SQRT(1-2*H28*100/(Datos_vigas!$B$8*AB28*K28^2*Datos_vigas!$B$5)))*AB28*K28*Datos_vigas!$B$5/Datos_vigas!$B$6,0.0033*J28*K28))))</f>
        <v/>
      </c>
      <c r="N28" s="10" t="n">
        <v>3</v>
      </c>
      <c r="O28" s="10" t="n">
        <v>12</v>
      </c>
      <c r="P28" s="25">
        <f>IF(NOT(ISNUMBER(I28)),"---",IF(I28&lt;=0,"---",IF(I28*100/(Datos_vigas!$B$8*AC28*K28^2*Datos_vigas!$B$5)&gt;=0.5,"REVISAR",MAX((1-SQRT(1-2*I28*100/(Datos_vigas!$B$8*AC28*K28^2*Datos_vigas!$B$5)))*AC28*K28*Datos_vigas!$B$5/Datos_vigas!$B$6,0.0033*J28*K28))))</f>
        <v/>
      </c>
      <c r="Q28" s="10" t="n">
        <v>3</v>
      </c>
      <c r="R28" s="10" t="n">
        <v>12</v>
      </c>
      <c r="S28" s="25">
        <f>F28/(J28*0.85*K28)</f>
        <v/>
      </c>
      <c r="T28" s="25">
        <f>G28/(J28*0.85*K28)</f>
        <v/>
      </c>
      <c r="U28" s="10" t="n">
        <v>6</v>
      </c>
      <c r="V28" s="10" t="n">
        <v>30</v>
      </c>
      <c r="W28" s="11">
        <f>IF(OR(M28="REVISAR",P28="REVISAR"),"SECCION INSUF.",IF(NOT(AND(M28&lt;&gt;"REVISAR",P28&lt;&gt;"REVISAR",IF(ISNUMBER(M28),N28*PI()*(O28/10)^2/4&gt;=M28,TRUE),IF(ISNUMBER(P28),Q28*PI()*(R28/10)^2/4&gt;=P28,TRUE),IF(ISNUMBER(M28),M28&lt;=0.0163*AB28*K28,TRUE),IF(ISNUMBER(P28),P28&lt;=0.0163*AC28*K28,TRUE))),"NO VERIFICA FLEX.",IF(NOT(F28&lt;=Datos_vigas!$B$9*(0.53*SQRT(Datos_vigas!$B$5)*J28*K28+2*PI()*(U28/10)^2/4*Datos_vigas!$B$6*K28/V28)),"NO VERIF. CORTE",IF(NOT(L28&gt;=C28*100/VLOOKUP(Y28,Datos_vigas!$A$19:$E$23,5,0)),"VERIFICAR FLECHA","VERIFICA"))))</f>
        <v/>
      </c>
      <c r="X28" s="11" t="n"/>
      <c r="Y28" s="10" t="inlineStr">
        <is>
          <t>Continua</t>
        </is>
      </c>
      <c r="Z28" s="10" t="inlineStr">
        <is>
          <t>Invertida</t>
        </is>
      </c>
      <c r="AA28" s="10" t="n">
        <v>12</v>
      </c>
      <c r="AB28" s="11">
        <f>IF(Z28="Colgante",MIN(C28*100/4,J28+16*AA28),J28)</f>
        <v/>
      </c>
      <c r="AC28" s="11">
        <f>IF(Z28="Invertida",MIN(C28*100/4,J28+16*AA28),J28)</f>
        <v/>
      </c>
      <c r="AD28" s="10" t="n">
        <v>2.1</v>
      </c>
      <c r="AE28" s="10" t="n">
        <v>1</v>
      </c>
      <c r="AF28" s="10" t="n">
        <v>3</v>
      </c>
    </row>
    <row r="29" ht="46" customHeight="1">
      <c r="A29" s="26" t="n"/>
      <c r="B29" s="23" t="inlineStr">
        <is>
          <t>VI 14</t>
        </is>
      </c>
      <c r="C29" s="8" t="n">
        <v>6</v>
      </c>
      <c r="D29" s="24">
        <f>(Datos_vigas!$B$10*(VLOOKUP($A$26,Datos_vigas!$A$14:$E$15,2,0)*AD29+Datos_vigas!$B$7*J29*L29/10000+Datos_vigas!$B$16*AE29)+Datos_vigas!$B$11*VLOOKUP($A$26,Datos_vigas!$A$14:$E$15,3,0)*AD29)</f>
        <v/>
      </c>
      <c r="E29" s="11" t="n"/>
      <c r="F29" s="24">
        <f>VLOOKUP(Y29,Datos_vigas!$A$19:$E$23,4,0)*D29*C29</f>
        <v/>
      </c>
      <c r="G29" s="24">
        <f>F29</f>
        <v/>
      </c>
      <c r="H29" s="24">
        <f>VLOOKUP(Y29,Datos_vigas!$A$19:$E$23,2,0)*D29*C29^2</f>
        <v/>
      </c>
      <c r="I29" s="24">
        <f>IF(VLOOKUP(Y29,Datos_vigas!$A$19:$E$23,3,0)=0,"---",VLOOKUP(Y29,Datos_vigas!$A$19:$E$23,3,0)*D29*C29^2)</f>
        <v/>
      </c>
      <c r="J29" s="10" t="n">
        <v>15</v>
      </c>
      <c r="K29" s="11">
        <f>L29-AF29</f>
        <v/>
      </c>
      <c r="L29" s="10" t="n">
        <v>70</v>
      </c>
      <c r="M29" s="25">
        <f>IF(NOT(ISNUMBER(H29)),"---",IF(H29&lt;=0,"---",IF(H29*100/(Datos_vigas!$B$8*AB29*K29^2*Datos_vigas!$B$5)&gt;=0.5,"REVISAR",MAX((1-SQRT(1-2*H29*100/(Datos_vigas!$B$8*AB29*K29^2*Datos_vigas!$B$5)))*AB29*K29*Datos_vigas!$B$5/Datos_vigas!$B$6,0.0033*J29*K29))))</f>
        <v/>
      </c>
      <c r="N29" s="10" t="n">
        <v>3</v>
      </c>
      <c r="O29" s="10" t="n">
        <v>12</v>
      </c>
      <c r="P29" s="25">
        <f>IF(NOT(ISNUMBER(I29)),"---",IF(I29&lt;=0,"---",IF(I29*100/(Datos_vigas!$B$8*AC29*K29^2*Datos_vigas!$B$5)&gt;=0.5,"REVISAR",MAX((1-SQRT(1-2*I29*100/(Datos_vigas!$B$8*AC29*K29^2*Datos_vigas!$B$5)))*AC29*K29*Datos_vigas!$B$5/Datos_vigas!$B$6,0.0033*J29*K29))))</f>
        <v/>
      </c>
      <c r="Q29" s="10" t="n">
        <v>3</v>
      </c>
      <c r="R29" s="10" t="n">
        <v>12</v>
      </c>
      <c r="S29" s="25">
        <f>F29/(J29*0.85*K29)</f>
        <v/>
      </c>
      <c r="T29" s="25">
        <f>G29/(J29*0.85*K29)</f>
        <v/>
      </c>
      <c r="U29" s="10" t="n">
        <v>6</v>
      </c>
      <c r="V29" s="10" t="n">
        <v>30</v>
      </c>
      <c r="W29" s="11">
        <f>IF(OR(M29="REVISAR",P29="REVISAR"),"SECCION INSUF.",IF(NOT(AND(M29&lt;&gt;"REVISAR",P29&lt;&gt;"REVISAR",IF(ISNUMBER(M29),N29*PI()*(O29/10)^2/4&gt;=M29,TRUE),IF(ISNUMBER(P29),Q29*PI()*(R29/10)^2/4&gt;=P29,TRUE),IF(ISNUMBER(M29),M29&lt;=0.0163*AB29*K29,TRUE),IF(ISNUMBER(P29),P29&lt;=0.0163*AC29*K29,TRUE))),"NO VERIFICA FLEX.",IF(NOT(F29&lt;=Datos_vigas!$B$9*(0.53*SQRT(Datos_vigas!$B$5)*J29*K29+2*PI()*(U29/10)^2/4*Datos_vigas!$B$6*K29/V29)),"NO VERIF. CORTE",IF(NOT(L29&gt;=C29*100/VLOOKUP(Y29,Datos_vigas!$A$19:$E$23,5,0)),"VERIFICAR FLECHA","VERIFICA"))))</f>
        <v/>
      </c>
      <c r="X29" s="11" t="n"/>
      <c r="Y29" s="10" t="inlineStr">
        <is>
          <t>Continua</t>
        </is>
      </c>
      <c r="Z29" s="10" t="inlineStr">
        <is>
          <t>Invertida</t>
        </is>
      </c>
      <c r="AA29" s="10" t="n">
        <v>12</v>
      </c>
      <c r="AB29" s="11">
        <f>IF(Z29="Colgante",MIN(C29*100/4,J29+16*AA29),J29)</f>
        <v/>
      </c>
      <c r="AC29" s="11">
        <f>IF(Z29="Invertida",MIN(C29*100/4,J29+16*AA29),J29)</f>
        <v/>
      </c>
      <c r="AD29" s="10" t="n">
        <v>1.699</v>
      </c>
      <c r="AE29" s="10" t="n">
        <v>1</v>
      </c>
      <c r="AF29" s="10" t="n">
        <v>3</v>
      </c>
    </row>
    <row r="30" ht="46" customHeight="1">
      <c r="A30" s="26" t="n"/>
      <c r="B30" s="23" t="inlineStr">
        <is>
          <t>VI 15a</t>
        </is>
      </c>
      <c r="C30" s="8" t="n">
        <v>4.03</v>
      </c>
      <c r="D30" s="24">
        <f>(Datos_vigas!$B$10*(VLOOKUP($A$26,Datos_vigas!$A$14:$E$15,2,0)*AD30+Datos_vigas!$B$7*J30*L30/10000+Datos_vigas!$B$16*AE30)+Datos_vigas!$B$11*VLOOKUP($A$26,Datos_vigas!$A$14:$E$15,3,0)*AD30)</f>
        <v/>
      </c>
      <c r="E30" s="11" t="n"/>
      <c r="F30" s="24">
        <f>VLOOKUP(Y30,Datos_vigas!$A$19:$E$23,4,0)*D30*C30</f>
        <v/>
      </c>
      <c r="G30" s="24">
        <f>F30</f>
        <v/>
      </c>
      <c r="H30" s="24">
        <f>VLOOKUP(Y30,Datos_vigas!$A$19:$E$23,2,0)*D30*C30^2</f>
        <v/>
      </c>
      <c r="I30" s="24">
        <f>IF(VLOOKUP(Y30,Datos_vigas!$A$19:$E$23,3,0)=0,"---",VLOOKUP(Y30,Datos_vigas!$A$19:$E$23,3,0)*D30*C30^2)</f>
        <v/>
      </c>
      <c r="J30" s="10" t="n">
        <v>15</v>
      </c>
      <c r="K30" s="11">
        <f>L30-AF30</f>
        <v/>
      </c>
      <c r="L30" s="10" t="n">
        <v>70</v>
      </c>
      <c r="M30" s="25">
        <f>IF(NOT(ISNUMBER(H30)),"---",IF(H30&lt;=0,"---",IF(H30*100/(Datos_vigas!$B$8*AB30*K30^2*Datos_vigas!$B$5)&gt;=0.5,"REVISAR",MAX((1-SQRT(1-2*H30*100/(Datos_vigas!$B$8*AB30*K30^2*Datos_vigas!$B$5)))*AB30*K30*Datos_vigas!$B$5/Datos_vigas!$B$6,0.0033*J30*K30))))</f>
        <v/>
      </c>
      <c r="N30" s="10" t="n">
        <v>3</v>
      </c>
      <c r="O30" s="10" t="n">
        <v>12</v>
      </c>
      <c r="P30" s="25">
        <f>IF(NOT(ISNUMBER(I30)),"---",IF(I30&lt;=0,"---",IF(I30*100/(Datos_vigas!$B$8*AC30*K30^2*Datos_vigas!$B$5)&gt;=0.5,"REVISAR",MAX((1-SQRT(1-2*I30*100/(Datos_vigas!$B$8*AC30*K30^2*Datos_vigas!$B$5)))*AC30*K30*Datos_vigas!$B$5/Datos_vigas!$B$6,0.0033*J30*K30))))</f>
        <v/>
      </c>
      <c r="Q30" s="10" t="n">
        <v>3</v>
      </c>
      <c r="R30" s="10" t="n">
        <v>12</v>
      </c>
      <c r="S30" s="25">
        <f>F30/(J30*0.85*K30)</f>
        <v/>
      </c>
      <c r="T30" s="25">
        <f>G30/(J30*0.85*K30)</f>
        <v/>
      </c>
      <c r="U30" s="10" t="n">
        <v>6</v>
      </c>
      <c r="V30" s="10" t="n">
        <v>30</v>
      </c>
      <c r="W30" s="11">
        <f>IF(OR(M30="REVISAR",P30="REVISAR"),"SECCION INSUF.",IF(NOT(AND(M30&lt;&gt;"REVISAR",P30&lt;&gt;"REVISAR",IF(ISNUMBER(M30),N30*PI()*(O30/10)^2/4&gt;=M30,TRUE),IF(ISNUMBER(P30),Q30*PI()*(R30/10)^2/4&gt;=P30,TRUE),IF(ISNUMBER(M30),M30&lt;=0.0163*AB30*K30,TRUE),IF(ISNUMBER(P30),P30&lt;=0.0163*AC30*K30,TRUE))),"NO VERIFICA FLEX.",IF(NOT(F30&lt;=Datos_vigas!$B$9*(0.53*SQRT(Datos_vigas!$B$5)*J30*K30+2*PI()*(U30/10)^2/4*Datos_vigas!$B$6*K30/V30)),"NO VERIF. CORTE",IF(NOT(L30&gt;=C30*100/VLOOKUP(Y30,Datos_vigas!$A$19:$E$23,5,0)),"VERIFICAR FLECHA","VERIFICA"))))</f>
        <v/>
      </c>
      <c r="X30" s="13" t="inlineStr">
        <is>
          <t>Viga de borde: recibe la reaccion de la losa excentrica y queda sometida a TORSION, no verificada en esta planilla.</t>
        </is>
      </c>
      <c r="Y30" s="10" t="inlineStr">
        <is>
          <t>Continua</t>
        </is>
      </c>
      <c r="Z30" s="10" t="inlineStr">
        <is>
          <t>Invertida</t>
        </is>
      </c>
      <c r="AA30" s="10" t="n">
        <v>12</v>
      </c>
      <c r="AB30" s="11">
        <f>IF(Z30="Colgante",MIN(C30*100/4,J30+16*AA30),J30)</f>
        <v/>
      </c>
      <c r="AC30" s="11">
        <f>IF(Z30="Invertida",MIN(C30*100/4,J30+16*AA30),J30)</f>
        <v/>
      </c>
      <c r="AD30" s="10" t="n">
        <v>0</v>
      </c>
      <c r="AE30" s="10" t="n">
        <v>1</v>
      </c>
      <c r="AF30" s="10" t="n">
        <v>3</v>
      </c>
    </row>
    <row r="31" ht="46" customHeight="1">
      <c r="A31" s="26" t="n"/>
      <c r="B31" s="23" t="inlineStr">
        <is>
          <t>VI 15b</t>
        </is>
      </c>
      <c r="C31" s="8" t="n">
        <v>4.85</v>
      </c>
      <c r="D31" s="24">
        <f>(Datos_vigas!$B$10*(VLOOKUP($A$26,Datos_vigas!$A$14:$E$15,2,0)*AD31+Datos_vigas!$B$7*J31*L31/10000+Datos_vigas!$B$16*AE31)+Datos_vigas!$B$11*VLOOKUP($A$26,Datos_vigas!$A$14:$E$15,3,0)*AD31)</f>
        <v/>
      </c>
      <c r="E31" s="11" t="n"/>
      <c r="F31" s="24">
        <f>VLOOKUP(Y31,Datos_vigas!$A$19:$E$23,4,0)*D31*C31</f>
        <v/>
      </c>
      <c r="G31" s="24">
        <f>F31</f>
        <v/>
      </c>
      <c r="H31" s="24">
        <f>VLOOKUP(Y31,Datos_vigas!$A$19:$E$23,2,0)*D31*C31^2</f>
        <v/>
      </c>
      <c r="I31" s="24">
        <f>IF(VLOOKUP(Y31,Datos_vigas!$A$19:$E$23,3,0)=0,"---",VLOOKUP(Y31,Datos_vigas!$A$19:$E$23,3,0)*D31*C31^2)</f>
        <v/>
      </c>
      <c r="J31" s="10" t="n">
        <v>15</v>
      </c>
      <c r="K31" s="11">
        <f>L31-AF31</f>
        <v/>
      </c>
      <c r="L31" s="10" t="n">
        <v>70</v>
      </c>
      <c r="M31" s="25">
        <f>IF(NOT(ISNUMBER(H31)),"---",IF(H31&lt;=0,"---",IF(H31*100/(Datos_vigas!$B$8*AB31*K31^2*Datos_vigas!$B$5)&gt;=0.5,"REVISAR",MAX((1-SQRT(1-2*H31*100/(Datos_vigas!$B$8*AB31*K31^2*Datos_vigas!$B$5)))*AB31*K31*Datos_vigas!$B$5/Datos_vigas!$B$6,0.0033*J31*K31))))</f>
        <v/>
      </c>
      <c r="N31" s="10" t="n">
        <v>3</v>
      </c>
      <c r="O31" s="10" t="n">
        <v>12</v>
      </c>
      <c r="P31" s="25">
        <f>IF(NOT(ISNUMBER(I31)),"---",IF(I31&lt;=0,"---",IF(I31*100/(Datos_vigas!$B$8*AC31*K31^2*Datos_vigas!$B$5)&gt;=0.5,"REVISAR",MAX((1-SQRT(1-2*I31*100/(Datos_vigas!$B$8*AC31*K31^2*Datos_vigas!$B$5)))*AC31*K31*Datos_vigas!$B$5/Datos_vigas!$B$6,0.0033*J31*K31))))</f>
        <v/>
      </c>
      <c r="Q31" s="10" t="n">
        <v>3</v>
      </c>
      <c r="R31" s="10" t="n">
        <v>12</v>
      </c>
      <c r="S31" s="25">
        <f>F31/(J31*0.85*K31)</f>
        <v/>
      </c>
      <c r="T31" s="25">
        <f>G31/(J31*0.85*K31)</f>
        <v/>
      </c>
      <c r="U31" s="10" t="n">
        <v>6</v>
      </c>
      <c r="V31" s="10" t="n">
        <v>30</v>
      </c>
      <c r="W31" s="11">
        <f>IF(OR(M31="REVISAR",P31="REVISAR"),"SECCION INSUF.",IF(NOT(AND(M31&lt;&gt;"REVISAR",P31&lt;&gt;"REVISAR",IF(ISNUMBER(M31),N31*PI()*(O31/10)^2/4&gt;=M31,TRUE),IF(ISNUMBER(P31),Q31*PI()*(R31/10)^2/4&gt;=P31,TRUE),IF(ISNUMBER(M31),M31&lt;=0.0163*AB31*K31,TRUE),IF(ISNUMBER(P31),P31&lt;=0.0163*AC31*K31,TRUE))),"NO VERIFICA FLEX.",IF(NOT(F31&lt;=Datos_vigas!$B$9*(0.53*SQRT(Datos_vigas!$B$5)*J31*K31+2*PI()*(U31/10)^2/4*Datos_vigas!$B$6*K31/V31)),"NO VERIF. CORTE",IF(NOT(L31&gt;=C31*100/VLOOKUP(Y31,Datos_vigas!$A$19:$E$23,5,0)),"VERIFICAR FLECHA","VERIFICA"))))</f>
        <v/>
      </c>
      <c r="X31" s="13" t="inlineStr">
        <is>
          <t>Viga de borde: recibe la reaccion de la losa excentrica y queda sometida a TORSION, no verificada en esta planilla.</t>
        </is>
      </c>
      <c r="Y31" s="10" t="inlineStr">
        <is>
          <t>Continua</t>
        </is>
      </c>
      <c r="Z31" s="10" t="inlineStr">
        <is>
          <t>Invertida</t>
        </is>
      </c>
      <c r="AA31" s="10" t="n">
        <v>12</v>
      </c>
      <c r="AB31" s="11">
        <f>IF(Z31="Colgante",MIN(C31*100/4,J31+16*AA31),J31)</f>
        <v/>
      </c>
      <c r="AC31" s="11">
        <f>IF(Z31="Invertida",MIN(C31*100/4,J31+16*AA31),J31)</f>
        <v/>
      </c>
      <c r="AD31" s="10" t="n">
        <v>1.699</v>
      </c>
      <c r="AE31" s="10" t="n">
        <v>1</v>
      </c>
      <c r="AF31" s="10" t="n">
        <v>3</v>
      </c>
    </row>
    <row r="32" ht="46" customHeight="1">
      <c r="A32" s="26" t="n"/>
      <c r="B32" s="23" t="inlineStr">
        <is>
          <t>VI 16a</t>
        </is>
      </c>
      <c r="C32" s="8" t="n">
        <v>3.58</v>
      </c>
      <c r="D32" s="24">
        <f>(Datos_vigas!$B$10*(VLOOKUP($A$26,Datos_vigas!$A$14:$E$15,2,0)*AD32+Datos_vigas!$B$7*J32*L32/10000+Datos_vigas!$B$16*AE32)+Datos_vigas!$B$11*VLOOKUP($A$26,Datos_vigas!$A$14:$E$15,3,0)*AD32)</f>
        <v/>
      </c>
      <c r="E32" s="11" t="n"/>
      <c r="F32" s="24">
        <f>VLOOKUP(Y32,Datos_vigas!$A$19:$E$23,4,0)*D32*C32</f>
        <v/>
      </c>
      <c r="G32" s="24">
        <f>F32</f>
        <v/>
      </c>
      <c r="H32" s="24">
        <f>VLOOKUP(Y32,Datos_vigas!$A$19:$E$23,2,0)*D32*C32^2</f>
        <v/>
      </c>
      <c r="I32" s="24">
        <f>IF(VLOOKUP(Y32,Datos_vigas!$A$19:$E$23,3,0)=0,"---",VLOOKUP(Y32,Datos_vigas!$A$19:$E$23,3,0)*D32*C32^2)</f>
        <v/>
      </c>
      <c r="J32" s="10" t="n">
        <v>15</v>
      </c>
      <c r="K32" s="11">
        <f>L32-AF32</f>
        <v/>
      </c>
      <c r="L32" s="10" t="n">
        <v>70</v>
      </c>
      <c r="M32" s="25">
        <f>IF(NOT(ISNUMBER(H32)),"---",IF(H32&lt;=0,"---",IF(H32*100/(Datos_vigas!$B$8*AB32*K32^2*Datos_vigas!$B$5)&gt;=0.5,"REVISAR",MAX((1-SQRT(1-2*H32*100/(Datos_vigas!$B$8*AB32*K32^2*Datos_vigas!$B$5)))*AB32*K32*Datos_vigas!$B$5/Datos_vigas!$B$6,0.0033*J32*K32))))</f>
        <v/>
      </c>
      <c r="N32" s="10" t="n">
        <v>3</v>
      </c>
      <c r="O32" s="10" t="n">
        <v>12</v>
      </c>
      <c r="P32" s="25">
        <f>IF(NOT(ISNUMBER(I32)),"---",IF(I32&lt;=0,"---",IF(I32*100/(Datos_vigas!$B$8*AC32*K32^2*Datos_vigas!$B$5)&gt;=0.5,"REVISAR",MAX((1-SQRT(1-2*I32*100/(Datos_vigas!$B$8*AC32*K32^2*Datos_vigas!$B$5)))*AC32*K32*Datos_vigas!$B$5/Datos_vigas!$B$6,0.0033*J32*K32))))</f>
        <v/>
      </c>
      <c r="Q32" s="10" t="n">
        <v>3</v>
      </c>
      <c r="R32" s="10" t="n">
        <v>12</v>
      </c>
      <c r="S32" s="25">
        <f>F32/(J32*0.85*K32)</f>
        <v/>
      </c>
      <c r="T32" s="25">
        <f>G32/(J32*0.85*K32)</f>
        <v/>
      </c>
      <c r="U32" s="10" t="n">
        <v>6</v>
      </c>
      <c r="V32" s="10" t="n">
        <v>30</v>
      </c>
      <c r="W32" s="11">
        <f>IF(OR(M32="REVISAR",P32="REVISAR"),"SECCION INSUF.",IF(NOT(AND(M32&lt;&gt;"REVISAR",P32&lt;&gt;"REVISAR",IF(ISNUMBER(M32),N32*PI()*(O32/10)^2/4&gt;=M32,TRUE),IF(ISNUMBER(P32),Q32*PI()*(R32/10)^2/4&gt;=P32,TRUE),IF(ISNUMBER(M32),M32&lt;=0.0163*AB32*K32,TRUE),IF(ISNUMBER(P32),P32&lt;=0.0163*AC32*K32,TRUE))),"NO VERIFICA FLEX.",IF(NOT(F32&lt;=Datos_vigas!$B$9*(0.53*SQRT(Datos_vigas!$B$5)*J32*K32+2*PI()*(U32/10)^2/4*Datos_vigas!$B$6*K32/V32)),"NO VERIF. CORTE",IF(NOT(L32&gt;=C32*100/VLOOKUP(Y32,Datos_vigas!$A$19:$E$23,5,0)),"VERIFICAR FLECHA","VERIFICA"))))</f>
        <v/>
      </c>
      <c r="X32" s="11" t="n"/>
      <c r="Y32" s="10" t="inlineStr">
        <is>
          <t>Continua</t>
        </is>
      </c>
      <c r="Z32" s="10" t="inlineStr">
        <is>
          <t>Invertida</t>
        </is>
      </c>
      <c r="AA32" s="10" t="n">
        <v>12</v>
      </c>
      <c r="AB32" s="11">
        <f>IF(Z32="Colgante",MIN(C32*100/4,J32+16*AA32),J32)</f>
        <v/>
      </c>
      <c r="AC32" s="11">
        <f>IF(Z32="Invertida",MIN(C32*100/4,J32+16*AA32),J32)</f>
        <v/>
      </c>
      <c r="AD32" s="10" t="n">
        <v>1.699</v>
      </c>
      <c r="AE32" s="10" t="n">
        <v>1</v>
      </c>
      <c r="AF32" s="10" t="n">
        <v>3</v>
      </c>
    </row>
    <row r="33" ht="46" customHeight="1">
      <c r="A33" s="26" t="n"/>
      <c r="B33" s="23" t="inlineStr">
        <is>
          <t>VI 16b</t>
        </is>
      </c>
      <c r="C33" s="8" t="n">
        <v>1.12</v>
      </c>
      <c r="D33" s="24">
        <f>(Datos_vigas!$B$10*(VLOOKUP($A$26,Datos_vigas!$A$14:$E$15,2,0)*AD33+Datos_vigas!$B$7*J33*L33/10000+Datos_vigas!$B$16*AE33)+Datos_vigas!$B$11*VLOOKUP($A$26,Datos_vigas!$A$14:$E$15,3,0)*AD33)</f>
        <v/>
      </c>
      <c r="E33" s="11" t="n"/>
      <c r="F33" s="24">
        <f>VLOOKUP(Y33,Datos_vigas!$A$19:$E$23,4,0)*D33*C33</f>
        <v/>
      </c>
      <c r="G33" s="24">
        <f>F33</f>
        <v/>
      </c>
      <c r="H33" s="24">
        <f>VLOOKUP(Y33,Datos_vigas!$A$19:$E$23,2,0)*D33*C33^2</f>
        <v/>
      </c>
      <c r="I33" s="24">
        <f>IF(VLOOKUP(Y33,Datos_vigas!$A$19:$E$23,3,0)=0,"---",VLOOKUP(Y33,Datos_vigas!$A$19:$E$23,3,0)*D33*C33^2)</f>
        <v/>
      </c>
      <c r="J33" s="10" t="n">
        <v>15</v>
      </c>
      <c r="K33" s="11">
        <f>L33-AF33</f>
        <v/>
      </c>
      <c r="L33" s="10" t="n">
        <v>70</v>
      </c>
      <c r="M33" s="25">
        <f>IF(NOT(ISNUMBER(H33)),"---",IF(H33&lt;=0,"---",IF(H33*100/(Datos_vigas!$B$8*AB33*K33^2*Datos_vigas!$B$5)&gt;=0.5,"REVISAR",MAX((1-SQRT(1-2*H33*100/(Datos_vigas!$B$8*AB33*K33^2*Datos_vigas!$B$5)))*AB33*K33*Datos_vigas!$B$5/Datos_vigas!$B$6,0.0033*J33*K33))))</f>
        <v/>
      </c>
      <c r="N33" s="10" t="n">
        <v>3</v>
      </c>
      <c r="O33" s="10" t="n">
        <v>12</v>
      </c>
      <c r="P33" s="25">
        <f>IF(NOT(ISNUMBER(I33)),"---",IF(I33&lt;=0,"---",IF(I33*100/(Datos_vigas!$B$8*AC33*K33^2*Datos_vigas!$B$5)&gt;=0.5,"REVISAR",MAX((1-SQRT(1-2*I33*100/(Datos_vigas!$B$8*AC33*K33^2*Datos_vigas!$B$5)))*AC33*K33*Datos_vigas!$B$5/Datos_vigas!$B$6,0.0033*J33*K33))))</f>
        <v/>
      </c>
      <c r="Q33" s="10" t="n">
        <v>3</v>
      </c>
      <c r="R33" s="10" t="n">
        <v>12</v>
      </c>
      <c r="S33" s="25">
        <f>F33/(J33*0.85*K33)</f>
        <v/>
      </c>
      <c r="T33" s="25">
        <f>G33/(J33*0.85*K33)</f>
        <v/>
      </c>
      <c r="U33" s="10" t="n">
        <v>6</v>
      </c>
      <c r="V33" s="10" t="n">
        <v>30</v>
      </c>
      <c r="W33" s="11">
        <f>IF(OR(M33="REVISAR",P33="REVISAR"),"SECCION INSUF.",IF(NOT(AND(M33&lt;&gt;"REVISAR",P33&lt;&gt;"REVISAR",IF(ISNUMBER(M33),N33*PI()*(O33/10)^2/4&gt;=M33,TRUE),IF(ISNUMBER(P33),Q33*PI()*(R33/10)^2/4&gt;=P33,TRUE),IF(ISNUMBER(M33),M33&lt;=0.0163*AB33*K33,TRUE),IF(ISNUMBER(P33),P33&lt;=0.0163*AC33*K33,TRUE))),"NO VERIFICA FLEX.",IF(NOT(F33&lt;=Datos_vigas!$B$9*(0.53*SQRT(Datos_vigas!$B$5)*J33*K33+2*PI()*(U33/10)^2/4*Datos_vigas!$B$6*K33/V33)),"NO VERIF. CORTE",IF(NOT(L33&gt;=C33*100/VLOOKUP(Y33,Datos_vigas!$A$19:$E$23,5,0)),"VERIFICAR FLECHA","VERIFICA"))))</f>
        <v/>
      </c>
      <c r="X33" s="11" t="n"/>
      <c r="Y33" s="10" t="inlineStr">
        <is>
          <t>Continua</t>
        </is>
      </c>
      <c r="Z33" s="10" t="inlineStr">
        <is>
          <t>Invertida</t>
        </is>
      </c>
      <c r="AA33" s="10" t="n">
        <v>12</v>
      </c>
      <c r="AB33" s="11">
        <f>IF(Z33="Colgante",MIN(C33*100/4,J33+16*AA33),J33)</f>
        <v/>
      </c>
      <c r="AC33" s="11">
        <f>IF(Z33="Invertida",MIN(C33*100/4,J33+16*AA33),J33)</f>
        <v/>
      </c>
      <c r="AD33" s="10" t="n">
        <v>1.699</v>
      </c>
      <c r="AE33" s="10" t="n">
        <v>1</v>
      </c>
      <c r="AF33" s="10" t="n">
        <v>3</v>
      </c>
    </row>
    <row r="34" ht="46" customHeight="1">
      <c r="A34" s="27" t="n"/>
      <c r="B34" s="28" t="inlineStr">
        <is>
          <t>VI 17</t>
        </is>
      </c>
      <c r="C34" s="15" t="n">
        <v>4.35</v>
      </c>
      <c r="D34" s="29">
        <f>(Datos_vigas!$B$10*(VLOOKUP($A$26,Datos_vigas!$A$14:$E$15,2,0)*AD34+Datos_vigas!$B$7*J34*L34/10000+Datos_vigas!$B$16*AE34)+Datos_vigas!$B$11*VLOOKUP($A$26,Datos_vigas!$A$14:$E$15,3,0)*AD34)</f>
        <v/>
      </c>
      <c r="E34" s="18" t="n"/>
      <c r="F34" s="29">
        <f>VLOOKUP(Y34,Datos_vigas!$A$19:$E$23,4,0)*D34*C34</f>
        <v/>
      </c>
      <c r="G34" s="29">
        <f>F34</f>
        <v/>
      </c>
      <c r="H34" s="29">
        <f>VLOOKUP(Y34,Datos_vigas!$A$19:$E$23,2,0)*D34*C34^2</f>
        <v/>
      </c>
      <c r="I34" s="29">
        <f>IF(VLOOKUP(Y34,Datos_vigas!$A$19:$E$23,3,0)=0,"---",VLOOKUP(Y34,Datos_vigas!$A$19:$E$23,3,0)*D34*C34^2)</f>
        <v/>
      </c>
      <c r="J34" s="17" t="n">
        <v>15</v>
      </c>
      <c r="K34" s="18">
        <f>L34-AF34</f>
        <v/>
      </c>
      <c r="L34" s="17" t="n">
        <v>70</v>
      </c>
      <c r="M34" s="30">
        <f>IF(NOT(ISNUMBER(H34)),"---",IF(H34&lt;=0,"---",IF(H34*100/(Datos_vigas!$B$8*AB34*K34^2*Datos_vigas!$B$5)&gt;=0.5,"REVISAR",MAX((1-SQRT(1-2*H34*100/(Datos_vigas!$B$8*AB34*K34^2*Datos_vigas!$B$5)))*AB34*K34*Datos_vigas!$B$5/Datos_vigas!$B$6,0.0033*J34*K34))))</f>
        <v/>
      </c>
      <c r="N34" s="17" t="n">
        <v>3</v>
      </c>
      <c r="O34" s="17" t="n">
        <v>12</v>
      </c>
      <c r="P34" s="30">
        <f>IF(NOT(ISNUMBER(I34)),"---",IF(I34&lt;=0,"---",IF(I34*100/(Datos_vigas!$B$8*AC34*K34^2*Datos_vigas!$B$5)&gt;=0.5,"REVISAR",MAX((1-SQRT(1-2*I34*100/(Datos_vigas!$B$8*AC34*K34^2*Datos_vigas!$B$5)))*AC34*K34*Datos_vigas!$B$5/Datos_vigas!$B$6,0.0033*J34*K34))))</f>
        <v/>
      </c>
      <c r="Q34" s="17" t="inlineStr">
        <is>
          <t>---</t>
        </is>
      </c>
      <c r="R34" s="17" t="inlineStr">
        <is>
          <t>---</t>
        </is>
      </c>
      <c r="S34" s="30">
        <f>F34/(J34*0.85*K34)</f>
        <v/>
      </c>
      <c r="T34" s="30">
        <f>G34/(J34*0.85*K34)</f>
        <v/>
      </c>
      <c r="U34" s="17" t="n">
        <v>6</v>
      </c>
      <c r="V34" s="17" t="n">
        <v>30</v>
      </c>
      <c r="W34" s="18">
        <f>IF(OR(M34="REVISAR",P34="REVISAR"),"SECCION INSUF.",IF(NOT(AND(M34&lt;&gt;"REVISAR",P34&lt;&gt;"REVISAR",IF(ISNUMBER(M34),N34*PI()*(O34/10)^2/4&gt;=M34,TRUE),IF(ISNUMBER(P34),Q34*PI()*(R34/10)^2/4&gt;=P34,TRUE),IF(ISNUMBER(M34),M34&lt;=0.0163*AB34*K34,TRUE),IF(ISNUMBER(P34),P34&lt;=0.0163*AC34*K34,TRUE))),"NO VERIFICA FLEX.",IF(NOT(F34&lt;=Datos_vigas!$B$9*(0.53*SQRT(Datos_vigas!$B$5)*J34*K34+2*PI()*(U34/10)^2/4*Datos_vigas!$B$6*K34/V34)),"NO VERIF. CORTE",IF(NOT(L34&gt;=C34*100/VLOOKUP(Y34,Datos_vigas!$A$19:$E$23,5,0)),"VERIFICAR FLECHA","VERIFICA"))))</f>
        <v/>
      </c>
      <c r="X34" s="18" t="n"/>
      <c r="Y34" s="17" t="inlineStr">
        <is>
          <t>Simplemente apoyada</t>
        </is>
      </c>
      <c r="Z34" s="17" t="inlineStr">
        <is>
          <t>Invertida</t>
        </is>
      </c>
      <c r="AA34" s="17" t="n">
        <v>12</v>
      </c>
      <c r="AB34" s="18">
        <f>IF(Z34="Colgante",MIN(C34*100/4,J34+16*AA34),J34)</f>
        <v/>
      </c>
      <c r="AC34" s="18">
        <f>IF(Z34="Invertida",MIN(C34*100/4,J34+16*AA34),J34)</f>
        <v/>
      </c>
      <c r="AD34" s="17" t="n">
        <v>0</v>
      </c>
      <c r="AE34" s="17" t="n">
        <v>1</v>
      </c>
      <c r="AF34" s="17" t="n">
        <v>3</v>
      </c>
    </row>
  </sheetData>
  <mergeCells count="18">
    <mergeCell ref="F2:G2"/>
    <mergeCell ref="J2:L2"/>
    <mergeCell ref="A4:A25"/>
    <mergeCell ref="D2:E2"/>
    <mergeCell ref="A1:AF1"/>
    <mergeCell ref="P2:R2"/>
    <mergeCell ref="S2:U2"/>
    <mergeCell ref="A26:A34"/>
    <mergeCell ref="I2:I3"/>
    <mergeCell ref="V2"/>
    <mergeCell ref="B2:B3"/>
    <mergeCell ref="A2:A3"/>
    <mergeCell ref="Y2:AF2"/>
    <mergeCell ref="C2:C3"/>
    <mergeCell ref="X2:X3"/>
    <mergeCell ref="M2:O2"/>
    <mergeCell ref="H2:H3"/>
    <mergeCell ref="W2:W3"/>
  </mergeCells>
  <conditionalFormatting sqref="W4:W34">
    <cfRule type="cellIs" priority="1" operator="equal" dxfId="0">
      <formula>"VERIFICA"</formula>
    </cfRule>
    <cfRule type="cellIs" priority="2" operator="equal" dxfId="1">
      <formula>"NO VERIFICA FLEX."</formula>
    </cfRule>
    <cfRule type="cellIs" priority="3" operator="equal" dxfId="1">
      <formula>"NO VERIF. CORTE"</formula>
    </cfRule>
    <cfRule type="cellIs" priority="4" operator="equal" dxfId="1">
      <formula>"VERIFICAR FLECHA"</formula>
    </cfRule>
  </conditionalFormatting>
  <dataValidations count="3">
    <dataValidation sqref="Y4:Y34" showDropDown="0" showInputMessage="0" showErrorMessage="0" allowBlank="1" type="list">
      <formula1>=Datos_vigas!$A$19:$A$23</formula1>
    </dataValidation>
    <dataValidation sqref="Z4:Z34" showDropDown="0" showInputMessage="0" showErrorMessage="0" allowBlank="1" type="list">
      <formula1>"Invertida,Colgante"</formula1>
    </dataValidation>
    <dataValidation sqref="O4:O34 R4:R34 U4:U34" showDropDown="0" showInputMessage="0" showErrorMessage="0" allowBlank="1" type="list">
      <formula1>"6,8,10,12,16,20,25"</formula1>
    </dataValidation>
  </dataValidations>
  <pageMargins left="0.75" right="0.75" top="1" bottom="1" header="0.5" footer="0.5"/>
  <pageSetup orientation="landscape"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T15"/>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0" customWidth="1" min="2" max="2"/>
    <col width="9" customWidth="1" min="3" max="3"/>
    <col width="13" customWidth="1" min="4" max="4"/>
    <col width="9" customWidth="1" min="5" max="5"/>
    <col width="32" customWidth="1" min="6" max="6"/>
    <col width="6" customWidth="1" min="7" max="7"/>
    <col width="6" customWidth="1" min="8" max="8"/>
    <col width="12" customWidth="1" min="9" max="9"/>
    <col width="8" customWidth="1" min="10" max="10"/>
    <col width="6" customWidth="1" min="11" max="11"/>
    <col width="8" customWidth="1" min="12" max="12"/>
    <col width="8" customWidth="1" min="13" max="13"/>
    <col width="6" customWidth="1" min="14" max="14"/>
    <col width="8" customWidth="1" min="15" max="15"/>
    <col width="9" customWidth="1" min="16" max="16"/>
    <col width="9" customWidth="1" min="17" max="17"/>
    <col width="40" customWidth="1" min="18" max="18"/>
    <col width="10" customWidth="1" min="19" max="19"/>
    <col width="8" customWidth="1" min="20" max="20"/>
  </cols>
  <sheetData>
    <row r="1" ht="22" customHeight="1">
      <c r="A1" s="21" t="inlineStr">
        <is>
          <t>LOSAS DE H°A°   H-21   ACERO 42/50</t>
        </is>
      </c>
      <c r="B1" s="2" t="n"/>
      <c r="C1" s="2" t="n"/>
      <c r="D1" s="2" t="n"/>
      <c r="E1" s="2" t="n"/>
      <c r="F1" s="2" t="n"/>
      <c r="G1" s="2" t="n"/>
      <c r="H1" s="2" t="n"/>
      <c r="I1" s="2" t="n"/>
      <c r="J1" s="2" t="n"/>
      <c r="K1" s="2" t="n"/>
      <c r="L1" s="2" t="n"/>
      <c r="M1" s="2" t="n"/>
      <c r="N1" s="2" t="n"/>
      <c r="O1" s="2" t="n"/>
      <c r="P1" s="2" t="n"/>
      <c r="Q1" s="2" t="n"/>
      <c r="R1" s="2" t="n"/>
      <c r="S1" s="2" t="n"/>
      <c r="T1" s="2" t="n"/>
    </row>
    <row r="2" ht="16" customHeight="1">
      <c r="A2" s="3" t="inlineStr">
        <is>
          <t>NIVEL</t>
        </is>
      </c>
      <c r="B2" s="3" t="inlineStr">
        <is>
          <t>POSICION</t>
        </is>
      </c>
      <c r="C2" s="3" t="inlineStr">
        <is>
          <t>LUZ (m)</t>
        </is>
      </c>
      <c r="D2" s="3" t="inlineStr">
        <is>
          <t>GRADO DE EMPOTRAMIENTO</t>
        </is>
      </c>
      <c r="E2" s="3" t="inlineStr">
        <is>
          <t>CARGAS (kg/m)</t>
        </is>
      </c>
      <c r="F2" s="4" t="n"/>
      <c r="G2" s="3" t="inlineStr">
        <is>
          <t>DIMENSIONES</t>
        </is>
      </c>
      <c r="H2" s="4" t="n"/>
      <c r="I2" s="3" t="inlineStr">
        <is>
          <t>MOMENTO TRAMO (kgm)</t>
        </is>
      </c>
      <c r="J2" s="3" t="inlineStr">
        <is>
          <t>ARMADURA PRINCIPAL</t>
        </is>
      </c>
      <c r="K2" s="4" t="n"/>
      <c r="L2" s="4" t="n"/>
      <c r="M2" s="3" t="inlineStr">
        <is>
          <t>ARMADURA REPARTICION</t>
        </is>
      </c>
      <c r="N2" s="4" t="n"/>
      <c r="O2" s="4" t="n"/>
      <c r="P2" s="3" t="inlineStr">
        <is>
          <t>REACCIONES (kg)</t>
        </is>
      </c>
      <c r="Q2" s="4" t="n"/>
      <c r="R2" s="3" t="inlineStr">
        <is>
          <t>OBSERVACIONES</t>
        </is>
      </c>
      <c r="S2" s="3" t="inlineStr">
        <is>
          <t>DATOS AUXILIARES</t>
        </is>
      </c>
      <c r="T2" s="4" t="n"/>
    </row>
    <row r="3" ht="30" customHeight="1">
      <c r="A3" s="4" t="n"/>
      <c r="B3" s="4" t="n"/>
      <c r="C3" s="4" t="n"/>
      <c r="D3" s="4" t="n"/>
      <c r="E3" s="5" t="inlineStr">
        <is>
          <t>p</t>
        </is>
      </c>
      <c r="F3" s="5" t="inlineStr">
        <is>
          <t>diagrama</t>
        </is>
      </c>
      <c r="G3" s="5" t="inlineStr">
        <is>
          <t>h</t>
        </is>
      </c>
      <c r="H3" s="5" t="inlineStr">
        <is>
          <t>d</t>
        </is>
      </c>
      <c r="I3" s="4" t="n"/>
      <c r="J3" s="5" t="inlineStr">
        <is>
          <t>cm2</t>
        </is>
      </c>
      <c r="K3" s="5" t="inlineStr">
        <is>
          <t>o</t>
        </is>
      </c>
      <c r="L3" s="5" t="inlineStr">
        <is>
          <t>separ</t>
        </is>
      </c>
      <c r="M3" s="5" t="inlineStr">
        <is>
          <t>cm2</t>
        </is>
      </c>
      <c r="N3" s="5" t="inlineStr">
        <is>
          <t>o</t>
        </is>
      </c>
      <c r="O3" s="5" t="inlineStr">
        <is>
          <t>separ</t>
        </is>
      </c>
      <c r="P3" s="5" t="inlineStr">
        <is>
          <t>Rx</t>
        </is>
      </c>
      <c r="Q3" s="5" t="inlineStr">
        <is>
          <t>Ry</t>
        </is>
      </c>
      <c r="R3" s="4" t="n"/>
      <c r="S3" s="5" t="inlineStr">
        <is>
          <t>luz transv.</t>
        </is>
      </c>
      <c r="T3" s="5" t="inlineStr">
        <is>
          <t>k carga</t>
        </is>
      </c>
    </row>
    <row r="4" ht="46" customHeight="1">
      <c r="A4" s="22" t="inlineStr">
        <is>
          <t>S/PB</t>
        </is>
      </c>
      <c r="B4" s="23" t="inlineStr">
        <is>
          <t>L01</t>
        </is>
      </c>
      <c r="C4" s="8" t="n">
        <v>3.65</v>
      </c>
      <c r="D4" s="10" t="inlineStr">
        <is>
          <t>1/8</t>
        </is>
      </c>
      <c r="E4" s="24">
        <f>(Datos_losas!$B$9*H4/100+VLOOKUP($A$4,Datos_losas!$A$16:$C$17,2,0)+VLOOKUP($A$4,Datos_losas!$A$16:$C$17,3,0))*T4</f>
        <v/>
      </c>
      <c r="F4" s="11" t="n"/>
      <c r="G4" s="31">
        <f>H4-Datos_losas!$B$10</f>
        <v/>
      </c>
      <c r="H4" s="10" t="n">
        <v>11</v>
      </c>
      <c r="I4" s="24">
        <f>IF(C4="","",VLOOKUP(D4,Datos_losas!$A$21:$D$25,2,0)*E4*C4^2)</f>
        <v/>
      </c>
      <c r="J4" s="25">
        <f>IF(I4="","",MAX(I4*100/(Datos_losas!$B$7*Datos_losas!$B$8*G4),Datos_losas!$B$13))</f>
        <v/>
      </c>
      <c r="K4" s="10" t="n">
        <v>12</v>
      </c>
      <c r="L4" s="11">
        <f>IF(J4="","",MIN(Datos_losas!$B$11,ROUND(100*PI()*(K4/10)^2/4/J4,0)))</f>
        <v/>
      </c>
      <c r="M4" s="25">
        <f>IF(J4="","",MAX(Datos_losas!$B$12*J4,Datos_losas!$B$13))</f>
        <v/>
      </c>
      <c r="N4" s="10" t="n">
        <v>6</v>
      </c>
      <c r="O4" s="11">
        <f>IF(M4="","",MIN(Datos_losas!$B$11,ROUND(100*PI()*(N4/10)^2/4/M4,0)))</f>
        <v/>
      </c>
      <c r="P4" s="24">
        <f>IF(C4="","",VLOOKUP(D4,Datos_losas!$A$21:$D$25,3,0)*E4*C4)</f>
        <v/>
      </c>
      <c r="Q4" s="24">
        <f>IF(C4="","",IF(VLOOKUP(D4,Datos_losas!$A$21:$D$25,4,0)="Voladizo","---",P4))</f>
        <v/>
      </c>
      <c r="R4" s="32" t="n"/>
      <c r="S4" s="12" t="n"/>
      <c r="T4" s="33">
        <f>IF(S4="",1,S4^4/(C4^4+S4^4))</f>
        <v/>
      </c>
    </row>
    <row r="5" ht="46" customHeight="1">
      <c r="A5" s="26" t="n"/>
      <c r="B5" s="23" t="inlineStr">
        <is>
          <t>L02</t>
        </is>
      </c>
      <c r="C5" s="8" t="n">
        <v>0.8</v>
      </c>
      <c r="D5" s="10" t="inlineStr">
        <is>
          <t>1/2</t>
        </is>
      </c>
      <c r="E5" s="24">
        <f>(Datos_losas!$B$9*H5/100+VLOOKUP($A$4,Datos_losas!$A$16:$C$17,2,0)+VLOOKUP($A$4,Datos_losas!$A$16:$C$17,3,0))*T5</f>
        <v/>
      </c>
      <c r="F5" s="11" t="n"/>
      <c r="G5" s="31">
        <f>H5-Datos_losas!$B$10</f>
        <v/>
      </c>
      <c r="H5" s="10" t="n">
        <v>9</v>
      </c>
      <c r="I5" s="24">
        <f>IF(C5="","",VLOOKUP(D5,Datos_losas!$A$21:$D$25,2,0)*E5*C5^2)</f>
        <v/>
      </c>
      <c r="J5" s="25">
        <f>IF(I5="","",MAX(I5*100/(Datos_losas!$B$7*Datos_losas!$B$8*G5),Datos_losas!$B$13))</f>
        <v/>
      </c>
      <c r="K5" s="10" t="n">
        <v>12</v>
      </c>
      <c r="L5" s="11">
        <f>IF(J5="","",MIN(Datos_losas!$B$11,ROUND(100*PI()*(K5/10)^2/4/J5,0)))</f>
        <v/>
      </c>
      <c r="M5" s="25">
        <f>IF(J5="","",MAX(Datos_losas!$B$12*J5,Datos_losas!$B$13))</f>
        <v/>
      </c>
      <c r="N5" s="10" t="n">
        <v>6</v>
      </c>
      <c r="O5" s="11">
        <f>IF(M5="","",MIN(Datos_losas!$B$11,ROUND(100*PI()*(N5/10)^2/4/M5,0)))</f>
        <v/>
      </c>
      <c r="P5" s="24">
        <f>IF(C5="","",VLOOKUP(D5,Datos_losas!$A$21:$D$25,3,0)*E5*C5)</f>
        <v/>
      </c>
      <c r="Q5" s="24">
        <f>IF(C5="","",IF(VLOOKUP(D5,Datos_losas!$A$21:$D$25,4,0)="Voladizo","---",P5))</f>
        <v/>
      </c>
      <c r="R5" s="13" t="inlineStr">
        <is>
          <t>Voladizo: un solo apoyo.</t>
        </is>
      </c>
      <c r="S5" s="12" t="n"/>
      <c r="T5" s="33">
        <f>IF(S5="",1,S5^4/(C5^4+S5^4))</f>
        <v/>
      </c>
    </row>
    <row r="6" ht="46" customHeight="1">
      <c r="A6" s="26" t="n"/>
      <c r="B6" s="23" t="inlineStr">
        <is>
          <t>L03</t>
        </is>
      </c>
      <c r="C6" s="8" t="n">
        <v>4.15</v>
      </c>
      <c r="D6" s="10" t="inlineStr">
        <is>
          <t>1/8</t>
        </is>
      </c>
      <c r="E6" s="24">
        <f>(Datos_losas!$B$9*H6/100+VLOOKUP($A$4,Datos_losas!$A$16:$C$17,2,0)+VLOOKUP($A$4,Datos_losas!$A$16:$C$17,3,0))*T6</f>
        <v/>
      </c>
      <c r="F6" s="11" t="n"/>
      <c r="G6" s="31">
        <f>H6-Datos_losas!$B$10</f>
        <v/>
      </c>
      <c r="H6" s="10" t="n">
        <v>13</v>
      </c>
      <c r="I6" s="24">
        <f>IF(C6="","",VLOOKUP(D6,Datos_losas!$A$21:$D$25,2,0)*E6*C6^2)</f>
        <v/>
      </c>
      <c r="J6" s="25">
        <f>IF(I6="","",MAX(I6*100/(Datos_losas!$B$7*Datos_losas!$B$8*G6),Datos_losas!$B$13))</f>
        <v/>
      </c>
      <c r="K6" s="10" t="n">
        <v>12</v>
      </c>
      <c r="L6" s="11">
        <f>IF(J6="","",MIN(Datos_losas!$B$11,ROUND(100*PI()*(K6/10)^2/4/J6,0)))</f>
        <v/>
      </c>
      <c r="M6" s="25">
        <f>IF(J6="","",MAX(Datos_losas!$B$12*J6,Datos_losas!$B$13))</f>
        <v/>
      </c>
      <c r="N6" s="10" t="n">
        <v>6</v>
      </c>
      <c r="O6" s="11">
        <f>IF(M6="","",MIN(Datos_losas!$B$11,ROUND(100*PI()*(N6/10)^2/4/M6,0)))</f>
        <v/>
      </c>
      <c r="P6" s="24">
        <f>IF(C6="","",VLOOKUP(D6,Datos_losas!$A$21:$D$25,3,0)*E6*C6)</f>
        <v/>
      </c>
      <c r="Q6" s="24">
        <f>IF(C6="","",IF(VLOOKUP(D6,Datos_losas!$A$21:$D$25,4,0)="Voladizo","---",P6))</f>
        <v/>
      </c>
      <c r="R6" s="32" t="n"/>
      <c r="S6" s="12" t="n"/>
      <c r="T6" s="33">
        <f>IF(S6="",1,S6^4/(C6^4+S6^4))</f>
        <v/>
      </c>
    </row>
    <row r="7" ht="46" customHeight="1">
      <c r="A7" s="26" t="n"/>
      <c r="B7" s="23" t="inlineStr">
        <is>
          <t>L04</t>
        </is>
      </c>
      <c r="C7" s="8" t="n">
        <v>3.73</v>
      </c>
      <c r="D7" s="10" t="inlineStr">
        <is>
          <t>1/8</t>
        </is>
      </c>
      <c r="E7" s="24">
        <f>(Datos_losas!$B$9*H7/100+VLOOKUP($A$4,Datos_losas!$A$16:$C$17,2,0)+VLOOKUP($A$4,Datos_losas!$A$16:$C$17,3,0))*T7</f>
        <v/>
      </c>
      <c r="F7" s="11" t="n"/>
      <c r="G7" s="31">
        <f>H7-Datos_losas!$B$10</f>
        <v/>
      </c>
      <c r="H7" s="10" t="n">
        <v>11</v>
      </c>
      <c r="I7" s="24">
        <f>IF(C7="","",VLOOKUP(D7,Datos_losas!$A$21:$D$25,2,0)*E7*C7^2)</f>
        <v/>
      </c>
      <c r="J7" s="25">
        <f>IF(I7="","",MAX(I7*100/(Datos_losas!$B$7*Datos_losas!$B$8*G7),Datos_losas!$B$13))</f>
        <v/>
      </c>
      <c r="K7" s="10" t="n">
        <v>12</v>
      </c>
      <c r="L7" s="11">
        <f>IF(J7="","",MIN(Datos_losas!$B$11,ROUND(100*PI()*(K7/10)^2/4/J7,0)))</f>
        <v/>
      </c>
      <c r="M7" s="25">
        <f>IF(J7="","",MAX(Datos_losas!$B$12*J7,Datos_losas!$B$13))</f>
        <v/>
      </c>
      <c r="N7" s="10" t="n">
        <v>6</v>
      </c>
      <c r="O7" s="11">
        <f>IF(M7="","",MIN(Datos_losas!$B$11,ROUND(100*PI()*(N7/10)^2/4/M7,0)))</f>
        <v/>
      </c>
      <c r="P7" s="24">
        <f>IF(C7="","",VLOOKUP(D7,Datos_losas!$A$21:$D$25,3,0)*E7*C7)</f>
        <v/>
      </c>
      <c r="Q7" s="24">
        <f>IF(C7="","",IF(VLOOKUP(D7,Datos_losas!$A$21:$D$25,4,0)="Voladizo","---",P7))</f>
        <v/>
      </c>
      <c r="R7" s="32" t="n"/>
      <c r="S7" s="12" t="n"/>
      <c r="T7" s="33">
        <f>IF(S7="",1,S7^4/(C7^4+S7^4))</f>
        <v/>
      </c>
    </row>
    <row r="8" ht="46" customHeight="1">
      <c r="A8" s="26" t="n"/>
      <c r="B8" s="23" t="inlineStr">
        <is>
          <t>L05</t>
        </is>
      </c>
      <c r="C8" s="8" t="n">
        <v>3.73</v>
      </c>
      <c r="D8" s="10" t="inlineStr">
        <is>
          <t>1/8</t>
        </is>
      </c>
      <c r="E8" s="24">
        <f>(Datos_losas!$B$9*H8/100+VLOOKUP($A$4,Datos_losas!$A$16:$C$17,2,0)+VLOOKUP($A$4,Datos_losas!$A$16:$C$17,3,0))*T8</f>
        <v/>
      </c>
      <c r="F8" s="11" t="n"/>
      <c r="G8" s="31">
        <f>H8-Datos_losas!$B$10</f>
        <v/>
      </c>
      <c r="H8" s="10" t="n">
        <v>11</v>
      </c>
      <c r="I8" s="24">
        <f>IF(C8="","",VLOOKUP(D8,Datos_losas!$A$21:$D$25,2,0)*E8*C8^2)</f>
        <v/>
      </c>
      <c r="J8" s="25">
        <f>IF(I8="","",MAX(I8*100/(Datos_losas!$B$7*Datos_losas!$B$8*G8),Datos_losas!$B$13))</f>
        <v/>
      </c>
      <c r="K8" s="10" t="n">
        <v>12</v>
      </c>
      <c r="L8" s="11">
        <f>IF(J8="","",MIN(Datos_losas!$B$11,ROUND(100*PI()*(K8/10)^2/4/J8,0)))</f>
        <v/>
      </c>
      <c r="M8" s="25">
        <f>IF(J8="","",MAX(Datos_losas!$B$12*J8,Datos_losas!$B$13))</f>
        <v/>
      </c>
      <c r="N8" s="10" t="n">
        <v>6</v>
      </c>
      <c r="O8" s="11">
        <f>IF(M8="","",MIN(Datos_losas!$B$11,ROUND(100*PI()*(N8/10)^2/4/M8,0)))</f>
        <v/>
      </c>
      <c r="P8" s="24">
        <f>IF(C8="","",VLOOKUP(D8,Datos_losas!$A$21:$D$25,3,0)*E8*C8)</f>
        <v/>
      </c>
      <c r="Q8" s="24">
        <f>IF(C8="","",IF(VLOOKUP(D8,Datos_losas!$A$21:$D$25,4,0)="Voladizo","---",P8))</f>
        <v/>
      </c>
      <c r="R8" s="32" t="n"/>
      <c r="S8" s="12" t="n"/>
      <c r="T8" s="33">
        <f>IF(S8="",1,S8^4/(C8^4+S8^4))</f>
        <v/>
      </c>
    </row>
    <row r="9" ht="46" customHeight="1">
      <c r="A9" s="26" t="n"/>
      <c r="B9" s="23" t="inlineStr">
        <is>
          <t>L06</t>
        </is>
      </c>
      <c r="C9" s="8" t="n">
        <v>2.15</v>
      </c>
      <c r="D9" s="10" t="inlineStr">
        <is>
          <t>1/8</t>
        </is>
      </c>
      <c r="E9" s="24">
        <f>(Datos_losas!$B$9*H9/100+VLOOKUP($A$4,Datos_losas!$A$16:$C$17,2,0)+VLOOKUP($A$4,Datos_losas!$A$16:$C$17,3,0))*T9</f>
        <v/>
      </c>
      <c r="F9" s="11" t="n"/>
      <c r="G9" s="31">
        <f>H9-Datos_losas!$B$10</f>
        <v/>
      </c>
      <c r="H9" s="10" t="n">
        <v>8</v>
      </c>
      <c r="I9" s="24">
        <f>IF(C9="","",VLOOKUP(D9,Datos_losas!$A$21:$D$25,2,0)*E9*C9^2)</f>
        <v/>
      </c>
      <c r="J9" s="25">
        <f>IF(I9="","",MAX(I9*100/(Datos_losas!$B$7*Datos_losas!$B$8*G9),Datos_losas!$B$13))</f>
        <v/>
      </c>
      <c r="K9" s="10" t="n">
        <v>12</v>
      </c>
      <c r="L9" s="11">
        <f>IF(J9="","",MIN(Datos_losas!$B$11,ROUND(100*PI()*(K9/10)^2/4/J9,0)))</f>
        <v/>
      </c>
      <c r="M9" s="25">
        <f>IF(J9="","",MAX(Datos_losas!$B$12*J9,Datos_losas!$B$13))</f>
        <v/>
      </c>
      <c r="N9" s="10" t="n">
        <v>6</v>
      </c>
      <c r="O9" s="11">
        <f>IF(M9="","",MIN(Datos_losas!$B$11,ROUND(100*PI()*(N9/10)^2/4/M9,0)))</f>
        <v/>
      </c>
      <c r="P9" s="24">
        <f>IF(C9="","",VLOOKUP(D9,Datos_losas!$A$21:$D$25,3,0)*E9*C9)</f>
        <v/>
      </c>
      <c r="Q9" s="24">
        <f>IF(C9="","",IF(VLOOKUP(D9,Datos_losas!$A$21:$D$25,4,0)="Voladizo","---",P9))</f>
        <v/>
      </c>
      <c r="R9" s="32" t="n"/>
      <c r="S9" s="12" t="n"/>
      <c r="T9" s="33">
        <f>IF(S9="",1,S9^4/(C9^4+S9^4))</f>
        <v/>
      </c>
    </row>
    <row r="10" ht="46" customHeight="1">
      <c r="A10" s="26" t="n"/>
      <c r="B10" s="23" t="inlineStr">
        <is>
          <t>L07 (x)</t>
        </is>
      </c>
      <c r="C10" s="8" t="n">
        <v>4.85</v>
      </c>
      <c r="D10" s="10" t="inlineStr">
        <is>
          <t>1/8</t>
        </is>
      </c>
      <c r="E10" s="24">
        <f>(Datos_losas!$B$9*H10/100+VLOOKUP($A$4,Datos_losas!$A$16:$C$17,2,0)+VLOOKUP($A$4,Datos_losas!$A$16:$C$17,3,0))*T10</f>
        <v/>
      </c>
      <c r="F10" s="11" t="n"/>
      <c r="G10" s="31">
        <f>H10-Datos_losas!$B$10</f>
        <v/>
      </c>
      <c r="H10" s="10" t="n">
        <v>12</v>
      </c>
      <c r="I10" s="24">
        <f>IF(C10="","",VLOOKUP(D10,Datos_losas!$A$21:$D$25,2,0)*E10*C10^2)</f>
        <v/>
      </c>
      <c r="J10" s="25">
        <f>IF(I10="","",MAX(I10*100/(Datos_losas!$B$7*Datos_losas!$B$8*G10),Datos_losas!$B$13))</f>
        <v/>
      </c>
      <c r="K10" s="10" t="n">
        <v>12</v>
      </c>
      <c r="L10" s="11">
        <f>IF(J10="","",MIN(Datos_losas!$B$11,ROUND(100*PI()*(K10/10)^2/4/J10,0)))</f>
        <v/>
      </c>
      <c r="M10" s="25">
        <f>IF(J10="","",MAX(Datos_losas!$B$12*J10,Datos_losas!$B$13))</f>
        <v/>
      </c>
      <c r="N10" s="10" t="n">
        <v>6</v>
      </c>
      <c r="O10" s="11">
        <f>IF(M10="","",MIN(Datos_losas!$B$11,ROUND(100*PI()*(N10/10)^2/4/M10,0)))</f>
        <v/>
      </c>
      <c r="P10" s="24">
        <f>IF(C10="","",VLOOKUP(D10,Datos_losas!$A$21:$D$25,3,0)*E10*C10)</f>
        <v/>
      </c>
      <c r="Q10" s="24">
        <f>IF(C10="","",IF(VLOOKUP(D10,Datos_losas!$A$21:$D$25,4,0)="Voladizo","---",P10))</f>
        <v/>
      </c>
      <c r="R10" s="13" t="inlineStr">
        <is>
          <t>Losa cruzada 4,85 x 5,60 (ly/lx = 1,15). Direccion corta: toma el 64% de la carga por reparto de Marcus.</t>
        </is>
      </c>
      <c r="S10" s="12" t="n">
        <v>5.6</v>
      </c>
      <c r="T10" s="33">
        <f>IF(S10="",1,S10^4/(C10^4+S10^4))</f>
        <v/>
      </c>
    </row>
    <row r="11" ht="46" customHeight="1">
      <c r="A11" s="26" t="n"/>
      <c r="B11" s="23" t="inlineStr">
        <is>
          <t>L07 (y)</t>
        </is>
      </c>
      <c r="C11" s="8" t="n">
        <v>5.6</v>
      </c>
      <c r="D11" s="10" t="inlineStr">
        <is>
          <t>1/8</t>
        </is>
      </c>
      <c r="E11" s="24">
        <f>(Datos_losas!$B$9*H11/100+VLOOKUP($A$4,Datos_losas!$A$16:$C$17,2,0)+VLOOKUP($A$4,Datos_losas!$A$16:$C$17,3,0))*T11</f>
        <v/>
      </c>
      <c r="F11" s="11" t="n"/>
      <c r="G11" s="31">
        <f>H11-Datos_losas!$B$10</f>
        <v/>
      </c>
      <c r="H11" s="10" t="n">
        <v>12</v>
      </c>
      <c r="I11" s="24">
        <f>IF(C11="","",VLOOKUP(D11,Datos_losas!$A$21:$D$25,2,0)*E11*C11^2)</f>
        <v/>
      </c>
      <c r="J11" s="25">
        <f>IF(I11="","",MAX(I11*100/(Datos_losas!$B$7*Datos_losas!$B$8*G11),Datos_losas!$B$13))</f>
        <v/>
      </c>
      <c r="K11" s="10" t="n">
        <v>12</v>
      </c>
      <c r="L11" s="11">
        <f>IF(J11="","",MIN(Datos_losas!$B$11,ROUND(100*PI()*(K11/10)^2/4/J11,0)))</f>
        <v/>
      </c>
      <c r="M11" s="25">
        <f>IF(J11="","",MAX(Datos_losas!$B$12*J11,Datos_losas!$B$13))</f>
        <v/>
      </c>
      <c r="N11" s="10" t="n">
        <v>6</v>
      </c>
      <c r="O11" s="11">
        <f>IF(M11="","",MIN(Datos_losas!$B$11,ROUND(100*PI()*(N11/10)^2/4/M11,0)))</f>
        <v/>
      </c>
      <c r="P11" s="24">
        <f>IF(C11="","",VLOOKUP(D11,Datos_losas!$A$21:$D$25,3,0)*E11*C11)</f>
        <v/>
      </c>
      <c r="Q11" s="24">
        <f>IF(C11="","",IF(VLOOKUP(D11,Datos_losas!$A$21:$D$25,4,0)="Voladizo","---",P11))</f>
        <v/>
      </c>
      <c r="R11" s="13" t="inlineStr">
        <is>
          <t>Misma losa, direccion larga: toma el 36% restante. La armadura va cruzada con la fila anterior.</t>
        </is>
      </c>
      <c r="S11" s="12" t="n">
        <v>4.85</v>
      </c>
      <c r="T11" s="33">
        <f>IF(S11="",1,S11^4/(C11^4+S11^4))</f>
        <v/>
      </c>
    </row>
    <row r="12" ht="46" customHeight="1">
      <c r="A12" s="27" t="n"/>
      <c r="B12" s="28" t="inlineStr">
        <is>
          <t>L08</t>
        </is>
      </c>
      <c r="C12" s="15" t="n">
        <v>0.75</v>
      </c>
      <c r="D12" s="17" t="inlineStr">
        <is>
          <t>1/2</t>
        </is>
      </c>
      <c r="E12" s="29">
        <f>(Datos_losas!$B$9*H12/100+VLOOKUP($A$4,Datos_losas!$A$16:$C$17,2,0)+VLOOKUP($A$4,Datos_losas!$A$16:$C$17,3,0))*T12</f>
        <v/>
      </c>
      <c r="F12" s="18" t="n"/>
      <c r="G12" s="34">
        <f>H12-Datos_losas!$B$10</f>
        <v/>
      </c>
      <c r="H12" s="17" t="n">
        <v>10</v>
      </c>
      <c r="I12" s="29">
        <f>IF(C12="","",VLOOKUP(D12,Datos_losas!$A$21:$D$25,2,0)*E12*C12^2)</f>
        <v/>
      </c>
      <c r="J12" s="30">
        <f>IF(I12="","",MAX(I12*100/(Datos_losas!$B$7*Datos_losas!$B$8*G12),Datos_losas!$B$13))</f>
        <v/>
      </c>
      <c r="K12" s="17" t="n">
        <v>12</v>
      </c>
      <c r="L12" s="18">
        <f>IF(J12="","",MIN(Datos_losas!$B$11,ROUND(100*PI()*(K12/10)^2/4/J12,0)))</f>
        <v/>
      </c>
      <c r="M12" s="30">
        <f>IF(J12="","",MAX(Datos_losas!$B$12*J12,Datos_losas!$B$13))</f>
        <v/>
      </c>
      <c r="N12" s="17" t="n">
        <v>6</v>
      </c>
      <c r="O12" s="18">
        <f>IF(M12="","",MIN(Datos_losas!$B$11,ROUND(100*PI()*(N12/10)^2/4/M12,0)))</f>
        <v/>
      </c>
      <c r="P12" s="29">
        <f>IF(C12="","",VLOOKUP(D12,Datos_losas!$A$21:$D$25,3,0)*E12*C12)</f>
        <v/>
      </c>
      <c r="Q12" s="29">
        <f>IF(C12="","",IF(VLOOKUP(D12,Datos_losas!$A$21:$D$25,4,0)="Voladizo","---",P12))</f>
        <v/>
      </c>
      <c r="R12" s="20" t="inlineStr">
        <is>
          <t>Voladizo: un solo apoyo.</t>
        </is>
      </c>
      <c r="S12" s="19" t="n"/>
      <c r="T12" s="35">
        <f>IF(S12="",1,S12^4/(C12^4+S12^4))</f>
        <v/>
      </c>
    </row>
    <row r="13" ht="46" customHeight="1">
      <c r="A13" s="22" t="inlineStr">
        <is>
          <t>S/PA</t>
        </is>
      </c>
      <c r="B13" s="23" t="inlineStr">
        <is>
          <t>L09</t>
        </is>
      </c>
      <c r="C13" s="8" t="n">
        <v>4.2</v>
      </c>
      <c r="D13" s="10" t="inlineStr">
        <is>
          <t>1/8</t>
        </is>
      </c>
      <c r="E13" s="24">
        <f>(Datos_losas!$B$9*H13/100+VLOOKUP($A$13,Datos_losas!$A$16:$C$17,2,0)+VLOOKUP($A$13,Datos_losas!$A$16:$C$17,3,0))*T13</f>
        <v/>
      </c>
      <c r="F13" s="11" t="n"/>
      <c r="G13" s="31">
        <f>H13-Datos_losas!$B$10</f>
        <v/>
      </c>
      <c r="H13" s="10" t="n">
        <v>13</v>
      </c>
      <c r="I13" s="24">
        <f>IF(C13="","",VLOOKUP(D13,Datos_losas!$A$21:$D$25,2,0)*E13*C13^2)</f>
        <v/>
      </c>
      <c r="J13" s="25">
        <f>IF(I13="","",MAX(I13*100/(Datos_losas!$B$7*Datos_losas!$B$8*G13),Datos_losas!$B$13))</f>
        <v/>
      </c>
      <c r="K13" s="10" t="n">
        <v>12</v>
      </c>
      <c r="L13" s="11">
        <f>IF(J13="","",MIN(Datos_losas!$B$11,ROUND(100*PI()*(K13/10)^2/4/J13,0)))</f>
        <v/>
      </c>
      <c r="M13" s="25">
        <f>IF(J13="","",MAX(Datos_losas!$B$12*J13,Datos_losas!$B$13))</f>
        <v/>
      </c>
      <c r="N13" s="10" t="n">
        <v>6</v>
      </c>
      <c r="O13" s="11">
        <f>IF(M13="","",MIN(Datos_losas!$B$11,ROUND(100*PI()*(N13/10)^2/4/M13,0)))</f>
        <v/>
      </c>
      <c r="P13" s="24">
        <f>IF(C13="","",VLOOKUP(D13,Datos_losas!$A$21:$D$25,3,0)*E13*C13)</f>
        <v/>
      </c>
      <c r="Q13" s="24">
        <f>IF(C13="","",IF(VLOOKUP(D13,Datos_losas!$A$21:$D$25,4,0)="Voladizo","---",P13))</f>
        <v/>
      </c>
      <c r="R13" s="32" t="n"/>
      <c r="S13" s="12" t="n"/>
      <c r="T13" s="33">
        <f>IF(S13="",1,S13^4/(C13^4+S13^4))</f>
        <v/>
      </c>
    </row>
    <row r="14" ht="46" customHeight="1">
      <c r="A14" s="26" t="n"/>
      <c r="B14" s="23" t="inlineStr">
        <is>
          <t>L10 (x)</t>
        </is>
      </c>
      <c r="C14" s="8" t="n">
        <v>4.85</v>
      </c>
      <c r="D14" s="10" t="inlineStr">
        <is>
          <t>1/8</t>
        </is>
      </c>
      <c r="E14" s="24">
        <f>(Datos_losas!$B$9*H14/100+VLOOKUP($A$13,Datos_losas!$A$16:$C$17,2,0)+VLOOKUP($A$13,Datos_losas!$A$16:$C$17,3,0))*T14</f>
        <v/>
      </c>
      <c r="F14" s="11" t="n"/>
      <c r="G14" s="31">
        <f>H14-Datos_losas!$B$10</f>
        <v/>
      </c>
      <c r="H14" s="10" t="n">
        <v>12</v>
      </c>
      <c r="I14" s="24">
        <f>IF(C14="","",VLOOKUP(D14,Datos_losas!$A$21:$D$25,2,0)*E14*C14^2)</f>
        <v/>
      </c>
      <c r="J14" s="25">
        <f>IF(I14="","",MAX(I14*100/(Datos_losas!$B$7*Datos_losas!$B$8*G14),Datos_losas!$B$13))</f>
        <v/>
      </c>
      <c r="K14" s="10" t="n">
        <v>12</v>
      </c>
      <c r="L14" s="11">
        <f>IF(J14="","",MIN(Datos_losas!$B$11,ROUND(100*PI()*(K14/10)^2/4/J14,0)))</f>
        <v/>
      </c>
      <c r="M14" s="25">
        <f>IF(J14="","",MAX(Datos_losas!$B$12*J14,Datos_losas!$B$13))</f>
        <v/>
      </c>
      <c r="N14" s="10" t="n">
        <v>6</v>
      </c>
      <c r="O14" s="11">
        <f>IF(M14="","",MIN(Datos_losas!$B$11,ROUND(100*PI()*(N14/10)^2/4/M14,0)))</f>
        <v/>
      </c>
      <c r="P14" s="24">
        <f>IF(C14="","",VLOOKUP(D14,Datos_losas!$A$21:$D$25,3,0)*E14*C14)</f>
        <v/>
      </c>
      <c r="Q14" s="24">
        <f>IF(C14="","",IF(VLOOKUP(D14,Datos_losas!$A$21:$D$25,4,0)="Voladizo","---",P14))</f>
        <v/>
      </c>
      <c r="R14" s="13" t="inlineStr">
        <is>
          <t>Losa cruzada 4,85 x 6,00 (ly/lx = 1,24). Direccion corta: toma el 70% de la carga por reparto de Marcus.</t>
        </is>
      </c>
      <c r="S14" s="12" t="n">
        <v>6</v>
      </c>
      <c r="T14" s="33">
        <f>IF(S14="",1,S14^4/(C14^4+S14^4))</f>
        <v/>
      </c>
    </row>
    <row r="15" ht="46" customHeight="1">
      <c r="A15" s="27" t="n"/>
      <c r="B15" s="28" t="inlineStr">
        <is>
          <t>L10 (y)</t>
        </is>
      </c>
      <c r="C15" s="15" t="n">
        <v>6</v>
      </c>
      <c r="D15" s="17" t="inlineStr">
        <is>
          <t>1/8</t>
        </is>
      </c>
      <c r="E15" s="29">
        <f>(Datos_losas!$B$9*H15/100+VLOOKUP($A$13,Datos_losas!$A$16:$C$17,2,0)+VLOOKUP($A$13,Datos_losas!$A$16:$C$17,3,0))*T15</f>
        <v/>
      </c>
      <c r="F15" s="18" t="n"/>
      <c r="G15" s="34">
        <f>H15-Datos_losas!$B$10</f>
        <v/>
      </c>
      <c r="H15" s="17" t="n">
        <v>12</v>
      </c>
      <c r="I15" s="29">
        <f>IF(C15="","",VLOOKUP(D15,Datos_losas!$A$21:$D$25,2,0)*E15*C15^2)</f>
        <v/>
      </c>
      <c r="J15" s="30">
        <f>IF(I15="","",MAX(I15*100/(Datos_losas!$B$7*Datos_losas!$B$8*G15),Datos_losas!$B$13))</f>
        <v/>
      </c>
      <c r="K15" s="17" t="n">
        <v>12</v>
      </c>
      <c r="L15" s="18">
        <f>IF(J15="","",MIN(Datos_losas!$B$11,ROUND(100*PI()*(K15/10)^2/4/J15,0)))</f>
        <v/>
      </c>
      <c r="M15" s="30">
        <f>IF(J15="","",MAX(Datos_losas!$B$12*J15,Datos_losas!$B$13))</f>
        <v/>
      </c>
      <c r="N15" s="17" t="n">
        <v>6</v>
      </c>
      <c r="O15" s="18">
        <f>IF(M15="","",MIN(Datos_losas!$B$11,ROUND(100*PI()*(N15/10)^2/4/M15,0)))</f>
        <v/>
      </c>
      <c r="P15" s="29">
        <f>IF(C15="","",VLOOKUP(D15,Datos_losas!$A$21:$D$25,3,0)*E15*C15)</f>
        <v/>
      </c>
      <c r="Q15" s="29">
        <f>IF(C15="","",IF(VLOOKUP(D15,Datos_losas!$A$21:$D$25,4,0)="Voladizo","---",P15))</f>
        <v/>
      </c>
      <c r="R15" s="20" t="inlineStr">
        <is>
          <t>Misma losa, direccion larga: toma el 30% restante. La armadura va cruzada con la fila anterior.</t>
        </is>
      </c>
      <c r="S15" s="19" t="n">
        <v>4.85</v>
      </c>
      <c r="T15" s="35">
        <f>IF(S15="",1,S15^4/(C15^4+S15^4))</f>
        <v/>
      </c>
    </row>
  </sheetData>
  <mergeCells count="15">
    <mergeCell ref="A1:T1"/>
    <mergeCell ref="J2:L2"/>
    <mergeCell ref="S2:T2"/>
    <mergeCell ref="G2:H2"/>
    <mergeCell ref="C2:C3"/>
    <mergeCell ref="E2:F2"/>
    <mergeCell ref="A4:A12"/>
    <mergeCell ref="P2:Q2"/>
    <mergeCell ref="B2:B3"/>
    <mergeCell ref="A2:A3"/>
    <mergeCell ref="D2:D3"/>
    <mergeCell ref="R2:R3"/>
    <mergeCell ref="M2:O2"/>
    <mergeCell ref="I2:I3"/>
    <mergeCell ref="A13:A15"/>
  </mergeCells>
  <dataValidations count="2">
    <dataValidation sqref="D4:D15" showDropDown="0" showInputMessage="0" showErrorMessage="0" allowBlank="1" type="list">
      <formula1>=Datos_losas!$A$21:$A$25</formula1>
    </dataValidation>
    <dataValidation sqref="K4:K15 N4:N15" showDropDown="0" showInputMessage="0" showErrorMessage="0" allowBlank="1" type="list">
      <formula1>"6,8,10,12,16"</formula1>
    </dataValidation>
  </dataValidations>
  <pageMargins left="0.75" right="0.75" top="1" bottom="1" header="0.5" footer="0.5"/>
  <pageSetup orientation="landscape" fitToWidth="1"/>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R16"/>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0" customWidth="1" min="2" max="2"/>
    <col width="10" customWidth="1" min="3" max="3"/>
    <col width="10" customWidth="1" min="4" max="4"/>
    <col width="7" customWidth="1" min="5" max="5"/>
    <col width="7" customWidth="1" min="6" max="6"/>
    <col width="8" customWidth="1" min="7" max="7"/>
    <col width="8" customWidth="1" min="8" max="8"/>
    <col width="6" customWidth="1" min="9" max="9"/>
    <col width="6" customWidth="1" min="10" max="10"/>
    <col width="6" customWidth="1" min="11" max="11"/>
    <col width="8" customWidth="1" min="12" max="12"/>
    <col width="14" customWidth="1" min="13" max="13"/>
    <col width="42" customWidth="1" min="14" max="14"/>
    <col width="9" customWidth="1" min="15" max="15"/>
    <col width="10" customWidth="1" min="16" max="16"/>
    <col width="9" customWidth="1" min="17" max="17"/>
    <col width="12" customWidth="1" min="18" max="18"/>
  </cols>
  <sheetData>
    <row r="1" ht="22" customHeight="1">
      <c r="A1" s="36" t="inlineStr">
        <is>
          <t>COLUMNAS  H°A°        H-21        ACERO 42/50</t>
        </is>
      </c>
      <c r="B1" s="2" t="n"/>
      <c r="C1" s="2" t="n"/>
      <c r="D1" s="2" t="n"/>
      <c r="E1" s="2" t="n"/>
      <c r="F1" s="2" t="n"/>
      <c r="G1" s="2" t="n"/>
      <c r="H1" s="2" t="n"/>
      <c r="I1" s="2" t="n"/>
      <c r="J1" s="2" t="n"/>
      <c r="K1" s="2" t="n"/>
      <c r="L1" s="2" t="n"/>
      <c r="M1" s="2" t="n"/>
      <c r="N1" s="2" t="n"/>
      <c r="O1" s="2" t="n"/>
      <c r="P1" s="2" t="n"/>
      <c r="Q1" s="2" t="n"/>
      <c r="R1" s="2" t="n"/>
    </row>
    <row r="2" ht="16" customHeight="1">
      <c r="A2" s="3" t="inlineStr">
        <is>
          <t>NIVEL</t>
        </is>
      </c>
      <c r="B2" s="3" t="inlineStr">
        <is>
          <t>POSICION</t>
        </is>
      </c>
      <c r="C2" s="3" t="inlineStr">
        <is>
          <t>ALTURA (m)</t>
        </is>
      </c>
      <c r="D2" s="3" t="inlineStr">
        <is>
          <t>CARGA (t)</t>
        </is>
      </c>
      <c r="E2" s="3" t="inlineStr">
        <is>
          <t>DIMENSIONES (cm)</t>
        </is>
      </c>
      <c r="F2" s="4" t="n"/>
      <c r="G2" s="4" t="n"/>
      <c r="H2" s="3" t="inlineStr">
        <is>
          <t>ARMADURA</t>
        </is>
      </c>
      <c r="I2" s="4" t="n"/>
      <c r="J2" s="4" t="n"/>
      <c r="K2" s="3" t="inlineStr">
        <is>
          <t>ESTRIBOS</t>
        </is>
      </c>
      <c r="L2" s="4" t="n"/>
      <c r="M2" s="3" t="inlineStr">
        <is>
          <t>VERIFICACION</t>
        </is>
      </c>
      <c r="N2" s="3" t="inlineStr">
        <is>
          <t>OBSERVACIONES</t>
        </is>
      </c>
      <c r="O2" s="3" t="inlineStr">
        <is>
          <t>DATOS AUXILIARES</t>
        </is>
      </c>
      <c r="P2" s="4" t="n"/>
      <c r="Q2" s="4" t="n"/>
      <c r="R2" s="4" t="n"/>
    </row>
    <row r="3" ht="26" customHeight="1">
      <c r="A3" s="4" t="n"/>
      <c r="B3" s="4" t="n"/>
      <c r="C3" s="4" t="n"/>
      <c r="D3" s="4" t="n"/>
      <c r="E3" s="5" t="inlineStr">
        <is>
          <t>A</t>
        </is>
      </c>
      <c r="F3" s="5" t="inlineStr">
        <is>
          <t>B</t>
        </is>
      </c>
      <c r="G3" s="5" t="inlineStr">
        <is>
          <t>area</t>
        </is>
      </c>
      <c r="H3" s="5" t="inlineStr">
        <is>
          <t>cm2</t>
        </is>
      </c>
      <c r="I3" s="5" t="inlineStr">
        <is>
          <t>n</t>
        </is>
      </c>
      <c r="J3" s="5" t="inlineStr">
        <is>
          <t>o</t>
        </is>
      </c>
      <c r="K3" s="5" t="inlineStr">
        <is>
          <t>o</t>
        </is>
      </c>
      <c r="L3" s="5" t="inlineStr">
        <is>
          <t>SEPAR</t>
        </is>
      </c>
      <c r="M3" s="4" t="n"/>
      <c r="N3" s="4" t="n"/>
      <c r="O3" s="5" t="inlineStr">
        <is>
          <t>As prov</t>
        </is>
      </c>
      <c r="P3" s="5" t="inlineStr">
        <is>
          <t>fi Pn (t)</t>
        </is>
      </c>
      <c r="Q3" s="5" t="inlineStr">
        <is>
          <t>esbeltez</t>
        </is>
      </c>
      <c r="R3" s="5" t="inlineStr">
        <is>
          <t>carga estim.</t>
        </is>
      </c>
    </row>
    <row r="4" ht="17" customHeight="1">
      <c r="A4" s="22" t="inlineStr">
        <is>
          <t>PA</t>
        </is>
      </c>
      <c r="B4" s="23" t="inlineStr">
        <is>
          <t>C6</t>
        </is>
      </c>
      <c r="C4" s="8" t="n">
        <v>3.22</v>
      </c>
      <c r="D4" s="37" t="n">
        <v>12.71</v>
      </c>
      <c r="E4" s="10" t="n">
        <v>20</v>
      </c>
      <c r="F4" s="10" t="n">
        <v>20</v>
      </c>
      <c r="G4" s="11">
        <f>E4*F4</f>
        <v/>
      </c>
      <c r="H4" s="25">
        <f>Datos_columnas!$B$8*G4</f>
        <v/>
      </c>
      <c r="I4" s="10" t="n">
        <v>4</v>
      </c>
      <c r="J4" s="10" t="n">
        <v>12</v>
      </c>
      <c r="K4" s="10" t="n">
        <v>6</v>
      </c>
      <c r="L4" s="11">
        <f>FLOOR(MIN(12*J4/10,48*K4/10,MIN(E4,F4)),5)</f>
        <v/>
      </c>
      <c r="M4" s="11">
        <f>IF(D4="","FALTA CARGA",IF(O4&lt;H4,"ARM. INSUFIC.",IF(D4&gt;P4,"NO VERIFICA",IF(D4&gt;0.85*P4,"AL LIMITE",IF(Q4&gt;34,"VERIF. ESBELTEZ","VERIFICA")))))</f>
        <v/>
      </c>
      <c r="N4" s="13" t="inlineStr">
        <is>
          <t>COL 07 del plano. Carga PROVISORIA por bajada automatica; es un piso, la real es mayor (ver Memoria, punto 5).</t>
        </is>
      </c>
      <c r="O4" s="9">
        <f>I4*PI()*(J4/10)^2/4</f>
        <v/>
      </c>
      <c r="P4" s="9">
        <f>Datos_columnas!$B$7*0.8*(0.85*Datos_columnas!$B$4*(G4-O4)+Datos_columnas!$B$5*O4)/1000</f>
        <v/>
      </c>
      <c r="Q4" s="38">
        <f>100*C4/(0.3*MIN(E4,F4))</f>
        <v/>
      </c>
      <c r="R4" s="9" t="n">
        <v>12.71</v>
      </c>
    </row>
    <row r="5" ht="17" customHeight="1">
      <c r="A5" s="26" t="n"/>
      <c r="B5" s="23" t="inlineStr">
        <is>
          <t>C7</t>
        </is>
      </c>
      <c r="C5" s="8" t="n">
        <v>3.22</v>
      </c>
      <c r="D5" s="37" t="n">
        <v>22.55</v>
      </c>
      <c r="E5" s="10" t="n">
        <v>30</v>
      </c>
      <c r="F5" s="10" t="n">
        <v>15</v>
      </c>
      <c r="G5" s="11">
        <f>E5*F5</f>
        <v/>
      </c>
      <c r="H5" s="25">
        <f>Datos_columnas!$B$8*G5</f>
        <v/>
      </c>
      <c r="I5" s="10" t="n">
        <v>4</v>
      </c>
      <c r="J5" s="10" t="n">
        <v>12</v>
      </c>
      <c r="K5" s="10" t="n">
        <v>6</v>
      </c>
      <c r="L5" s="11">
        <f>FLOOR(MIN(12*J5/10,48*K5/10,MIN(E5,F5)),5)</f>
        <v/>
      </c>
      <c r="M5" s="11">
        <f>IF(D5="","FALTA CARGA",IF(O5&lt;H5,"ARM. INSUFIC.",IF(D5&gt;P5,"NO VERIFICA",IF(D5&gt;0.85*P5,"AL LIMITE",IF(Q5&gt;34,"VERIF. ESBELTEZ","VERIFICA")))))</f>
        <v/>
      </c>
      <c r="N5" s="13" t="inlineStr">
        <is>
          <t>COL 06 del plano. Carga PROVISORIA por bajada automatica; es un piso, la real es mayor (ver Memoria, punto 5).</t>
        </is>
      </c>
      <c r="O5" s="9">
        <f>I5*PI()*(J5/10)^2/4</f>
        <v/>
      </c>
      <c r="P5" s="9">
        <f>Datos_columnas!$B$7*0.8*(0.85*Datos_columnas!$B$4*(G5-O5)+Datos_columnas!$B$5*O5)/1000</f>
        <v/>
      </c>
      <c r="Q5" s="38">
        <f>100*C5/(0.3*MIN(E5,F5))</f>
        <v/>
      </c>
      <c r="R5" s="9" t="n">
        <v>22.55</v>
      </c>
    </row>
    <row r="6" ht="17" customHeight="1">
      <c r="A6" s="26" t="n"/>
      <c r="B6" s="23" t="inlineStr">
        <is>
          <t>C8</t>
        </is>
      </c>
      <c r="C6" s="8" t="n">
        <v>3.22</v>
      </c>
      <c r="D6" s="37" t="n">
        <v>15.12</v>
      </c>
      <c r="E6" s="10" t="n">
        <v>15</v>
      </c>
      <c r="F6" s="10" t="n">
        <v>30</v>
      </c>
      <c r="G6" s="11">
        <f>E6*F6</f>
        <v/>
      </c>
      <c r="H6" s="25">
        <f>Datos_columnas!$B$8*G6</f>
        <v/>
      </c>
      <c r="I6" s="10" t="n">
        <v>4</v>
      </c>
      <c r="J6" s="10" t="n">
        <v>12</v>
      </c>
      <c r="K6" s="10" t="n">
        <v>6</v>
      </c>
      <c r="L6" s="11">
        <f>FLOOR(MIN(12*J6/10,48*K6/10,MIN(E6,F6)),5)</f>
        <v/>
      </c>
      <c r="M6" s="11">
        <f>IF(D6="","FALTA CARGA",IF(O6&lt;H6,"ARM. INSUFIC.",IF(D6&gt;P6,"NO VERIFICA",IF(D6&gt;0.85*P6,"AL LIMITE",IF(Q6&gt;34,"VERIF. ESBELTEZ","VERIFICA")))))</f>
        <v/>
      </c>
      <c r="N6" s="13" t="inlineStr">
        <is>
          <t>COL 05 del plano. Carga PROVISORIA por bajada automatica; es un piso, la real es mayor (ver Memoria, punto 5).</t>
        </is>
      </c>
      <c r="O6" s="9">
        <f>I6*PI()*(J6/10)^2/4</f>
        <v/>
      </c>
      <c r="P6" s="9">
        <f>Datos_columnas!$B$7*0.8*(0.85*Datos_columnas!$B$4*(G6-O6)+Datos_columnas!$B$5*O6)/1000</f>
        <v/>
      </c>
      <c r="Q6" s="38">
        <f>100*C6/(0.3*MIN(E6,F6))</f>
        <v/>
      </c>
      <c r="R6" s="9" t="n">
        <v>15.12</v>
      </c>
    </row>
    <row r="7" ht="17" customHeight="1">
      <c r="A7" s="27" t="n"/>
      <c r="B7" s="28" t="inlineStr">
        <is>
          <t>C9</t>
        </is>
      </c>
      <c r="C7" s="15" t="n">
        <v>3.22</v>
      </c>
      <c r="D7" s="39" t="n">
        <v>20.35</v>
      </c>
      <c r="E7" s="17" t="n">
        <v>15</v>
      </c>
      <c r="F7" s="17" t="n">
        <v>30</v>
      </c>
      <c r="G7" s="18">
        <f>E7*F7</f>
        <v/>
      </c>
      <c r="H7" s="30">
        <f>Datos_columnas!$B$8*G7</f>
        <v/>
      </c>
      <c r="I7" s="17" t="n">
        <v>4</v>
      </c>
      <c r="J7" s="17" t="n">
        <v>12</v>
      </c>
      <c r="K7" s="17" t="n">
        <v>6</v>
      </c>
      <c r="L7" s="18">
        <f>FLOOR(MIN(12*J7/10,48*K7/10,MIN(E7,F7)),5)</f>
        <v/>
      </c>
      <c r="M7" s="18">
        <f>IF(D7="","FALTA CARGA",IF(O7&lt;H7,"ARM. INSUFIC.",IF(D7&gt;P7,"NO VERIFICA",IF(D7&gt;0.85*P7,"AL LIMITE",IF(Q7&gt;34,"VERIF. ESBELTEZ","VERIFICA")))))</f>
        <v/>
      </c>
      <c r="N7" s="20" t="inlineStr">
        <is>
          <t>COL 05 del plano. Carga PROVISORIA por bajada automatica; es un piso, la real es mayor (ver Memoria, punto 5).</t>
        </is>
      </c>
      <c r="O7" s="16">
        <f>I7*PI()*(J7/10)^2/4</f>
        <v/>
      </c>
      <c r="P7" s="16">
        <f>Datos_columnas!$B$7*0.8*(0.85*Datos_columnas!$B$4*(G7-O7)+Datos_columnas!$B$5*O7)/1000</f>
        <v/>
      </c>
      <c r="Q7" s="40">
        <f>100*C7/(0.3*MIN(E7,F7))</f>
        <v/>
      </c>
      <c r="R7" s="16" t="n">
        <v>20.35</v>
      </c>
    </row>
    <row r="8" ht="17" customHeight="1">
      <c r="A8" s="22" t="inlineStr">
        <is>
          <t>PB</t>
        </is>
      </c>
      <c r="B8" s="23" t="inlineStr">
        <is>
          <t>C1</t>
        </is>
      </c>
      <c r="C8" s="8" t="n">
        <v>3.15</v>
      </c>
      <c r="D8" s="37" t="n">
        <v>2.49</v>
      </c>
      <c r="E8" s="10" t="n">
        <v>15</v>
      </c>
      <c r="F8" s="10" t="n">
        <v>30</v>
      </c>
      <c r="G8" s="11">
        <f>E8*F8</f>
        <v/>
      </c>
      <c r="H8" s="25">
        <f>Datos_columnas!$B$8*G8</f>
        <v/>
      </c>
      <c r="I8" s="10" t="n">
        <v>4</v>
      </c>
      <c r="J8" s="10" t="n">
        <v>12</v>
      </c>
      <c r="K8" s="10" t="n">
        <v>6</v>
      </c>
      <c r="L8" s="11">
        <f>FLOOR(MIN(12*J8/10,48*K8/10,MIN(E8,F8)),5)</f>
        <v/>
      </c>
      <c r="M8" s="11">
        <f>IF(D8="","FALTA CARGA",IF(O8&lt;H8,"ARM. INSUFIC.",IF(D8&gt;P8,"NO VERIFICA",IF(D8&gt;0.85*P8,"AL LIMITE",IF(Q8&gt;34,"VERIF. ESBELTEZ","VERIFICA")))))</f>
        <v/>
      </c>
      <c r="N8" s="13" t="inlineStr">
        <is>
          <t>COL 02 del plano. Carga PROVISORIA por bajada automatica; es un piso, la real es mayor (ver Memoria, punto 5).</t>
        </is>
      </c>
      <c r="O8" s="9">
        <f>I8*PI()*(J8/10)^2/4</f>
        <v/>
      </c>
      <c r="P8" s="9">
        <f>Datos_columnas!$B$7*0.8*(0.85*Datos_columnas!$B$4*(G8-O8)+Datos_columnas!$B$5*O8)/1000</f>
        <v/>
      </c>
      <c r="Q8" s="38">
        <f>100*C8/(0.3*MIN(E8,F8))</f>
        <v/>
      </c>
      <c r="R8" s="9" t="n">
        <v>2.49</v>
      </c>
    </row>
    <row r="9" ht="17" customHeight="1">
      <c r="A9" s="26" t="n"/>
      <c r="B9" s="23" t="inlineStr">
        <is>
          <t>C2</t>
        </is>
      </c>
      <c r="C9" s="8" t="n">
        <v>3.15</v>
      </c>
      <c r="D9" s="37" t="n">
        <v>29.46</v>
      </c>
      <c r="E9" s="10" t="n">
        <v>15</v>
      </c>
      <c r="F9" s="10" t="n">
        <v>30</v>
      </c>
      <c r="G9" s="11">
        <f>E9*F9</f>
        <v/>
      </c>
      <c r="H9" s="25">
        <f>Datos_columnas!$B$8*G9</f>
        <v/>
      </c>
      <c r="I9" s="10" t="n">
        <v>4</v>
      </c>
      <c r="J9" s="10" t="n">
        <v>12</v>
      </c>
      <c r="K9" s="10" t="n">
        <v>6</v>
      </c>
      <c r="L9" s="11">
        <f>FLOOR(MIN(12*J9/10,48*K9/10,MIN(E9,F9)),5)</f>
        <v/>
      </c>
      <c r="M9" s="11">
        <f>IF(D9="","FALTA CARGA",IF(O9&lt;H9,"ARM. INSUFIC.",IF(D9&gt;P9,"NO VERIFICA",IF(D9&gt;0.85*P9,"AL LIMITE",IF(Q9&gt;34,"VERIF. ESBELTEZ","VERIFICA")))))</f>
        <v/>
      </c>
      <c r="N9" s="13" t="inlineStr">
        <is>
          <t>COL 02 del plano. Carga PROVISORIA por bajada automatica; es un piso, la real es mayor (ver Memoria, punto 5).</t>
        </is>
      </c>
      <c r="O9" s="9">
        <f>I9*PI()*(J9/10)^2/4</f>
        <v/>
      </c>
      <c r="P9" s="9">
        <f>Datos_columnas!$B$7*0.8*(0.85*Datos_columnas!$B$4*(G9-O9)+Datos_columnas!$B$5*O9)/1000</f>
        <v/>
      </c>
      <c r="Q9" s="38">
        <f>100*C9/(0.3*MIN(E9,F9))</f>
        <v/>
      </c>
      <c r="R9" s="9" t="n">
        <v>29.46</v>
      </c>
    </row>
    <row r="10" ht="17" customHeight="1">
      <c r="A10" s="26" t="n"/>
      <c r="B10" s="23" t="inlineStr">
        <is>
          <t>C3</t>
        </is>
      </c>
      <c r="C10" s="8" t="n">
        <v>3.15</v>
      </c>
      <c r="D10" s="37" t="n">
        <v>10.6</v>
      </c>
      <c r="E10" s="10" t="n">
        <v>30</v>
      </c>
      <c r="F10" s="10" t="n">
        <v>15</v>
      </c>
      <c r="G10" s="11">
        <f>E10*F10</f>
        <v/>
      </c>
      <c r="H10" s="25">
        <f>Datos_columnas!$B$8*G10</f>
        <v/>
      </c>
      <c r="I10" s="10" t="n">
        <v>4</v>
      </c>
      <c r="J10" s="10" t="n">
        <v>12</v>
      </c>
      <c r="K10" s="10" t="n">
        <v>6</v>
      </c>
      <c r="L10" s="11">
        <f>FLOOR(MIN(12*J10/10,48*K10/10,MIN(E10,F10)),5)</f>
        <v/>
      </c>
      <c r="M10" s="11">
        <f>IF(D10="","FALTA CARGA",IF(O10&lt;H10,"ARM. INSUFIC.",IF(D10&gt;P10,"NO VERIFICA",IF(D10&gt;0.85*P10,"AL LIMITE",IF(Q10&gt;34,"VERIF. ESBELTEZ","VERIFICA")))))</f>
        <v/>
      </c>
      <c r="N10" s="13" t="inlineStr">
        <is>
          <t>COL 03 del plano. Carga PROVISORIA por bajada automatica; es un piso, la real es mayor (ver Memoria, punto 5).</t>
        </is>
      </c>
      <c r="O10" s="9">
        <f>I10*PI()*(J10/10)^2/4</f>
        <v/>
      </c>
      <c r="P10" s="9">
        <f>Datos_columnas!$B$7*0.8*(0.85*Datos_columnas!$B$4*(G10-O10)+Datos_columnas!$B$5*O10)/1000</f>
        <v/>
      </c>
      <c r="Q10" s="38">
        <f>100*C10/(0.3*MIN(E10,F10))</f>
        <v/>
      </c>
      <c r="R10" s="9" t="n">
        <v>10.6</v>
      </c>
    </row>
    <row r="11" ht="17" customHeight="1">
      <c r="A11" s="26" t="n"/>
      <c r="B11" s="23" t="inlineStr">
        <is>
          <t>C4</t>
        </is>
      </c>
      <c r="C11" s="8" t="n">
        <v>3.15</v>
      </c>
      <c r="D11" s="37" t="n">
        <v>10.28</v>
      </c>
      <c r="E11" s="10" t="n">
        <v>10</v>
      </c>
      <c r="F11" s="10" t="n">
        <v>10</v>
      </c>
      <c r="G11" s="11">
        <f>E11*F11</f>
        <v/>
      </c>
      <c r="H11" s="25">
        <f>Datos_columnas!$B$8*G11</f>
        <v/>
      </c>
      <c r="I11" s="10" t="n">
        <v>4</v>
      </c>
      <c r="J11" s="10" t="n">
        <v>12</v>
      </c>
      <c r="K11" s="10" t="n">
        <v>6</v>
      </c>
      <c r="L11" s="11">
        <f>FLOOR(MIN(12*J11/10,48*K11/10,MIN(E11,F11)),5)</f>
        <v/>
      </c>
      <c r="M11" s="11">
        <f>IF(D11="","FALTA CARGA",IF(O11&lt;H11,"ARM. INSUFIC.",IF(D11&gt;P11,"NO VERIFICA",IF(D11&gt;0.85*P11,"AL LIMITE",IF(Q11&gt;34,"VERIF. ESBELTEZ","VERIFICA")))))</f>
        <v/>
      </c>
      <c r="N11" s="13" t="inlineStr">
        <is>
          <t>COL 01 del plano. Carga PROVISORIA por bajada automatica; es un piso, la real es mayor (ver Memoria, punto 5). Columna de 10x10, confirmada por el proyectista. El computo metrico la omite: ese computo esta incompleto en el item 4.1.3. Esbeltez muy alta (k lu / r = 105) y capacidad de solo 18,7 t: es la columna mas comprometida del conjunto.</t>
        </is>
      </c>
      <c r="O11" s="9">
        <f>I11*PI()*(J11/10)^2/4</f>
        <v/>
      </c>
      <c r="P11" s="9">
        <f>Datos_columnas!$B$7*0.8*(0.85*Datos_columnas!$B$4*(G11-O11)+Datos_columnas!$B$5*O11)/1000</f>
        <v/>
      </c>
      <c r="Q11" s="38">
        <f>100*C11/(0.3*MIN(E11,F11))</f>
        <v/>
      </c>
      <c r="R11" s="9" t="n">
        <v>10.28</v>
      </c>
    </row>
    <row r="12" ht="17" customHeight="1">
      <c r="A12" s="26" t="n"/>
      <c r="B12" s="23" t="inlineStr">
        <is>
          <t>C5</t>
        </is>
      </c>
      <c r="C12" s="8" t="n">
        <v>3.15</v>
      </c>
      <c r="D12" s="37" t="n">
        <v>15.96</v>
      </c>
      <c r="E12" s="10" t="n">
        <v>15</v>
      </c>
      <c r="F12" s="10" t="n">
        <v>30</v>
      </c>
      <c r="G12" s="11">
        <f>E12*F12</f>
        <v/>
      </c>
      <c r="H12" s="25">
        <f>Datos_columnas!$B$8*G12</f>
        <v/>
      </c>
      <c r="I12" s="10" t="n">
        <v>4</v>
      </c>
      <c r="J12" s="10" t="n">
        <v>12</v>
      </c>
      <c r="K12" s="10" t="n">
        <v>6</v>
      </c>
      <c r="L12" s="11">
        <f>FLOOR(MIN(12*J12/10,48*K12/10,MIN(E12,F12)),5)</f>
        <v/>
      </c>
      <c r="M12" s="11">
        <f>IF(D12="","FALTA CARGA",IF(O12&lt;H12,"ARM. INSUFIC.",IF(D12&gt;P12,"NO VERIFICA",IF(D12&gt;0.85*P12,"AL LIMITE",IF(Q12&gt;34,"VERIF. ESBELTEZ","VERIFICA")))))</f>
        <v/>
      </c>
      <c r="N12" s="13" t="inlineStr">
        <is>
          <t>COL 02 del plano. Carga PROVISORIA por bajada automatica; es un piso, la real es mayor (ver Memoria, punto 5).</t>
        </is>
      </c>
      <c r="O12" s="9">
        <f>I12*PI()*(J12/10)^2/4</f>
        <v/>
      </c>
      <c r="P12" s="9">
        <f>Datos_columnas!$B$7*0.8*(0.85*Datos_columnas!$B$4*(G12-O12)+Datos_columnas!$B$5*O12)/1000</f>
        <v/>
      </c>
      <c r="Q12" s="38">
        <f>100*C12/(0.3*MIN(E12,F12))</f>
        <v/>
      </c>
      <c r="R12" s="9" t="n">
        <v>15.96</v>
      </c>
    </row>
    <row r="13" ht="17" customHeight="1">
      <c r="A13" s="26" t="n"/>
      <c r="B13" s="23" t="inlineStr">
        <is>
          <t>C6</t>
        </is>
      </c>
      <c r="C13" s="8" t="n">
        <v>3.15</v>
      </c>
      <c r="D13" s="37" t="n">
        <v>32.1</v>
      </c>
      <c r="E13" s="10" t="n">
        <v>20</v>
      </c>
      <c r="F13" s="10" t="n">
        <v>20</v>
      </c>
      <c r="G13" s="11">
        <f>E13*F13</f>
        <v/>
      </c>
      <c r="H13" s="25">
        <f>Datos_columnas!$B$8*G13</f>
        <v/>
      </c>
      <c r="I13" s="10" t="n">
        <v>4</v>
      </c>
      <c r="J13" s="10" t="n">
        <v>12</v>
      </c>
      <c r="K13" s="10" t="n">
        <v>6</v>
      </c>
      <c r="L13" s="11">
        <f>FLOOR(MIN(12*J13/10,48*K13/10,MIN(E13,F13)),5)</f>
        <v/>
      </c>
      <c r="M13" s="11">
        <f>IF(D13="","FALTA CARGA",IF(O13&lt;H13,"ARM. INSUFIC.",IF(D13&gt;P13,"NO VERIFICA",IF(D13&gt;0.85*P13,"AL LIMITE",IF(Q13&gt;34,"VERIF. ESBELTEZ","VERIFICA")))))</f>
        <v/>
      </c>
      <c r="N13" s="13" t="inlineStr">
        <is>
          <t>COL 04 del plano. Carga PROVISORIA por bajada automatica; es un piso, la real es mayor (ver Memoria, punto 5).</t>
        </is>
      </c>
      <c r="O13" s="9">
        <f>I13*PI()*(J13/10)^2/4</f>
        <v/>
      </c>
      <c r="P13" s="9">
        <f>Datos_columnas!$B$7*0.8*(0.85*Datos_columnas!$B$4*(G13-O13)+Datos_columnas!$B$5*O13)/1000</f>
        <v/>
      </c>
      <c r="Q13" s="38">
        <f>100*C13/(0.3*MIN(E13,F13))</f>
        <v/>
      </c>
      <c r="R13" s="9" t="n">
        <v>32.1</v>
      </c>
    </row>
    <row r="14" ht="17" customHeight="1">
      <c r="A14" s="26" t="n"/>
      <c r="B14" s="23" t="inlineStr">
        <is>
          <t>C7</t>
        </is>
      </c>
      <c r="C14" s="8" t="n">
        <v>3.15</v>
      </c>
      <c r="D14" s="37" t="n">
        <v>37.78</v>
      </c>
      <c r="E14" s="10" t="n">
        <v>30</v>
      </c>
      <c r="F14" s="10" t="n">
        <v>15</v>
      </c>
      <c r="G14" s="11">
        <f>E14*F14</f>
        <v/>
      </c>
      <c r="H14" s="25">
        <f>Datos_columnas!$B$8*G14</f>
        <v/>
      </c>
      <c r="I14" s="10" t="n">
        <v>4</v>
      </c>
      <c r="J14" s="10" t="n">
        <v>12</v>
      </c>
      <c r="K14" s="10" t="n">
        <v>6</v>
      </c>
      <c r="L14" s="11">
        <f>FLOOR(MIN(12*J14/10,48*K14/10,MIN(E14,F14)),5)</f>
        <v/>
      </c>
      <c r="M14" s="11">
        <f>IF(D14="","FALTA CARGA",IF(O14&lt;H14,"ARM. INSUFIC.",IF(D14&gt;P14,"NO VERIFICA",IF(D14&gt;0.85*P14,"AL LIMITE",IF(Q14&gt;34,"VERIF. ESBELTEZ","VERIFICA")))))</f>
        <v/>
      </c>
      <c r="N14" s="13" t="inlineStr">
        <is>
          <t>COL 03 del plano. Carga PROVISORIA por bajada automatica; es un piso, la real es mayor (ver Memoria, punto 5).</t>
        </is>
      </c>
      <c r="O14" s="9">
        <f>I14*PI()*(J14/10)^2/4</f>
        <v/>
      </c>
      <c r="P14" s="9">
        <f>Datos_columnas!$B$7*0.8*(0.85*Datos_columnas!$B$4*(G14-O14)+Datos_columnas!$B$5*O14)/1000</f>
        <v/>
      </c>
      <c r="Q14" s="38">
        <f>100*C14/(0.3*MIN(E14,F14))</f>
        <v/>
      </c>
      <c r="R14" s="9" t="n">
        <v>37.78</v>
      </c>
    </row>
    <row r="15" ht="17" customHeight="1">
      <c r="A15" s="26" t="n"/>
      <c r="B15" s="23" t="inlineStr">
        <is>
          <t>C8</t>
        </is>
      </c>
      <c r="C15" s="8" t="n">
        <v>3.15</v>
      </c>
      <c r="D15" s="37" t="n">
        <v>42.67</v>
      </c>
      <c r="E15" s="10" t="n">
        <v>15</v>
      </c>
      <c r="F15" s="10" t="n">
        <v>30</v>
      </c>
      <c r="G15" s="11">
        <f>E15*F15</f>
        <v/>
      </c>
      <c r="H15" s="25">
        <f>Datos_columnas!$B$8*G15</f>
        <v/>
      </c>
      <c r="I15" s="10" t="n">
        <v>4</v>
      </c>
      <c r="J15" s="10" t="n">
        <v>12</v>
      </c>
      <c r="K15" s="10" t="n">
        <v>6</v>
      </c>
      <c r="L15" s="11">
        <f>FLOOR(MIN(12*J15/10,48*K15/10,MIN(E15,F15)),5)</f>
        <v/>
      </c>
      <c r="M15" s="11">
        <f>IF(D15="","FALTA CARGA",IF(O15&lt;H15,"ARM. INSUFIC.",IF(D15&gt;P15,"NO VERIFICA",IF(D15&gt;0.85*P15,"AL LIMITE",IF(Q15&gt;34,"VERIF. ESBELTEZ","VERIFICA")))))</f>
        <v/>
      </c>
      <c r="N15" s="13" t="inlineStr">
        <is>
          <t>COL 02 del plano. Carga PROVISORIA por bajada automatica; es un piso, la real es mayor (ver Memoria, punto 5).</t>
        </is>
      </c>
      <c r="O15" s="9">
        <f>I15*PI()*(J15/10)^2/4</f>
        <v/>
      </c>
      <c r="P15" s="9">
        <f>Datos_columnas!$B$7*0.8*(0.85*Datos_columnas!$B$4*(G15-O15)+Datos_columnas!$B$5*O15)/1000</f>
        <v/>
      </c>
      <c r="Q15" s="38">
        <f>100*C15/(0.3*MIN(E15,F15))</f>
        <v/>
      </c>
      <c r="R15" s="9" t="n">
        <v>42.67</v>
      </c>
    </row>
    <row r="16" ht="17" customHeight="1">
      <c r="A16" s="27" t="n"/>
      <c r="B16" s="28" t="inlineStr">
        <is>
          <t>C9</t>
        </is>
      </c>
      <c r="C16" s="15" t="n">
        <v>3.15</v>
      </c>
      <c r="D16" s="39" t="n">
        <v>54.93</v>
      </c>
      <c r="E16" s="17" t="n">
        <v>15</v>
      </c>
      <c r="F16" s="17" t="n">
        <v>30</v>
      </c>
      <c r="G16" s="18">
        <f>E16*F16</f>
        <v/>
      </c>
      <c r="H16" s="30">
        <f>Datos_columnas!$B$8*G16</f>
        <v/>
      </c>
      <c r="I16" s="17" t="n">
        <v>4</v>
      </c>
      <c r="J16" s="17" t="n">
        <v>12</v>
      </c>
      <c r="K16" s="17" t="n">
        <v>6</v>
      </c>
      <c r="L16" s="18">
        <f>FLOOR(MIN(12*J16/10,48*K16/10,MIN(E16,F16)),5)</f>
        <v/>
      </c>
      <c r="M16" s="18">
        <f>IF(D16="","FALTA CARGA",IF(O16&lt;H16,"ARM. INSUFIC.",IF(D16&gt;P16,"NO VERIFICA",IF(D16&gt;0.85*P16,"AL LIMITE",IF(Q16&gt;34,"VERIF. ESBELTEZ","VERIFICA")))))</f>
        <v/>
      </c>
      <c r="N16" s="20" t="inlineStr">
        <is>
          <t>COL 02 del plano. Carga PROVISORIA por bajada automatica; es un piso, la real es mayor (ver Memoria, punto 5).</t>
        </is>
      </c>
      <c r="O16" s="16">
        <f>I16*PI()*(J16/10)^2/4</f>
        <v/>
      </c>
      <c r="P16" s="16">
        <f>Datos_columnas!$B$7*0.8*(0.85*Datos_columnas!$B$4*(G16-O16)+Datos_columnas!$B$5*O16)/1000</f>
        <v/>
      </c>
      <c r="Q16" s="40">
        <f>100*C16/(0.3*MIN(E16,F16))</f>
        <v/>
      </c>
      <c r="R16" s="16" t="n">
        <v>54.93</v>
      </c>
    </row>
  </sheetData>
  <mergeCells count="13">
    <mergeCell ref="A4:A7"/>
    <mergeCell ref="E2:G2"/>
    <mergeCell ref="N2:N3"/>
    <mergeCell ref="A8:A16"/>
    <mergeCell ref="K2:L2"/>
    <mergeCell ref="D2:D3"/>
    <mergeCell ref="H2:J2"/>
    <mergeCell ref="B2:B3"/>
    <mergeCell ref="A2:A3"/>
    <mergeCell ref="A1:R1"/>
    <mergeCell ref="C2:C3"/>
    <mergeCell ref="M2:M3"/>
    <mergeCell ref="O2:R2"/>
  </mergeCells>
  <conditionalFormatting sqref="M4:M16">
    <cfRule type="cellIs" priority="1" operator="equal" dxfId="0">
      <formula>"VERIFICA"</formula>
    </cfRule>
    <cfRule type="cellIs" priority="2" operator="equal" dxfId="1">
      <formula>"NO VERIFICA"</formula>
    </cfRule>
    <cfRule type="cellIs" priority="3" operator="equal" dxfId="1">
      <formula>"ARM. INSUFIC."</formula>
    </cfRule>
    <cfRule type="cellIs" priority="4" operator="equal" dxfId="1">
      <formula>"VERIF. ESBELTEZ"</formula>
    </cfRule>
    <cfRule type="cellIs" priority="5" operator="equal" dxfId="1">
      <formula>"FALTA CARGA"</formula>
    </cfRule>
    <cfRule type="cellIs" priority="6" operator="equal" dxfId="1">
      <formula>"AL LIMITE"</formula>
    </cfRule>
  </conditionalFormatting>
  <dataValidations count="1">
    <dataValidation sqref="J4:J16 K4:K16" showDropDown="0" showInputMessage="0" showErrorMessage="0" allowBlank="1" type="list">
      <formula1>"6,8,10,12,16,20,25"</formula1>
    </dataValidation>
  </dataValidations>
  <pageMargins left="0.75" right="0.75" top="1" bottom="1" header="0.5" footer="0.5"/>
  <pageSetup orientation="landscape" fitToWidth="1"/>
</worksheet>
</file>

<file path=xl/worksheets/sheet5.xml><?xml version="1.0" encoding="utf-8"?>
<worksheet xmlns="http://schemas.openxmlformats.org/spreadsheetml/2006/main">
  <sheetPr>
    <outlinePr summaryBelow="1" summaryRight="1"/>
    <pageSetUpPr fitToPage="1"/>
  </sheetPr>
  <dimension ref="A1:Z34"/>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9" customWidth="1" min="2" max="2"/>
    <col width="17" customWidth="1" min="3" max="3"/>
    <col width="9" customWidth="1" min="4" max="4"/>
    <col width="32" customWidth="1" min="5" max="5"/>
    <col width="9" customWidth="1" min="6" max="6"/>
    <col width="9" customWidth="1" min="7" max="7"/>
    <col width="12" customWidth="1" min="8" max="8"/>
    <col width="12" customWidth="1" min="9" max="9"/>
    <col width="6" customWidth="1" min="10" max="10"/>
    <col width="6" customWidth="1" min="11" max="11"/>
    <col width="6" customWidth="1" min="12" max="12"/>
    <col width="7" customWidth="1" min="13" max="13"/>
    <col width="5" customWidth="1" min="14" max="14"/>
    <col width="6" customWidth="1" min="15" max="15"/>
    <col width="7" customWidth="1" min="16" max="16"/>
    <col width="5" customWidth="1" min="17" max="17"/>
    <col width="6" customWidth="1" min="18" max="18"/>
    <col width="7" customWidth="1" min="19" max="19"/>
    <col width="7" customWidth="1" min="20" max="20"/>
    <col width="6" customWidth="1" min="21" max="21"/>
    <col width="8" customWidth="1" min="22" max="22"/>
    <col width="15" customWidth="1" min="23" max="23"/>
    <col width="40" customWidth="1" min="24" max="24"/>
    <col width="8" customWidth="1" min="25" max="25"/>
    <col width="7" customWidth="1" min="26" max="26"/>
  </cols>
  <sheetData>
    <row r="1" ht="22" customHeight="1">
      <c r="A1" s="21" t="inlineStr">
        <is>
          <t>VIGAS DE FUNDACION  H°A°        H-21        ACERO 42/50</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ht="16" customHeight="1">
      <c r="A2" s="3" t="inlineStr">
        <is>
          <t>POSICION</t>
        </is>
      </c>
      <c r="B2" s="3" t="inlineStr">
        <is>
          <t>LUZ (m)</t>
        </is>
      </c>
      <c r="C2" s="3" t="inlineStr">
        <is>
          <t>CARGAS (kg/m)</t>
        </is>
      </c>
      <c r="D2" s="4" t="n"/>
      <c r="E2" s="4" t="n"/>
      <c r="F2" s="3" t="inlineStr">
        <is>
          <t>REACCIONES</t>
        </is>
      </c>
      <c r="G2" s="4" t="n"/>
      <c r="H2" s="3" t="inlineStr">
        <is>
          <t>MOMENTO TRAMO (kgm)</t>
        </is>
      </c>
      <c r="I2" s="3" t="inlineStr">
        <is>
          <t>MOMENTO APOYO (kgm)</t>
        </is>
      </c>
      <c r="J2" s="3" t="inlineStr">
        <is>
          <t>DIMENSIONES</t>
        </is>
      </c>
      <c r="K2" s="4" t="n"/>
      <c r="L2" s="4" t="n"/>
      <c r="M2" s="3" t="inlineStr">
        <is>
          <t>ARMADURA TRAMO</t>
        </is>
      </c>
      <c r="N2" s="4" t="n"/>
      <c r="O2" s="4" t="n"/>
      <c r="P2" s="3" t="inlineStr">
        <is>
          <t>ARMADURA APOYO</t>
        </is>
      </c>
      <c r="Q2" s="4" t="n"/>
      <c r="R2" s="4" t="n"/>
      <c r="S2" s="3" t="inlineStr">
        <is>
          <t>T (kg/cm2)</t>
        </is>
      </c>
      <c r="T2" s="4" t="n"/>
      <c r="U2" s="4" t="n"/>
      <c r="V2" s="3" t="inlineStr">
        <is>
          <t>ESTRIBOS</t>
        </is>
      </c>
      <c r="W2" s="3" t="inlineStr">
        <is>
          <t>VERIFICACION</t>
        </is>
      </c>
      <c r="X2" s="3" t="inlineStr">
        <is>
          <t>OBSERVACIONES</t>
        </is>
      </c>
      <c r="Y2" s="3" t="inlineStr">
        <is>
          <t>DATOS AUXILIARES</t>
        </is>
      </c>
      <c r="Z2" s="4" t="n"/>
    </row>
    <row r="3" ht="28" customHeight="1">
      <c r="A3" s="4" t="n"/>
      <c r="B3" s="4" t="n"/>
      <c r="C3" s="5" t="inlineStr">
        <is>
          <t>esquema</t>
        </is>
      </c>
      <c r="D3" s="5" t="inlineStr">
        <is>
          <t>p</t>
        </is>
      </c>
      <c r="E3" s="5" t="inlineStr">
        <is>
          <t>diagrama</t>
        </is>
      </c>
      <c r="F3" s="5" t="inlineStr">
        <is>
          <t>RA</t>
        </is>
      </c>
      <c r="G3" s="5" t="inlineStr">
        <is>
          <t>RB</t>
        </is>
      </c>
      <c r="H3" s="4" t="n"/>
      <c r="I3" s="4" t="n"/>
      <c r="J3" s="5" t="inlineStr">
        <is>
          <t>b</t>
        </is>
      </c>
      <c r="K3" s="5" t="inlineStr">
        <is>
          <t>h</t>
        </is>
      </c>
      <c r="L3" s="5" t="inlineStr">
        <is>
          <t>d</t>
        </is>
      </c>
      <c r="M3" s="5" t="inlineStr">
        <is>
          <t>cm2</t>
        </is>
      </c>
      <c r="N3" s="5" t="inlineStr">
        <is>
          <t>n</t>
        </is>
      </c>
      <c r="O3" s="5" t="inlineStr">
        <is>
          <t>o</t>
        </is>
      </c>
      <c r="P3" s="5" t="inlineStr">
        <is>
          <t>cm2</t>
        </is>
      </c>
      <c r="Q3" s="5" t="inlineStr">
        <is>
          <t>n</t>
        </is>
      </c>
      <c r="R3" s="5" t="inlineStr">
        <is>
          <t>o</t>
        </is>
      </c>
      <c r="S3" s="5" t="inlineStr">
        <is>
          <t>A</t>
        </is>
      </c>
      <c r="T3" s="5" t="inlineStr">
        <is>
          <t>B</t>
        </is>
      </c>
      <c r="U3" s="5" t="inlineStr">
        <is>
          <t>o</t>
        </is>
      </c>
      <c r="V3" s="5" t="inlineStr">
        <is>
          <t>SEPAR</t>
        </is>
      </c>
      <c r="W3" s="4" t="n"/>
      <c r="X3" s="4" t="n"/>
      <c r="Y3" s="5" t="inlineStr">
        <is>
          <t>h muro</t>
        </is>
      </c>
      <c r="Z3" s="5" t="inlineStr">
        <is>
          <t>rec.</t>
        </is>
      </c>
    </row>
    <row r="4" ht="46" customHeight="1">
      <c r="A4" s="23" t="inlineStr">
        <is>
          <t>VF01 (1)</t>
        </is>
      </c>
      <c r="B4" s="8" t="n">
        <v>0.77</v>
      </c>
      <c r="C4" s="10" t="inlineStr">
        <is>
          <t>Continua</t>
        </is>
      </c>
      <c r="D4" s="24">
        <f>1.2*(Datos_vigas!$B$7*J4*L4/10000+Datos_vigas!$B$16*Y4)</f>
        <v/>
      </c>
      <c r="E4" s="11" t="n"/>
      <c r="F4" s="24">
        <f>VLOOKUP(C4,Datos_vigas!$A$19:$E$23,4,0)*D4*B4</f>
        <v/>
      </c>
      <c r="G4" s="24">
        <f>F4</f>
        <v/>
      </c>
      <c r="H4" s="24">
        <f>VLOOKUP(C4,Datos_vigas!$A$19:$E$23,2,0)*D4*B4^2</f>
        <v/>
      </c>
      <c r="I4" s="24">
        <f>IF(VLOOKUP(C4,Datos_vigas!$A$19:$E$23,3,0)=0,"---",VLOOKUP(C4,Datos_vigas!$A$19:$E$23,3,0)*D4*B4^2)</f>
        <v/>
      </c>
      <c r="J4" s="10" t="n">
        <v>20</v>
      </c>
      <c r="K4" s="11">
        <f>L4-Z4</f>
        <v/>
      </c>
      <c r="L4" s="10" t="n">
        <v>35</v>
      </c>
      <c r="M4" s="25">
        <f>IF(NOT(ISNUMBER(H4)),"---",IF(H4&lt;=0,"---",IF(H4*100/(Datos_vigas!$B$8*J4*K4^2*Datos_vigas!$B$5)&gt;=0.5,"REVISAR",MAX((1-SQRT(1-2*H4*100/(Datos_vigas!$B$8*J4*K4^2*Datos_vigas!$B$5)))*J4*K4*Datos_vigas!$B$5/Datos_vigas!$B$6,0.0033*J4*K4))))</f>
        <v/>
      </c>
      <c r="N4" s="10" t="n">
        <v>2</v>
      </c>
      <c r="O4" s="10" t="n">
        <v>12</v>
      </c>
      <c r="P4" s="25">
        <f>IF(NOT(ISNUMBER(I4)),"---",IF(I4&lt;=0,"---",IF(I4*100/(Datos_vigas!$B$8*J4*K4^2*Datos_vigas!$B$5)&gt;=0.5,"REVISAR",MAX((1-SQRT(1-2*I4*100/(Datos_vigas!$B$8*J4*K4^2*Datos_vigas!$B$5)))*J4*K4*Datos_vigas!$B$5/Datos_vigas!$B$6,0.0033*J4*K4))))</f>
        <v/>
      </c>
      <c r="Q4" s="10" t="n">
        <v>2</v>
      </c>
      <c r="R4" s="10" t="n">
        <v>12</v>
      </c>
      <c r="S4" s="25">
        <f>F4/(J4*0.85*K4)</f>
        <v/>
      </c>
      <c r="T4" s="25">
        <f>G4/(J4*0.85*K4)</f>
        <v/>
      </c>
      <c r="U4" s="10" t="n">
        <v>6</v>
      </c>
      <c r="V4" s="10" t="n">
        <v>15</v>
      </c>
      <c r="W4" s="11">
        <f>IF(OR(M4="REVISAR",P4="REVISAR"),"SECCION INSUF.",IF(NOT(AND(M4&lt;&gt;"REVISAR",P4&lt;&gt;"REVISAR",IF(ISNUMBER(M4),N4*PI()*(O4/10)^2/4&gt;=M4,TRUE),IF(ISNUMBER(P4),Q4*PI()*(R4/10)^2/4&gt;=P4,TRUE),IF(ISNUMBER(M4),M4&lt;=0.0163*J4*K4,TRUE),IF(ISNUMBER(P4),P4&lt;=0.0163*J4*K4,TRUE))),"NO VERIFICA FLEX.",IF(NOT(F4&lt;=Datos_vigas!$B$9*(0.53*SQRT(Datos_vigas!$B$5)*J4*K4+2*PI()*(U4/10)^2/4*Datos_vigas!$B$6*K4/V4)),"NO VERIF. CORTE","VERIFICA")))</f>
        <v/>
      </c>
      <c r="X4" s="11" t="n"/>
      <c r="Y4" s="12" t="n">
        <v>3.15</v>
      </c>
      <c r="Z4" s="12" t="n">
        <v>4</v>
      </c>
    </row>
    <row r="5" ht="46" customHeight="1">
      <c r="A5" s="23" t="inlineStr">
        <is>
          <t>VF01 (2)</t>
        </is>
      </c>
      <c r="B5" s="8" t="n">
        <v>0.77</v>
      </c>
      <c r="C5" s="10" t="inlineStr">
        <is>
          <t>Continua</t>
        </is>
      </c>
      <c r="D5" s="24">
        <f>1.2*(Datos_vigas!$B$7*J5*L5/10000+Datos_vigas!$B$16*Y5)</f>
        <v/>
      </c>
      <c r="E5" s="11" t="n"/>
      <c r="F5" s="24">
        <f>VLOOKUP(C5,Datos_vigas!$A$19:$E$23,4,0)*D5*B5</f>
        <v/>
      </c>
      <c r="G5" s="24">
        <f>F5</f>
        <v/>
      </c>
      <c r="H5" s="24">
        <f>VLOOKUP(C5,Datos_vigas!$A$19:$E$23,2,0)*D5*B5^2</f>
        <v/>
      </c>
      <c r="I5" s="24">
        <f>IF(VLOOKUP(C5,Datos_vigas!$A$19:$E$23,3,0)=0,"---",VLOOKUP(C5,Datos_vigas!$A$19:$E$23,3,0)*D5*B5^2)</f>
        <v/>
      </c>
      <c r="J5" s="10" t="n">
        <v>20</v>
      </c>
      <c r="K5" s="11">
        <f>L5-Z5</f>
        <v/>
      </c>
      <c r="L5" s="10" t="n">
        <v>35</v>
      </c>
      <c r="M5" s="25">
        <f>IF(NOT(ISNUMBER(H5)),"---",IF(H5&lt;=0,"---",IF(H5*100/(Datos_vigas!$B$8*J5*K5^2*Datos_vigas!$B$5)&gt;=0.5,"REVISAR",MAX((1-SQRT(1-2*H5*100/(Datos_vigas!$B$8*J5*K5^2*Datos_vigas!$B$5)))*J5*K5*Datos_vigas!$B$5/Datos_vigas!$B$6,0.0033*J5*K5))))</f>
        <v/>
      </c>
      <c r="N5" s="10" t="n">
        <v>2</v>
      </c>
      <c r="O5" s="10" t="n">
        <v>12</v>
      </c>
      <c r="P5" s="25">
        <f>IF(NOT(ISNUMBER(I5)),"---",IF(I5&lt;=0,"---",IF(I5*100/(Datos_vigas!$B$8*J5*K5^2*Datos_vigas!$B$5)&gt;=0.5,"REVISAR",MAX((1-SQRT(1-2*I5*100/(Datos_vigas!$B$8*J5*K5^2*Datos_vigas!$B$5)))*J5*K5*Datos_vigas!$B$5/Datos_vigas!$B$6,0.0033*J5*K5))))</f>
        <v/>
      </c>
      <c r="Q5" s="10" t="n">
        <v>2</v>
      </c>
      <c r="R5" s="10" t="n">
        <v>12</v>
      </c>
      <c r="S5" s="25">
        <f>F5/(J5*0.85*K5)</f>
        <v/>
      </c>
      <c r="T5" s="25">
        <f>G5/(J5*0.85*K5)</f>
        <v/>
      </c>
      <c r="U5" s="10" t="n">
        <v>6</v>
      </c>
      <c r="V5" s="10" t="n">
        <v>15</v>
      </c>
      <c r="W5" s="11">
        <f>IF(OR(M5="REVISAR",P5="REVISAR"),"SECCION INSUF.",IF(NOT(AND(M5&lt;&gt;"REVISAR",P5&lt;&gt;"REVISAR",IF(ISNUMBER(M5),N5*PI()*(O5/10)^2/4&gt;=M5,TRUE),IF(ISNUMBER(P5),Q5*PI()*(R5/10)^2/4&gt;=P5,TRUE),IF(ISNUMBER(M5),M5&lt;=0.0163*J5*K5,TRUE),IF(ISNUMBER(P5),P5&lt;=0.0163*J5*K5,TRUE))),"NO VERIFICA FLEX.",IF(NOT(F5&lt;=Datos_vigas!$B$9*(0.53*SQRT(Datos_vigas!$B$5)*J5*K5+2*PI()*(U5/10)^2/4*Datos_vigas!$B$6*K5/V5)),"NO VERIF. CORTE","VERIFICA")))</f>
        <v/>
      </c>
      <c r="X5" s="11" t="n"/>
      <c r="Y5" s="12" t="n">
        <v>3.15</v>
      </c>
      <c r="Z5" s="12" t="n">
        <v>4</v>
      </c>
    </row>
    <row r="6" ht="46" customHeight="1">
      <c r="A6" s="23" t="inlineStr">
        <is>
          <t>VF01 (3)</t>
        </is>
      </c>
      <c r="B6" s="8" t="n">
        <v>0.77</v>
      </c>
      <c r="C6" s="10" t="inlineStr">
        <is>
          <t>Continua</t>
        </is>
      </c>
      <c r="D6" s="24">
        <f>1.2*(Datos_vigas!$B$7*J6*L6/10000+Datos_vigas!$B$16*Y6)</f>
        <v/>
      </c>
      <c r="E6" s="11" t="n"/>
      <c r="F6" s="24">
        <f>VLOOKUP(C6,Datos_vigas!$A$19:$E$23,4,0)*D6*B6</f>
        <v/>
      </c>
      <c r="G6" s="24">
        <f>F6</f>
        <v/>
      </c>
      <c r="H6" s="24">
        <f>VLOOKUP(C6,Datos_vigas!$A$19:$E$23,2,0)*D6*B6^2</f>
        <v/>
      </c>
      <c r="I6" s="24">
        <f>IF(VLOOKUP(C6,Datos_vigas!$A$19:$E$23,3,0)=0,"---",VLOOKUP(C6,Datos_vigas!$A$19:$E$23,3,0)*D6*B6^2)</f>
        <v/>
      </c>
      <c r="J6" s="10" t="n">
        <v>20</v>
      </c>
      <c r="K6" s="11">
        <f>L6-Z6</f>
        <v/>
      </c>
      <c r="L6" s="10" t="n">
        <v>35</v>
      </c>
      <c r="M6" s="25">
        <f>IF(NOT(ISNUMBER(H6)),"---",IF(H6&lt;=0,"---",IF(H6*100/(Datos_vigas!$B$8*J6*K6^2*Datos_vigas!$B$5)&gt;=0.5,"REVISAR",MAX((1-SQRT(1-2*H6*100/(Datos_vigas!$B$8*J6*K6^2*Datos_vigas!$B$5)))*J6*K6*Datos_vigas!$B$5/Datos_vigas!$B$6,0.0033*J6*K6))))</f>
        <v/>
      </c>
      <c r="N6" s="10" t="n">
        <v>2</v>
      </c>
      <c r="O6" s="10" t="n">
        <v>12</v>
      </c>
      <c r="P6" s="25">
        <f>IF(NOT(ISNUMBER(I6)),"---",IF(I6&lt;=0,"---",IF(I6*100/(Datos_vigas!$B$8*J6*K6^2*Datos_vigas!$B$5)&gt;=0.5,"REVISAR",MAX((1-SQRT(1-2*I6*100/(Datos_vigas!$B$8*J6*K6^2*Datos_vigas!$B$5)))*J6*K6*Datos_vigas!$B$5/Datos_vigas!$B$6,0.0033*J6*K6))))</f>
        <v/>
      </c>
      <c r="Q6" s="10" t="n">
        <v>2</v>
      </c>
      <c r="R6" s="10" t="n">
        <v>12</v>
      </c>
      <c r="S6" s="25">
        <f>F6/(J6*0.85*K6)</f>
        <v/>
      </c>
      <c r="T6" s="25">
        <f>G6/(J6*0.85*K6)</f>
        <v/>
      </c>
      <c r="U6" s="10" t="n">
        <v>6</v>
      </c>
      <c r="V6" s="10" t="n">
        <v>15</v>
      </c>
      <c r="W6" s="11">
        <f>IF(OR(M6="REVISAR",P6="REVISAR"),"SECCION INSUF.",IF(NOT(AND(M6&lt;&gt;"REVISAR",P6&lt;&gt;"REVISAR",IF(ISNUMBER(M6),N6*PI()*(O6/10)^2/4&gt;=M6,TRUE),IF(ISNUMBER(P6),Q6*PI()*(R6/10)^2/4&gt;=P6,TRUE),IF(ISNUMBER(M6),M6&lt;=0.0163*J6*K6,TRUE),IF(ISNUMBER(P6),P6&lt;=0.0163*J6*K6,TRUE))),"NO VERIFICA FLEX.",IF(NOT(F6&lt;=Datos_vigas!$B$9*(0.53*SQRT(Datos_vigas!$B$5)*J6*K6+2*PI()*(U6/10)^2/4*Datos_vigas!$B$6*K6/V6)),"NO VERIF. CORTE","VERIFICA")))</f>
        <v/>
      </c>
      <c r="X6" s="11" t="n"/>
      <c r="Y6" s="12" t="n">
        <v>3.15</v>
      </c>
      <c r="Z6" s="12" t="n">
        <v>4</v>
      </c>
    </row>
    <row r="7" ht="46" customHeight="1">
      <c r="A7" s="23" t="inlineStr">
        <is>
          <t>VF02</t>
        </is>
      </c>
      <c r="B7" s="8" t="n">
        <v>2.94</v>
      </c>
      <c r="C7" s="10" t="inlineStr">
        <is>
          <t>Simplemente apoyada</t>
        </is>
      </c>
      <c r="D7" s="24">
        <f>1.2*(Datos_vigas!$B$7*J7*L7/10000+Datos_vigas!$B$16*Y7)</f>
        <v/>
      </c>
      <c r="E7" s="11" t="n"/>
      <c r="F7" s="24">
        <f>VLOOKUP(C7,Datos_vigas!$A$19:$E$23,4,0)*D7*B7</f>
        <v/>
      </c>
      <c r="G7" s="24">
        <f>F7</f>
        <v/>
      </c>
      <c r="H7" s="24">
        <f>VLOOKUP(C7,Datos_vigas!$A$19:$E$23,2,0)*D7*B7^2</f>
        <v/>
      </c>
      <c r="I7" s="24">
        <f>IF(VLOOKUP(C7,Datos_vigas!$A$19:$E$23,3,0)=0,"---",VLOOKUP(C7,Datos_vigas!$A$19:$E$23,3,0)*D7*B7^2)</f>
        <v/>
      </c>
      <c r="J7" s="10" t="n">
        <v>25</v>
      </c>
      <c r="K7" s="11">
        <f>L7-Z7</f>
        <v/>
      </c>
      <c r="L7" s="10" t="n">
        <v>35</v>
      </c>
      <c r="M7" s="25">
        <f>IF(NOT(ISNUMBER(H7)),"---",IF(H7&lt;=0,"---",IF(H7*100/(Datos_vigas!$B$8*J7*K7^2*Datos_vigas!$B$5)&gt;=0.5,"REVISAR",MAX((1-SQRT(1-2*H7*100/(Datos_vigas!$B$8*J7*K7^2*Datos_vigas!$B$5)))*J7*K7*Datos_vigas!$B$5/Datos_vigas!$B$6,0.0033*J7*K7))))</f>
        <v/>
      </c>
      <c r="N7" s="10" t="n">
        <v>6</v>
      </c>
      <c r="O7" s="10" t="n">
        <v>8</v>
      </c>
      <c r="P7" s="25">
        <f>IF(NOT(ISNUMBER(I7)),"---",IF(I7&lt;=0,"---",IF(I7*100/(Datos_vigas!$B$8*J7*K7^2*Datos_vigas!$B$5)&gt;=0.5,"REVISAR",MAX((1-SQRT(1-2*I7*100/(Datos_vigas!$B$8*J7*K7^2*Datos_vigas!$B$5)))*J7*K7*Datos_vigas!$B$5/Datos_vigas!$B$6,0.0033*J7*K7))))</f>
        <v/>
      </c>
      <c r="Q7" s="10" t="inlineStr">
        <is>
          <t>---</t>
        </is>
      </c>
      <c r="R7" s="10" t="inlineStr">
        <is>
          <t>---</t>
        </is>
      </c>
      <c r="S7" s="25">
        <f>F7/(J7*0.85*K7)</f>
        <v/>
      </c>
      <c r="T7" s="25">
        <f>G7/(J7*0.85*K7)</f>
        <v/>
      </c>
      <c r="U7" s="10" t="n">
        <v>6</v>
      </c>
      <c r="V7" s="10" t="n">
        <v>15</v>
      </c>
      <c r="W7" s="11">
        <f>IF(OR(M7="REVISAR",P7="REVISAR"),"SECCION INSUF.",IF(NOT(AND(M7&lt;&gt;"REVISAR",P7&lt;&gt;"REVISAR",IF(ISNUMBER(M7),N7*PI()*(O7/10)^2/4&gt;=M7,TRUE),IF(ISNUMBER(P7),Q7*PI()*(R7/10)^2/4&gt;=P7,TRUE),IF(ISNUMBER(M7),M7&lt;=0.0163*J7*K7,TRUE),IF(ISNUMBER(P7),P7&lt;=0.0163*J7*K7,TRUE))),"NO VERIFICA FLEX.",IF(NOT(F7&lt;=Datos_vigas!$B$9*(0.53*SQRT(Datos_vigas!$B$5)*J7*K7+2*PI()*(U7/10)^2/4*Datos_vigas!$B$6*K7/V7)),"NO VERIF. CORTE","VERIFICA")))</f>
        <v/>
      </c>
      <c r="X7" s="13" t="inlineStr">
        <is>
          <t>Longitud total 3.28 m. La luz de calculo es la mayor entre pilotes, deducida de la posicion de los pilotes dibujados en el plano.</t>
        </is>
      </c>
      <c r="Y7" s="12" t="n">
        <v>3.15</v>
      </c>
      <c r="Z7" s="12" t="n">
        <v>4</v>
      </c>
    </row>
    <row r="8" ht="46" customHeight="1">
      <c r="A8" s="23" t="inlineStr">
        <is>
          <t>VF03</t>
        </is>
      </c>
      <c r="B8" s="8" t="n">
        <v>9.01</v>
      </c>
      <c r="C8" s="10" t="inlineStr">
        <is>
          <t>Continua</t>
        </is>
      </c>
      <c r="D8" s="24">
        <f>1.2*(Datos_vigas!$B$7*J8*L8/10000+Datos_vigas!$B$16*Y8)</f>
        <v/>
      </c>
      <c r="E8" s="11" t="n"/>
      <c r="F8" s="24">
        <f>VLOOKUP(C8,Datos_vigas!$A$19:$E$23,4,0)*D8*B8</f>
        <v/>
      </c>
      <c r="G8" s="24">
        <f>F8</f>
        <v/>
      </c>
      <c r="H8" s="24">
        <f>VLOOKUP(C8,Datos_vigas!$A$19:$E$23,2,0)*D8*B8^2</f>
        <v/>
      </c>
      <c r="I8" s="24">
        <f>IF(VLOOKUP(C8,Datos_vigas!$A$19:$E$23,3,0)=0,"---",VLOOKUP(C8,Datos_vigas!$A$19:$E$23,3,0)*D8*B8^2)</f>
        <v/>
      </c>
      <c r="J8" s="10" t="n">
        <v>22</v>
      </c>
      <c r="K8" s="11">
        <f>L8-Z8</f>
        <v/>
      </c>
      <c r="L8" s="10" t="n">
        <v>25</v>
      </c>
      <c r="M8" s="25">
        <f>IF(NOT(ISNUMBER(H8)),"---",IF(H8&lt;=0,"---",IF(H8*100/(Datos_vigas!$B$8*J8*K8^2*Datos_vigas!$B$5)&gt;=0.5,"REVISAR",MAX((1-SQRT(1-2*H8*100/(Datos_vigas!$B$8*J8*K8^2*Datos_vigas!$B$5)))*J8*K8*Datos_vigas!$B$5/Datos_vigas!$B$6,0.0033*J8*K8))))</f>
        <v/>
      </c>
      <c r="N8" s="10" t="n">
        <v>2</v>
      </c>
      <c r="O8" s="10" t="n">
        <v>25</v>
      </c>
      <c r="P8" s="25">
        <f>IF(NOT(ISNUMBER(I8)),"---",IF(I8&lt;=0,"---",IF(I8*100/(Datos_vigas!$B$8*J8*K8^2*Datos_vigas!$B$5)&gt;=0.5,"REVISAR",MAX((1-SQRT(1-2*I8*100/(Datos_vigas!$B$8*J8*K8^2*Datos_vigas!$B$5)))*J8*K8*Datos_vigas!$B$5/Datos_vigas!$B$6,0.0033*J8*K8))))</f>
        <v/>
      </c>
      <c r="Q8" s="10" t="n">
        <v>5</v>
      </c>
      <c r="R8" s="10" t="n">
        <v>6</v>
      </c>
      <c r="S8" s="25">
        <f>F8/(J8*0.85*K8)</f>
        <v/>
      </c>
      <c r="T8" s="25">
        <f>G8/(J8*0.85*K8)</f>
        <v/>
      </c>
      <c r="U8" s="10" t="n">
        <v>12</v>
      </c>
      <c r="V8" s="10" t="n">
        <v>5</v>
      </c>
      <c r="W8" s="11">
        <f>IF(OR(M8="REVISAR",P8="REVISAR"),"SECCION INSUF.",IF(NOT(AND(M8&lt;&gt;"REVISAR",P8&lt;&gt;"REVISAR",IF(ISNUMBER(M8),N8*PI()*(O8/10)^2/4&gt;=M8,TRUE),IF(ISNUMBER(P8),Q8*PI()*(R8/10)^2/4&gt;=P8,TRUE),IF(ISNUMBER(M8),M8&lt;=0.0163*J8*K8,TRUE),IF(ISNUMBER(P8),P8&lt;=0.0163*J8*K8,TRUE))),"NO VERIFICA FLEX.",IF(NOT(F8&lt;=Datos_vigas!$B$9*(0.53*SQRT(Datos_vigas!$B$5)*J8*K8+2*PI()*(U8/10)^2/4*Datos_vigas!$B$6*K8/V8)),"NO VERIF. CORTE","VERIFICA")))</f>
        <v/>
      </c>
      <c r="X8" s="13" t="inlineStr">
        <is>
          <t>Longitud total 9.28 m. La luz de calculo es la mayor entre pilotes, deducida de la posicion de los pilotes dibujados en el plano. No se detectaron pilotes intermedios en este tramo. Verificar: puede estar apoyada directamente sobre el terreno, en cuyo caso no flexiona como viga de luz libre. Relacion luz/altura alta. En una viga de fundacion enterrada la flecha no suele gobernar, por eso no se la incluye en la verificacion.</t>
        </is>
      </c>
      <c r="Y8" s="12" t="n">
        <v>3.15</v>
      </c>
      <c r="Z8" s="12" t="n">
        <v>7</v>
      </c>
    </row>
    <row r="9" ht="46" customHeight="1">
      <c r="A9" s="23" t="inlineStr">
        <is>
          <t>VF04a</t>
        </is>
      </c>
      <c r="B9" s="8" t="n">
        <v>3.8</v>
      </c>
      <c r="C9" s="10" t="inlineStr">
        <is>
          <t>Continua</t>
        </is>
      </c>
      <c r="D9" s="24">
        <f>1.2*(Datos_vigas!$B$7*J9*L9/10000+Datos_vigas!$B$16*Y9)</f>
        <v/>
      </c>
      <c r="E9" s="11" t="n"/>
      <c r="F9" s="24">
        <f>VLOOKUP(C9,Datos_vigas!$A$19:$E$23,4,0)*D9*B9</f>
        <v/>
      </c>
      <c r="G9" s="24">
        <f>F9</f>
        <v/>
      </c>
      <c r="H9" s="24">
        <f>VLOOKUP(C9,Datos_vigas!$A$19:$E$23,2,0)*D9*B9^2</f>
        <v/>
      </c>
      <c r="I9" s="24">
        <f>IF(VLOOKUP(C9,Datos_vigas!$A$19:$E$23,3,0)=0,"---",VLOOKUP(C9,Datos_vigas!$A$19:$E$23,3,0)*D9*B9^2)</f>
        <v/>
      </c>
      <c r="J9" s="10" t="n">
        <v>22</v>
      </c>
      <c r="K9" s="11">
        <f>L9-Z9</f>
        <v/>
      </c>
      <c r="L9" s="10" t="n">
        <v>35</v>
      </c>
      <c r="M9" s="25">
        <f>IF(NOT(ISNUMBER(H9)),"---",IF(H9&lt;=0,"---",IF(H9*100/(Datos_vigas!$B$8*J9*K9^2*Datos_vigas!$B$5)&gt;=0.5,"REVISAR",MAX((1-SQRT(1-2*H9*100/(Datos_vigas!$B$8*J9*K9^2*Datos_vigas!$B$5)))*J9*K9*Datos_vigas!$B$5/Datos_vigas!$B$6,0.0033*J9*K9))))</f>
        <v/>
      </c>
      <c r="N9" s="10" t="n">
        <v>2</v>
      </c>
      <c r="O9" s="10" t="n">
        <v>12</v>
      </c>
      <c r="P9" s="25">
        <f>IF(NOT(ISNUMBER(I9)),"---",IF(I9&lt;=0,"---",IF(I9*100/(Datos_vigas!$B$8*J9*K9^2*Datos_vigas!$B$5)&gt;=0.5,"REVISAR",MAX((1-SQRT(1-2*I9*100/(Datos_vigas!$B$8*J9*K9^2*Datos_vigas!$B$5)))*J9*K9*Datos_vigas!$B$5/Datos_vigas!$B$6,0.0033*J9*K9))))</f>
        <v/>
      </c>
      <c r="Q9" s="10" t="n">
        <v>2</v>
      </c>
      <c r="R9" s="10" t="n">
        <v>12</v>
      </c>
      <c r="S9" s="25">
        <f>F9/(J9*0.85*K9)</f>
        <v/>
      </c>
      <c r="T9" s="25">
        <f>G9/(J9*0.85*K9)</f>
        <v/>
      </c>
      <c r="U9" s="10" t="n">
        <v>6</v>
      </c>
      <c r="V9" s="10" t="n">
        <v>15</v>
      </c>
      <c r="W9" s="11">
        <f>IF(OR(M9="REVISAR",P9="REVISAR"),"SECCION INSUF.",IF(NOT(AND(M9&lt;&gt;"REVISAR",P9&lt;&gt;"REVISAR",IF(ISNUMBER(M9),N9*PI()*(O9/10)^2/4&gt;=M9,TRUE),IF(ISNUMBER(P9),Q9*PI()*(R9/10)^2/4&gt;=P9,TRUE),IF(ISNUMBER(M9),M9&lt;=0.0163*J9*K9,TRUE),IF(ISNUMBER(P9),P9&lt;=0.0163*J9*K9,TRUE))),"NO VERIFICA FLEX.",IF(NOT(F9&lt;=Datos_vigas!$B$9*(0.53*SQRT(Datos_vigas!$B$5)*J9*K9+2*PI()*(U9/10)^2/4*Datos_vigas!$B$6*K9/V9)),"NO VERIF. CORTE","VERIFICA")))</f>
        <v/>
      </c>
      <c r="X9" s="13" t="inlineStr">
        <is>
          <t>El ancho quedo cortado en el PDF: se adopta 20 cm. Confirmar si es 20 o 22. Longitud total 5.33 m. La luz de calculo es la mayor entre pilotes, deducida de la posicion de los pilotes dibujados en el plano.</t>
        </is>
      </c>
      <c r="Y9" s="12" t="n">
        <v>3.15</v>
      </c>
      <c r="Z9" s="12" t="n">
        <v>4</v>
      </c>
    </row>
    <row r="10" ht="46" customHeight="1">
      <c r="A10" s="23" t="inlineStr">
        <is>
          <t>VF04b</t>
        </is>
      </c>
      <c r="B10" s="8" t="n">
        <v>3.3</v>
      </c>
      <c r="C10" s="10" t="inlineStr">
        <is>
          <t>Continua</t>
        </is>
      </c>
      <c r="D10" s="24">
        <f>1.2*(Datos_vigas!$B$7*J10*L10/10000+Datos_vigas!$B$16*Y10)</f>
        <v/>
      </c>
      <c r="E10" s="11" t="n"/>
      <c r="F10" s="24">
        <f>VLOOKUP(C10,Datos_vigas!$A$19:$E$23,4,0)*D10*B10</f>
        <v/>
      </c>
      <c r="G10" s="24">
        <f>F10</f>
        <v/>
      </c>
      <c r="H10" s="24">
        <f>VLOOKUP(C10,Datos_vigas!$A$19:$E$23,2,0)*D10*B10^2</f>
        <v/>
      </c>
      <c r="I10" s="24">
        <f>IF(VLOOKUP(C10,Datos_vigas!$A$19:$E$23,3,0)=0,"---",VLOOKUP(C10,Datos_vigas!$A$19:$E$23,3,0)*D10*B10^2)</f>
        <v/>
      </c>
      <c r="J10" s="10" t="n">
        <v>20</v>
      </c>
      <c r="K10" s="11">
        <f>L10-Z10</f>
        <v/>
      </c>
      <c r="L10" s="10" t="n">
        <v>25</v>
      </c>
      <c r="M10" s="25">
        <f>IF(NOT(ISNUMBER(H10)),"---",IF(H10&lt;=0,"---",IF(H10*100/(Datos_vigas!$B$8*J10*K10^2*Datos_vigas!$B$5)&gt;=0.5,"REVISAR",MAX((1-SQRT(1-2*H10*100/(Datos_vigas!$B$8*J10*K10^2*Datos_vigas!$B$5)))*J10*K10*Datos_vigas!$B$5/Datos_vigas!$B$6,0.0033*J10*K10))))</f>
        <v/>
      </c>
      <c r="N10" s="10" t="n">
        <v>5</v>
      </c>
      <c r="O10" s="10" t="n">
        <v>6</v>
      </c>
      <c r="P10" s="25">
        <f>IF(NOT(ISNUMBER(I10)),"---",IF(I10&lt;=0,"---",IF(I10*100/(Datos_vigas!$B$8*J10*K10^2*Datos_vigas!$B$5)&gt;=0.5,"REVISAR",MAX((1-SQRT(1-2*I10*100/(Datos_vigas!$B$8*J10*K10^2*Datos_vigas!$B$5)))*J10*K10*Datos_vigas!$B$5/Datos_vigas!$B$6,0.0033*J10*K10))))</f>
        <v/>
      </c>
      <c r="Q10" s="10" t="n">
        <v>2</v>
      </c>
      <c r="R10" s="10" t="n">
        <v>10</v>
      </c>
      <c r="S10" s="25">
        <f>F10/(J10*0.85*K10)</f>
        <v/>
      </c>
      <c r="T10" s="25">
        <f>G10/(J10*0.85*K10)</f>
        <v/>
      </c>
      <c r="U10" s="10" t="n">
        <v>6</v>
      </c>
      <c r="V10" s="10" t="n">
        <v>10</v>
      </c>
      <c r="W10" s="11">
        <f>IF(OR(M10="REVISAR",P10="REVISAR"),"SECCION INSUF.",IF(NOT(AND(M10&lt;&gt;"REVISAR",P10&lt;&gt;"REVISAR",IF(ISNUMBER(M10),N10*PI()*(O10/10)^2/4&gt;=M10,TRUE),IF(ISNUMBER(P10),Q10*PI()*(R10/10)^2/4&gt;=P10,TRUE),IF(ISNUMBER(M10),M10&lt;=0.0163*J10*K10,TRUE),IF(ISNUMBER(P10),P10&lt;=0.0163*J10*K10,TRUE))),"NO VERIFICA FLEX.",IF(NOT(F10&lt;=Datos_vigas!$B$9*(0.53*SQRT(Datos_vigas!$B$5)*J10*K10+2*PI()*(U10/10)^2/4*Datos_vigas!$B$6*K10/V10)),"NO VERIF. CORTE","VERIFICA")))</f>
        <v/>
      </c>
      <c r="X10" s="11" t="n"/>
      <c r="Y10" s="12" t="n">
        <v>3.15</v>
      </c>
      <c r="Z10" s="12" t="n">
        <v>4</v>
      </c>
    </row>
    <row r="11" ht="46" customHeight="1">
      <c r="A11" s="23" t="inlineStr">
        <is>
          <t>VF04c</t>
        </is>
      </c>
      <c r="B11" s="8" t="n">
        <v>3.08</v>
      </c>
      <c r="C11" s="10" t="inlineStr">
        <is>
          <t>Continua</t>
        </is>
      </c>
      <c r="D11" s="24">
        <f>1.2*(Datos_vigas!$B$7*J11*L11/10000+Datos_vigas!$B$16*Y11)</f>
        <v/>
      </c>
      <c r="E11" s="11" t="n"/>
      <c r="F11" s="24">
        <f>VLOOKUP(C11,Datos_vigas!$A$19:$E$23,4,0)*D11*B11</f>
        <v/>
      </c>
      <c r="G11" s="24">
        <f>F11</f>
        <v/>
      </c>
      <c r="H11" s="24">
        <f>VLOOKUP(C11,Datos_vigas!$A$19:$E$23,2,0)*D11*B11^2</f>
        <v/>
      </c>
      <c r="I11" s="24">
        <f>IF(VLOOKUP(C11,Datos_vigas!$A$19:$E$23,3,0)=0,"---",VLOOKUP(C11,Datos_vigas!$A$19:$E$23,3,0)*D11*B11^2)</f>
        <v/>
      </c>
      <c r="J11" s="10" t="n">
        <v>20</v>
      </c>
      <c r="K11" s="11">
        <f>L11-Z11</f>
        <v/>
      </c>
      <c r="L11" s="10" t="n">
        <v>25</v>
      </c>
      <c r="M11" s="25">
        <f>IF(NOT(ISNUMBER(H11)),"---",IF(H11&lt;=0,"---",IF(H11*100/(Datos_vigas!$B$8*J11*K11^2*Datos_vigas!$B$5)&gt;=0.5,"REVISAR",MAX((1-SQRT(1-2*H11*100/(Datos_vigas!$B$8*J11*K11^2*Datos_vigas!$B$5)))*J11*K11*Datos_vigas!$B$5/Datos_vigas!$B$6,0.0033*J11*K11))))</f>
        <v/>
      </c>
      <c r="N11" s="10" t="n">
        <v>5</v>
      </c>
      <c r="O11" s="10" t="n">
        <v>6</v>
      </c>
      <c r="P11" s="25">
        <f>IF(NOT(ISNUMBER(I11)),"---",IF(I11&lt;=0,"---",IF(I11*100/(Datos_vigas!$B$8*J11*K11^2*Datos_vigas!$B$5)&gt;=0.5,"REVISAR",MAX((1-SQRT(1-2*I11*100/(Datos_vigas!$B$8*J11*K11^2*Datos_vigas!$B$5)))*J11*K11*Datos_vigas!$B$5/Datos_vigas!$B$6,0.0033*J11*K11))))</f>
        <v/>
      </c>
      <c r="Q11" s="10" t="n">
        <v>5</v>
      </c>
      <c r="R11" s="10" t="n">
        <v>6</v>
      </c>
      <c r="S11" s="25">
        <f>F11/(J11*0.85*K11)</f>
        <v/>
      </c>
      <c r="T11" s="25">
        <f>G11/(J11*0.85*K11)</f>
        <v/>
      </c>
      <c r="U11" s="10" t="n">
        <v>6</v>
      </c>
      <c r="V11" s="10" t="n">
        <v>10</v>
      </c>
      <c r="W11" s="11">
        <f>IF(OR(M11="REVISAR",P11="REVISAR"),"SECCION INSUF.",IF(NOT(AND(M11&lt;&gt;"REVISAR",P11&lt;&gt;"REVISAR",IF(ISNUMBER(M11),N11*PI()*(O11/10)^2/4&gt;=M11,TRUE),IF(ISNUMBER(P11),Q11*PI()*(R11/10)^2/4&gt;=P11,TRUE),IF(ISNUMBER(M11),M11&lt;=0.0163*J11*K11,TRUE),IF(ISNUMBER(P11),P11&lt;=0.0163*J11*K11,TRUE))),"NO VERIFICA FLEX.",IF(NOT(F11&lt;=Datos_vigas!$B$9*(0.53*SQRT(Datos_vigas!$B$5)*J11*K11+2*PI()*(U11/10)^2/4*Datos_vigas!$B$6*K11/V11)),"NO VERIF. CORTE","VERIFICA")))</f>
        <v/>
      </c>
      <c r="X11" s="11" t="n"/>
      <c r="Y11" s="12" t="n">
        <v>3.15</v>
      </c>
      <c r="Z11" s="12" t="n">
        <v>4</v>
      </c>
    </row>
    <row r="12" ht="46" customHeight="1">
      <c r="A12" s="23" t="inlineStr">
        <is>
          <t>VF05</t>
        </is>
      </c>
      <c r="B12" s="8" t="n">
        <v>2.26</v>
      </c>
      <c r="C12" s="10" t="inlineStr">
        <is>
          <t>Simplemente apoyada</t>
        </is>
      </c>
      <c r="D12" s="24">
        <f>1.2*(Datos_vigas!$B$7*J12*L12/10000+Datos_vigas!$B$16*Y12)</f>
        <v/>
      </c>
      <c r="E12" s="11" t="n"/>
      <c r="F12" s="24">
        <f>VLOOKUP(C12,Datos_vigas!$A$19:$E$23,4,0)*D12*B12</f>
        <v/>
      </c>
      <c r="G12" s="24">
        <f>F12</f>
        <v/>
      </c>
      <c r="H12" s="24">
        <f>VLOOKUP(C12,Datos_vigas!$A$19:$E$23,2,0)*D12*B12^2</f>
        <v/>
      </c>
      <c r="I12" s="24">
        <f>IF(VLOOKUP(C12,Datos_vigas!$A$19:$E$23,3,0)=0,"---",VLOOKUP(C12,Datos_vigas!$A$19:$E$23,3,0)*D12*B12^2)</f>
        <v/>
      </c>
      <c r="J12" s="10" t="n">
        <v>15</v>
      </c>
      <c r="K12" s="11">
        <f>L12-Z12</f>
        <v/>
      </c>
      <c r="L12" s="10" t="n">
        <v>25</v>
      </c>
      <c r="M12" s="25">
        <f>IF(NOT(ISNUMBER(H12)),"---",IF(H12&lt;=0,"---",IF(H12*100/(Datos_vigas!$B$8*J12*K12^2*Datos_vigas!$B$5)&gt;=0.5,"REVISAR",MAX((1-SQRT(1-2*H12*100/(Datos_vigas!$B$8*J12*K12^2*Datos_vigas!$B$5)))*J12*K12*Datos_vigas!$B$5/Datos_vigas!$B$6,0.0033*J12*K12))))</f>
        <v/>
      </c>
      <c r="N12" s="10" t="n">
        <v>3</v>
      </c>
      <c r="O12" s="10" t="n">
        <v>8</v>
      </c>
      <c r="P12" s="25">
        <f>IF(NOT(ISNUMBER(I12)),"---",IF(I12&lt;=0,"---",IF(I12*100/(Datos_vigas!$B$8*J12*K12^2*Datos_vigas!$B$5)&gt;=0.5,"REVISAR",MAX((1-SQRT(1-2*I12*100/(Datos_vigas!$B$8*J12*K12^2*Datos_vigas!$B$5)))*J12*K12*Datos_vigas!$B$5/Datos_vigas!$B$6,0.0033*J12*K12))))</f>
        <v/>
      </c>
      <c r="Q12" s="10" t="inlineStr">
        <is>
          <t>---</t>
        </is>
      </c>
      <c r="R12" s="10" t="inlineStr">
        <is>
          <t>---</t>
        </is>
      </c>
      <c r="S12" s="25">
        <f>F12/(J12*0.85*K12)</f>
        <v/>
      </c>
      <c r="T12" s="25">
        <f>G12/(J12*0.85*K12)</f>
        <v/>
      </c>
      <c r="U12" s="10" t="n">
        <v>6</v>
      </c>
      <c r="V12" s="10" t="n">
        <v>10</v>
      </c>
      <c r="W12" s="11">
        <f>IF(OR(M12="REVISAR",P12="REVISAR"),"SECCION INSUF.",IF(NOT(AND(M12&lt;&gt;"REVISAR",P12&lt;&gt;"REVISAR",IF(ISNUMBER(M12),N12*PI()*(O12/10)^2/4&gt;=M12,TRUE),IF(ISNUMBER(P12),Q12*PI()*(R12/10)^2/4&gt;=P12,TRUE),IF(ISNUMBER(M12),M12&lt;=0.0163*J12*K12,TRUE),IF(ISNUMBER(P12),P12&lt;=0.0163*J12*K12,TRUE))),"NO VERIFICA FLEX.",IF(NOT(F12&lt;=Datos_vigas!$B$9*(0.53*SQRT(Datos_vigas!$B$5)*J12*K12+2*PI()*(U12/10)^2/4*Datos_vigas!$B$6*K12/V12)),"NO VERIF. CORTE","VERIFICA")))</f>
        <v/>
      </c>
      <c r="X12" s="11" t="n"/>
      <c r="Y12" s="12" t="n">
        <v>3.15</v>
      </c>
      <c r="Z12" s="12" t="n">
        <v>4</v>
      </c>
    </row>
    <row r="13" ht="46" customHeight="1">
      <c r="A13" s="23" t="inlineStr">
        <is>
          <t>VF06a</t>
        </is>
      </c>
      <c r="B13" s="8" t="n">
        <v>0.23</v>
      </c>
      <c r="C13" s="10" t="inlineStr">
        <is>
          <t>Continua</t>
        </is>
      </c>
      <c r="D13" s="24">
        <f>1.2*(Datos_vigas!$B$7*J13*L13/10000+Datos_vigas!$B$16*Y13)</f>
        <v/>
      </c>
      <c r="E13" s="11" t="n"/>
      <c r="F13" s="24">
        <f>VLOOKUP(C13,Datos_vigas!$A$19:$E$23,4,0)*D13*B13</f>
        <v/>
      </c>
      <c r="G13" s="24">
        <f>F13</f>
        <v/>
      </c>
      <c r="H13" s="24">
        <f>VLOOKUP(C13,Datos_vigas!$A$19:$E$23,2,0)*D13*B13^2</f>
        <v/>
      </c>
      <c r="I13" s="24">
        <f>IF(VLOOKUP(C13,Datos_vigas!$A$19:$E$23,3,0)=0,"---",VLOOKUP(C13,Datos_vigas!$A$19:$E$23,3,0)*D13*B13^2)</f>
        <v/>
      </c>
      <c r="J13" s="10" t="n">
        <v>15</v>
      </c>
      <c r="K13" s="11">
        <f>L13-Z13</f>
        <v/>
      </c>
      <c r="L13" s="10" t="n">
        <v>25</v>
      </c>
      <c r="M13" s="25">
        <f>IF(NOT(ISNUMBER(H13)),"---",IF(H13&lt;=0,"---",IF(H13*100/(Datos_vigas!$B$8*J13*K13^2*Datos_vigas!$B$5)&gt;=0.5,"REVISAR",MAX((1-SQRT(1-2*H13*100/(Datos_vigas!$B$8*J13*K13^2*Datos_vigas!$B$5)))*J13*K13*Datos_vigas!$B$5/Datos_vigas!$B$6,0.0033*J13*K13))))</f>
        <v/>
      </c>
      <c r="N13" s="10" t="n">
        <v>3</v>
      </c>
      <c r="O13" s="10" t="n">
        <v>8</v>
      </c>
      <c r="P13" s="25">
        <f>IF(NOT(ISNUMBER(I13)),"---",IF(I13&lt;=0,"---",IF(I13*100/(Datos_vigas!$B$8*J13*K13^2*Datos_vigas!$B$5)&gt;=0.5,"REVISAR",MAX((1-SQRT(1-2*I13*100/(Datos_vigas!$B$8*J13*K13^2*Datos_vigas!$B$5)))*J13*K13*Datos_vigas!$B$5/Datos_vigas!$B$6,0.0033*J13*K13))))</f>
        <v/>
      </c>
      <c r="Q13" s="10" t="n">
        <v>3</v>
      </c>
      <c r="R13" s="10" t="n">
        <v>8</v>
      </c>
      <c r="S13" s="25">
        <f>F13/(J13*0.85*K13)</f>
        <v/>
      </c>
      <c r="T13" s="25">
        <f>G13/(J13*0.85*K13)</f>
        <v/>
      </c>
      <c r="U13" s="10" t="n">
        <v>6</v>
      </c>
      <c r="V13" s="10" t="n">
        <v>10</v>
      </c>
      <c r="W13" s="11">
        <f>IF(OR(M13="REVISAR",P13="REVISAR"),"SECCION INSUF.",IF(NOT(AND(M13&lt;&gt;"REVISAR",P13&lt;&gt;"REVISAR",IF(ISNUMBER(M13),N13*PI()*(O13/10)^2/4&gt;=M13,TRUE),IF(ISNUMBER(P13),Q13*PI()*(R13/10)^2/4&gt;=P13,TRUE),IF(ISNUMBER(M13),M13&lt;=0.0163*J13*K13,TRUE),IF(ISNUMBER(P13),P13&lt;=0.0163*J13*K13,TRUE))),"NO VERIFICA FLEX.",IF(NOT(F13&lt;=Datos_vigas!$B$9*(0.53*SQRT(Datos_vigas!$B$5)*J13*K13+2*PI()*(U13/10)^2/4*Datos_vigas!$B$6*K13/V13)),"NO VERIF. CORTE","VERIFICA")))</f>
        <v/>
      </c>
      <c r="X13" s="11" t="n"/>
      <c r="Y13" s="12" t="n">
        <v>3.15</v>
      </c>
      <c r="Z13" s="12" t="n">
        <v>4</v>
      </c>
    </row>
    <row r="14" ht="46" customHeight="1">
      <c r="A14" s="23" t="inlineStr">
        <is>
          <t>VF06b</t>
        </is>
      </c>
      <c r="B14" s="8" t="n">
        <v>1.83</v>
      </c>
      <c r="C14" s="10" t="inlineStr">
        <is>
          <t>Continua</t>
        </is>
      </c>
      <c r="D14" s="24">
        <f>1.2*(Datos_vigas!$B$7*J14*L14/10000+Datos_vigas!$B$16*Y14)</f>
        <v/>
      </c>
      <c r="E14" s="11" t="n"/>
      <c r="F14" s="24">
        <f>VLOOKUP(C14,Datos_vigas!$A$19:$E$23,4,0)*D14*B14</f>
        <v/>
      </c>
      <c r="G14" s="24">
        <f>F14</f>
        <v/>
      </c>
      <c r="H14" s="24">
        <f>VLOOKUP(C14,Datos_vigas!$A$19:$E$23,2,0)*D14*B14^2</f>
        <v/>
      </c>
      <c r="I14" s="24">
        <f>IF(VLOOKUP(C14,Datos_vigas!$A$19:$E$23,3,0)=0,"---",VLOOKUP(C14,Datos_vigas!$A$19:$E$23,3,0)*D14*B14^2)</f>
        <v/>
      </c>
      <c r="J14" s="10" t="n">
        <v>20</v>
      </c>
      <c r="K14" s="11">
        <f>L14-Z14</f>
        <v/>
      </c>
      <c r="L14" s="10" t="n">
        <v>25</v>
      </c>
      <c r="M14" s="25">
        <f>IF(NOT(ISNUMBER(H14)),"---",IF(H14&lt;=0,"---",IF(H14*100/(Datos_vigas!$B$8*J14*K14^2*Datos_vigas!$B$5)&gt;=0.5,"REVISAR",MAX((1-SQRT(1-2*H14*100/(Datos_vigas!$B$8*J14*K14^2*Datos_vigas!$B$5)))*J14*K14*Datos_vigas!$B$5/Datos_vigas!$B$6,0.0033*J14*K14))))</f>
        <v/>
      </c>
      <c r="N14" s="10" t="n">
        <v>5</v>
      </c>
      <c r="O14" s="10" t="n">
        <v>6</v>
      </c>
      <c r="P14" s="25">
        <f>IF(NOT(ISNUMBER(I14)),"---",IF(I14&lt;=0,"---",IF(I14*100/(Datos_vigas!$B$8*J14*K14^2*Datos_vigas!$B$5)&gt;=0.5,"REVISAR",MAX((1-SQRT(1-2*I14*100/(Datos_vigas!$B$8*J14*K14^2*Datos_vigas!$B$5)))*J14*K14*Datos_vigas!$B$5/Datos_vigas!$B$6,0.0033*J14*K14))))</f>
        <v/>
      </c>
      <c r="Q14" s="10" t="n">
        <v>5</v>
      </c>
      <c r="R14" s="10" t="n">
        <v>6</v>
      </c>
      <c r="S14" s="25">
        <f>F14/(J14*0.85*K14)</f>
        <v/>
      </c>
      <c r="T14" s="25">
        <f>G14/(J14*0.85*K14)</f>
        <v/>
      </c>
      <c r="U14" s="10" t="n">
        <v>6</v>
      </c>
      <c r="V14" s="10" t="n">
        <v>10</v>
      </c>
      <c r="W14" s="11">
        <f>IF(OR(M14="REVISAR",P14="REVISAR"),"SECCION INSUF.",IF(NOT(AND(M14&lt;&gt;"REVISAR",P14&lt;&gt;"REVISAR",IF(ISNUMBER(M14),N14*PI()*(O14/10)^2/4&gt;=M14,TRUE),IF(ISNUMBER(P14),Q14*PI()*(R14/10)^2/4&gt;=P14,TRUE),IF(ISNUMBER(M14),M14&lt;=0.0163*J14*K14,TRUE),IF(ISNUMBER(P14),P14&lt;=0.0163*J14*K14,TRUE))),"NO VERIFICA FLEX.",IF(NOT(F14&lt;=Datos_vigas!$B$9*(0.53*SQRT(Datos_vigas!$B$5)*J14*K14+2*PI()*(U14/10)^2/4*Datos_vigas!$B$6*K14/V14)),"NO VERIF. CORTE","VERIFICA")))</f>
        <v/>
      </c>
      <c r="X14" s="11" t="n"/>
      <c r="Y14" s="12" t="n">
        <v>3.15</v>
      </c>
      <c r="Z14" s="12" t="n">
        <v>4</v>
      </c>
    </row>
    <row r="15" ht="46" customHeight="1">
      <c r="A15" s="23" t="inlineStr">
        <is>
          <t>VF06c</t>
        </is>
      </c>
      <c r="B15" s="8" t="n">
        <v>3.3</v>
      </c>
      <c r="C15" s="10" t="inlineStr">
        <is>
          <t>Continua</t>
        </is>
      </c>
      <c r="D15" s="24">
        <f>1.2*(Datos_vigas!$B$7*J15*L15/10000+Datos_vigas!$B$16*Y15)</f>
        <v/>
      </c>
      <c r="E15" s="11" t="n"/>
      <c r="F15" s="24">
        <f>VLOOKUP(C15,Datos_vigas!$A$19:$E$23,4,0)*D15*B15</f>
        <v/>
      </c>
      <c r="G15" s="24">
        <f>F15</f>
        <v/>
      </c>
      <c r="H15" s="24">
        <f>VLOOKUP(C15,Datos_vigas!$A$19:$E$23,2,0)*D15*B15^2</f>
        <v/>
      </c>
      <c r="I15" s="24">
        <f>IF(VLOOKUP(C15,Datos_vigas!$A$19:$E$23,3,0)=0,"---",VLOOKUP(C15,Datos_vigas!$A$19:$E$23,3,0)*D15*B15^2)</f>
        <v/>
      </c>
      <c r="J15" s="10" t="n">
        <v>20</v>
      </c>
      <c r="K15" s="11">
        <f>L15-Z15</f>
        <v/>
      </c>
      <c r="L15" s="10" t="n">
        <v>25</v>
      </c>
      <c r="M15" s="25">
        <f>IF(NOT(ISNUMBER(H15)),"---",IF(H15&lt;=0,"---",IF(H15*100/(Datos_vigas!$B$8*J15*K15^2*Datos_vigas!$B$5)&gt;=0.5,"REVISAR",MAX((1-SQRT(1-2*H15*100/(Datos_vigas!$B$8*J15*K15^2*Datos_vigas!$B$5)))*J15*K15*Datos_vigas!$B$5/Datos_vigas!$B$6,0.0033*J15*K15))))</f>
        <v/>
      </c>
      <c r="N15" s="10" t="n">
        <v>5</v>
      </c>
      <c r="O15" s="10" t="n">
        <v>6</v>
      </c>
      <c r="P15" s="25">
        <f>IF(NOT(ISNUMBER(I15)),"---",IF(I15&lt;=0,"---",IF(I15*100/(Datos_vigas!$B$8*J15*K15^2*Datos_vigas!$B$5)&gt;=0.5,"REVISAR",MAX((1-SQRT(1-2*I15*100/(Datos_vigas!$B$8*J15*K15^2*Datos_vigas!$B$5)))*J15*K15*Datos_vigas!$B$5/Datos_vigas!$B$6,0.0033*J15*K15))))</f>
        <v/>
      </c>
      <c r="Q15" s="10" t="n">
        <v>2</v>
      </c>
      <c r="R15" s="10" t="n">
        <v>10</v>
      </c>
      <c r="S15" s="25">
        <f>F15/(J15*0.85*K15)</f>
        <v/>
      </c>
      <c r="T15" s="25">
        <f>G15/(J15*0.85*K15)</f>
        <v/>
      </c>
      <c r="U15" s="10" t="n">
        <v>6</v>
      </c>
      <c r="V15" s="10" t="n">
        <v>10</v>
      </c>
      <c r="W15" s="11">
        <f>IF(OR(M15="REVISAR",P15="REVISAR"),"SECCION INSUF.",IF(NOT(AND(M15&lt;&gt;"REVISAR",P15&lt;&gt;"REVISAR",IF(ISNUMBER(M15),N15*PI()*(O15/10)^2/4&gt;=M15,TRUE),IF(ISNUMBER(P15),Q15*PI()*(R15/10)^2/4&gt;=P15,TRUE),IF(ISNUMBER(M15),M15&lt;=0.0163*J15*K15,TRUE),IF(ISNUMBER(P15),P15&lt;=0.0163*J15*K15,TRUE))),"NO VERIFICA FLEX.",IF(NOT(F15&lt;=Datos_vigas!$B$9*(0.53*SQRT(Datos_vigas!$B$5)*J15*K15+2*PI()*(U15/10)^2/4*Datos_vigas!$B$6*K15/V15)),"NO VERIF. CORTE","VERIFICA")))</f>
        <v/>
      </c>
      <c r="X15" s="11" t="n"/>
      <c r="Y15" s="12" t="n">
        <v>3.15</v>
      </c>
      <c r="Z15" s="12" t="n">
        <v>4</v>
      </c>
    </row>
    <row r="16" ht="46" customHeight="1">
      <c r="A16" s="23" t="inlineStr">
        <is>
          <t>VF06d</t>
        </is>
      </c>
      <c r="B16" s="8" t="n">
        <v>3.03</v>
      </c>
      <c r="C16" s="10" t="inlineStr">
        <is>
          <t>Continua</t>
        </is>
      </c>
      <c r="D16" s="24">
        <f>1.2*(Datos_vigas!$B$7*J16*L16/10000+Datos_vigas!$B$16*Y16)</f>
        <v/>
      </c>
      <c r="E16" s="11" t="n"/>
      <c r="F16" s="24">
        <f>VLOOKUP(C16,Datos_vigas!$A$19:$E$23,4,0)*D16*B16</f>
        <v/>
      </c>
      <c r="G16" s="24">
        <f>F16</f>
        <v/>
      </c>
      <c r="H16" s="24">
        <f>VLOOKUP(C16,Datos_vigas!$A$19:$E$23,2,0)*D16*B16^2</f>
        <v/>
      </c>
      <c r="I16" s="24">
        <f>IF(VLOOKUP(C16,Datos_vigas!$A$19:$E$23,3,0)=0,"---",VLOOKUP(C16,Datos_vigas!$A$19:$E$23,3,0)*D16*B16^2)</f>
        <v/>
      </c>
      <c r="J16" s="10" t="n">
        <v>22</v>
      </c>
      <c r="K16" s="11">
        <f>L16-Z16</f>
        <v/>
      </c>
      <c r="L16" s="10" t="n">
        <v>25</v>
      </c>
      <c r="M16" s="25">
        <f>IF(NOT(ISNUMBER(H16)),"---",IF(H16&lt;=0,"---",IF(H16*100/(Datos_vigas!$B$8*J16*K16^2*Datos_vigas!$B$5)&gt;=0.5,"REVISAR",MAX((1-SQRT(1-2*H16*100/(Datos_vigas!$B$8*J16*K16^2*Datos_vigas!$B$5)))*J16*K16*Datos_vigas!$B$5/Datos_vigas!$B$6,0.0033*J16*K16))))</f>
        <v/>
      </c>
      <c r="N16" s="10" t="n">
        <v>2</v>
      </c>
      <c r="O16" s="10" t="n">
        <v>10</v>
      </c>
      <c r="P16" s="25">
        <f>IF(NOT(ISNUMBER(I16)),"---",IF(I16&lt;=0,"---",IF(I16*100/(Datos_vigas!$B$8*J16*K16^2*Datos_vigas!$B$5)&gt;=0.5,"REVISAR",MAX((1-SQRT(1-2*I16*100/(Datos_vigas!$B$8*J16*K16^2*Datos_vigas!$B$5)))*J16*K16*Datos_vigas!$B$5/Datos_vigas!$B$6,0.0033*J16*K16))))</f>
        <v/>
      </c>
      <c r="Q16" s="10" t="n">
        <v>2</v>
      </c>
      <c r="R16" s="10" t="n">
        <v>10</v>
      </c>
      <c r="S16" s="25">
        <f>F16/(J16*0.85*K16)</f>
        <v/>
      </c>
      <c r="T16" s="25">
        <f>G16/(J16*0.85*K16)</f>
        <v/>
      </c>
      <c r="U16" s="10" t="n">
        <v>6</v>
      </c>
      <c r="V16" s="10" t="n">
        <v>10</v>
      </c>
      <c r="W16" s="11">
        <f>IF(OR(M16="REVISAR",P16="REVISAR"),"SECCION INSUF.",IF(NOT(AND(M16&lt;&gt;"REVISAR",P16&lt;&gt;"REVISAR",IF(ISNUMBER(M16),N16*PI()*(O16/10)^2/4&gt;=M16,TRUE),IF(ISNUMBER(P16),Q16*PI()*(R16/10)^2/4&gt;=P16,TRUE),IF(ISNUMBER(M16),M16&lt;=0.0163*J16*K16,TRUE),IF(ISNUMBER(P16),P16&lt;=0.0163*J16*K16,TRUE))),"NO VERIFICA FLEX.",IF(NOT(F16&lt;=Datos_vigas!$B$9*(0.53*SQRT(Datos_vigas!$B$5)*J16*K16+2*PI()*(U16/10)^2/4*Datos_vigas!$B$6*K16/V16)),"NO VERIF. CORTE","VERIFICA")))</f>
        <v/>
      </c>
      <c r="X16" s="11" t="n"/>
      <c r="Y16" s="12" t="n">
        <v>3.15</v>
      </c>
      <c r="Z16" s="12" t="n">
        <v>4</v>
      </c>
    </row>
    <row r="17" ht="46" customHeight="1">
      <c r="A17" s="23" t="inlineStr">
        <is>
          <t>VF07</t>
        </is>
      </c>
      <c r="B17" s="8" t="n">
        <v>3.5</v>
      </c>
      <c r="C17" s="10" t="inlineStr">
        <is>
          <t>Simplemente apoyada</t>
        </is>
      </c>
      <c r="D17" s="24">
        <f>1.2*(Datos_vigas!$B$7*J17*L17/10000+Datos_vigas!$B$16*Y17)</f>
        <v/>
      </c>
      <c r="E17" s="11" t="n"/>
      <c r="F17" s="24">
        <f>VLOOKUP(C17,Datos_vigas!$A$19:$E$23,4,0)*D17*B17</f>
        <v/>
      </c>
      <c r="G17" s="24">
        <f>F17</f>
        <v/>
      </c>
      <c r="H17" s="24">
        <f>VLOOKUP(C17,Datos_vigas!$A$19:$E$23,2,0)*D17*B17^2</f>
        <v/>
      </c>
      <c r="I17" s="24">
        <f>IF(VLOOKUP(C17,Datos_vigas!$A$19:$E$23,3,0)=0,"---",VLOOKUP(C17,Datos_vigas!$A$19:$E$23,3,0)*D17*B17^2)</f>
        <v/>
      </c>
      <c r="J17" s="10" t="n">
        <v>20</v>
      </c>
      <c r="K17" s="11">
        <f>L17-Z17</f>
        <v/>
      </c>
      <c r="L17" s="10" t="n">
        <v>25</v>
      </c>
      <c r="M17" s="25">
        <f>IF(NOT(ISNUMBER(H17)),"---",IF(H17&lt;=0,"---",IF(H17*100/(Datos_vigas!$B$8*J17*K17^2*Datos_vigas!$B$5)&gt;=0.5,"REVISAR",MAX((1-SQRT(1-2*H17*100/(Datos_vigas!$B$8*J17*K17^2*Datos_vigas!$B$5)))*J17*K17*Datos_vigas!$B$5/Datos_vigas!$B$6,0.0033*J17*K17))))</f>
        <v/>
      </c>
      <c r="N17" s="10" t="n">
        <v>2</v>
      </c>
      <c r="O17" s="10" t="n">
        <v>12</v>
      </c>
      <c r="P17" s="25">
        <f>IF(NOT(ISNUMBER(I17)),"---",IF(I17&lt;=0,"---",IF(I17*100/(Datos_vigas!$B$8*J17*K17^2*Datos_vigas!$B$5)&gt;=0.5,"REVISAR",MAX((1-SQRT(1-2*I17*100/(Datos_vigas!$B$8*J17*K17^2*Datos_vigas!$B$5)))*J17*K17*Datos_vigas!$B$5/Datos_vigas!$B$6,0.0033*J17*K17))))</f>
        <v/>
      </c>
      <c r="Q17" s="10" t="inlineStr">
        <is>
          <t>---</t>
        </is>
      </c>
      <c r="R17" s="10" t="inlineStr">
        <is>
          <t>---</t>
        </is>
      </c>
      <c r="S17" s="25">
        <f>F17/(J17*0.85*K17)</f>
        <v/>
      </c>
      <c r="T17" s="25">
        <f>G17/(J17*0.85*K17)</f>
        <v/>
      </c>
      <c r="U17" s="10" t="n">
        <v>6</v>
      </c>
      <c r="V17" s="10" t="n">
        <v>10</v>
      </c>
      <c r="W17" s="11">
        <f>IF(OR(M17="REVISAR",P17="REVISAR"),"SECCION INSUF.",IF(NOT(AND(M17&lt;&gt;"REVISAR",P17&lt;&gt;"REVISAR",IF(ISNUMBER(M17),N17*PI()*(O17/10)^2/4&gt;=M17,TRUE),IF(ISNUMBER(P17),Q17*PI()*(R17/10)^2/4&gt;=P17,TRUE),IF(ISNUMBER(M17),M17&lt;=0.0163*J17*K17,TRUE),IF(ISNUMBER(P17),P17&lt;=0.0163*J17*K17,TRUE))),"NO VERIFICA FLEX.",IF(NOT(F17&lt;=Datos_vigas!$B$9*(0.53*SQRT(Datos_vigas!$B$5)*J17*K17+2*PI()*(U17/10)^2/4*Datos_vigas!$B$6*K17/V17)),"NO VERIF. CORTE","VERIFICA")))</f>
        <v/>
      </c>
      <c r="X17" s="11" t="n"/>
      <c r="Y17" s="12" t="n">
        <v>3.15</v>
      </c>
      <c r="Z17" s="12" t="n">
        <v>4</v>
      </c>
    </row>
    <row r="18" ht="46" customHeight="1">
      <c r="A18" s="23" t="inlineStr">
        <is>
          <t>VF08</t>
        </is>
      </c>
      <c r="B18" s="8" t="n">
        <v>2.04</v>
      </c>
      <c r="C18" s="10" t="inlineStr">
        <is>
          <t>Simplemente apoyada</t>
        </is>
      </c>
      <c r="D18" s="24">
        <f>1.2*(Datos_vigas!$B$7*J18*L18/10000+Datos_vigas!$B$16*Y18)</f>
        <v/>
      </c>
      <c r="E18" s="11" t="n"/>
      <c r="F18" s="24">
        <f>VLOOKUP(C18,Datos_vigas!$A$19:$E$23,4,0)*D18*B18</f>
        <v/>
      </c>
      <c r="G18" s="24">
        <f>F18</f>
        <v/>
      </c>
      <c r="H18" s="24">
        <f>VLOOKUP(C18,Datos_vigas!$A$19:$E$23,2,0)*D18*B18^2</f>
        <v/>
      </c>
      <c r="I18" s="24">
        <f>IF(VLOOKUP(C18,Datos_vigas!$A$19:$E$23,3,0)=0,"---",VLOOKUP(C18,Datos_vigas!$A$19:$E$23,3,0)*D18*B18^2)</f>
        <v/>
      </c>
      <c r="J18" s="10" t="n">
        <v>25</v>
      </c>
      <c r="K18" s="11">
        <f>L18-Z18</f>
        <v/>
      </c>
      <c r="L18" s="10" t="n">
        <v>35</v>
      </c>
      <c r="M18" s="25">
        <f>IF(NOT(ISNUMBER(H18)),"---",IF(H18&lt;=0,"---",IF(H18*100/(Datos_vigas!$B$8*J18*K18^2*Datos_vigas!$B$5)&gt;=0.5,"REVISAR",MAX((1-SQRT(1-2*H18*100/(Datos_vigas!$B$8*J18*K18^2*Datos_vigas!$B$5)))*J18*K18*Datos_vigas!$B$5/Datos_vigas!$B$6,0.0033*J18*K18))))</f>
        <v/>
      </c>
      <c r="N18" s="10" t="n">
        <v>6</v>
      </c>
      <c r="O18" s="10" t="n">
        <v>8</v>
      </c>
      <c r="P18" s="25">
        <f>IF(NOT(ISNUMBER(I18)),"---",IF(I18&lt;=0,"---",IF(I18*100/(Datos_vigas!$B$8*J18*K18^2*Datos_vigas!$B$5)&gt;=0.5,"REVISAR",MAX((1-SQRT(1-2*I18*100/(Datos_vigas!$B$8*J18*K18^2*Datos_vigas!$B$5)))*J18*K18*Datos_vigas!$B$5/Datos_vigas!$B$6,0.0033*J18*K18))))</f>
        <v/>
      </c>
      <c r="Q18" s="10" t="inlineStr">
        <is>
          <t>---</t>
        </is>
      </c>
      <c r="R18" s="10" t="inlineStr">
        <is>
          <t>---</t>
        </is>
      </c>
      <c r="S18" s="25">
        <f>F18/(J18*0.85*K18)</f>
        <v/>
      </c>
      <c r="T18" s="25">
        <f>G18/(J18*0.85*K18)</f>
        <v/>
      </c>
      <c r="U18" s="10" t="n">
        <v>6</v>
      </c>
      <c r="V18" s="10" t="n">
        <v>15</v>
      </c>
      <c r="W18" s="11">
        <f>IF(OR(M18="REVISAR",P18="REVISAR"),"SECCION INSUF.",IF(NOT(AND(M18&lt;&gt;"REVISAR",P18&lt;&gt;"REVISAR",IF(ISNUMBER(M18),N18*PI()*(O18/10)^2/4&gt;=M18,TRUE),IF(ISNUMBER(P18),Q18*PI()*(R18/10)^2/4&gt;=P18,TRUE),IF(ISNUMBER(M18),M18&lt;=0.0163*J18*K18,TRUE),IF(ISNUMBER(P18),P18&lt;=0.0163*J18*K18,TRUE))),"NO VERIFICA FLEX.",IF(NOT(F18&lt;=Datos_vigas!$B$9*(0.53*SQRT(Datos_vigas!$B$5)*J18*K18+2*PI()*(U18/10)^2/4*Datos_vigas!$B$6*K18/V18)),"NO VERIF. CORTE","VERIFICA")))</f>
        <v/>
      </c>
      <c r="X18" s="13" t="inlineStr">
        <is>
          <t>Longitud total 3.50 m. La luz de calculo es la mayor entre pilotes, deducida de la posicion de los pilotes dibujados en el plano.</t>
        </is>
      </c>
      <c r="Y18" s="12" t="n">
        <v>3.15</v>
      </c>
      <c r="Z18" s="12" t="n">
        <v>4</v>
      </c>
    </row>
    <row r="19" ht="46" customHeight="1">
      <c r="A19" s="23" t="inlineStr">
        <is>
          <t>VF09 (1)</t>
        </is>
      </c>
      <c r="B19" s="8" t="n">
        <v>0.7</v>
      </c>
      <c r="C19" s="10" t="inlineStr">
        <is>
          <t>Continua</t>
        </is>
      </c>
      <c r="D19" s="24">
        <f>1.2*(Datos_vigas!$B$7*J19*L19/10000+Datos_vigas!$B$16*Y19)</f>
        <v/>
      </c>
      <c r="E19" s="11" t="n"/>
      <c r="F19" s="24">
        <f>VLOOKUP(C19,Datos_vigas!$A$19:$E$23,4,0)*D19*B19</f>
        <v/>
      </c>
      <c r="G19" s="24">
        <f>F19</f>
        <v/>
      </c>
      <c r="H19" s="24">
        <f>VLOOKUP(C19,Datos_vigas!$A$19:$E$23,2,0)*D19*B19^2</f>
        <v/>
      </c>
      <c r="I19" s="24">
        <f>IF(VLOOKUP(C19,Datos_vigas!$A$19:$E$23,3,0)=0,"---",VLOOKUP(C19,Datos_vigas!$A$19:$E$23,3,0)*D19*B19^2)</f>
        <v/>
      </c>
      <c r="J19" s="10" t="n">
        <v>25</v>
      </c>
      <c r="K19" s="11">
        <f>L19-Z19</f>
        <v/>
      </c>
      <c r="L19" s="10" t="n">
        <v>35</v>
      </c>
      <c r="M19" s="25">
        <f>IF(NOT(ISNUMBER(H19)),"---",IF(H19&lt;=0,"---",IF(H19*100/(Datos_vigas!$B$8*J19*K19^2*Datos_vigas!$B$5)&gt;=0.5,"REVISAR",MAX((1-SQRT(1-2*H19*100/(Datos_vigas!$B$8*J19*K19^2*Datos_vigas!$B$5)))*J19*K19*Datos_vigas!$B$5/Datos_vigas!$B$6,0.0033*J19*K19))))</f>
        <v/>
      </c>
      <c r="N19" s="10" t="n">
        <v>6</v>
      </c>
      <c r="O19" s="10" t="n">
        <v>8</v>
      </c>
      <c r="P19" s="25">
        <f>IF(NOT(ISNUMBER(I19)),"---",IF(I19&lt;=0,"---",IF(I19*100/(Datos_vigas!$B$8*J19*K19^2*Datos_vigas!$B$5)&gt;=0.5,"REVISAR",MAX((1-SQRT(1-2*I19*100/(Datos_vigas!$B$8*J19*K19^2*Datos_vigas!$B$5)))*J19*K19*Datos_vigas!$B$5/Datos_vigas!$B$6,0.0033*J19*K19))))</f>
        <v/>
      </c>
      <c r="Q19" s="10" t="n">
        <v>6</v>
      </c>
      <c r="R19" s="10" t="n">
        <v>8</v>
      </c>
      <c r="S19" s="25">
        <f>F19/(J19*0.85*K19)</f>
        <v/>
      </c>
      <c r="T19" s="25">
        <f>G19/(J19*0.85*K19)</f>
        <v/>
      </c>
      <c r="U19" s="10" t="n">
        <v>6</v>
      </c>
      <c r="V19" s="10" t="n">
        <v>15</v>
      </c>
      <c r="W19" s="11">
        <f>IF(OR(M19="REVISAR",P19="REVISAR"),"SECCION INSUF.",IF(NOT(AND(M19&lt;&gt;"REVISAR",P19&lt;&gt;"REVISAR",IF(ISNUMBER(M19),N19*PI()*(O19/10)^2/4&gt;=M19,TRUE),IF(ISNUMBER(P19),Q19*PI()*(R19/10)^2/4&gt;=P19,TRUE),IF(ISNUMBER(M19),M19&lt;=0.0163*J19*K19,TRUE),IF(ISNUMBER(P19),P19&lt;=0.0163*J19*K19,TRUE))),"NO VERIFICA FLEX.",IF(NOT(F19&lt;=Datos_vigas!$B$9*(0.53*SQRT(Datos_vigas!$B$5)*J19*K19+2*PI()*(U19/10)^2/4*Datos_vigas!$B$6*K19/V19)),"NO VERIF. CORTE","VERIFICA")))</f>
        <v/>
      </c>
      <c r="X19" s="11" t="n"/>
      <c r="Y19" s="12" t="n">
        <v>3.15</v>
      </c>
      <c r="Z19" s="12" t="n">
        <v>4</v>
      </c>
    </row>
    <row r="20" ht="46" customHeight="1">
      <c r="A20" s="23" t="inlineStr">
        <is>
          <t>VF09 (2)</t>
        </is>
      </c>
      <c r="B20" s="8" t="n">
        <v>0.7</v>
      </c>
      <c r="C20" s="10" t="inlineStr">
        <is>
          <t>Continua</t>
        </is>
      </c>
      <c r="D20" s="24">
        <f>1.2*(Datos_vigas!$B$7*J20*L20/10000+Datos_vigas!$B$16*Y20)</f>
        <v/>
      </c>
      <c r="E20" s="11" t="n"/>
      <c r="F20" s="24">
        <f>VLOOKUP(C20,Datos_vigas!$A$19:$E$23,4,0)*D20*B20</f>
        <v/>
      </c>
      <c r="G20" s="24">
        <f>F20</f>
        <v/>
      </c>
      <c r="H20" s="24">
        <f>VLOOKUP(C20,Datos_vigas!$A$19:$E$23,2,0)*D20*B20^2</f>
        <v/>
      </c>
      <c r="I20" s="24">
        <f>IF(VLOOKUP(C20,Datos_vigas!$A$19:$E$23,3,0)=0,"---",VLOOKUP(C20,Datos_vigas!$A$19:$E$23,3,0)*D20*B20^2)</f>
        <v/>
      </c>
      <c r="J20" s="10" t="n">
        <v>25</v>
      </c>
      <c r="K20" s="11">
        <f>L20-Z20</f>
        <v/>
      </c>
      <c r="L20" s="10" t="n">
        <v>35</v>
      </c>
      <c r="M20" s="25">
        <f>IF(NOT(ISNUMBER(H20)),"---",IF(H20&lt;=0,"---",IF(H20*100/(Datos_vigas!$B$8*J20*K20^2*Datos_vigas!$B$5)&gt;=0.5,"REVISAR",MAX((1-SQRT(1-2*H20*100/(Datos_vigas!$B$8*J20*K20^2*Datos_vigas!$B$5)))*J20*K20*Datos_vigas!$B$5/Datos_vigas!$B$6,0.0033*J20*K20))))</f>
        <v/>
      </c>
      <c r="N20" s="10" t="n">
        <v>6</v>
      </c>
      <c r="O20" s="10" t="n">
        <v>8</v>
      </c>
      <c r="P20" s="25">
        <f>IF(NOT(ISNUMBER(I20)),"---",IF(I20&lt;=0,"---",IF(I20*100/(Datos_vigas!$B$8*J20*K20^2*Datos_vigas!$B$5)&gt;=0.5,"REVISAR",MAX((1-SQRT(1-2*I20*100/(Datos_vigas!$B$8*J20*K20^2*Datos_vigas!$B$5)))*J20*K20*Datos_vigas!$B$5/Datos_vigas!$B$6,0.0033*J20*K20))))</f>
        <v/>
      </c>
      <c r="Q20" s="10" t="n">
        <v>6</v>
      </c>
      <c r="R20" s="10" t="n">
        <v>8</v>
      </c>
      <c r="S20" s="25">
        <f>F20/(J20*0.85*K20)</f>
        <v/>
      </c>
      <c r="T20" s="25">
        <f>G20/(J20*0.85*K20)</f>
        <v/>
      </c>
      <c r="U20" s="10" t="n">
        <v>6</v>
      </c>
      <c r="V20" s="10" t="n">
        <v>15</v>
      </c>
      <c r="W20" s="11">
        <f>IF(OR(M20="REVISAR",P20="REVISAR"),"SECCION INSUF.",IF(NOT(AND(M20&lt;&gt;"REVISAR",P20&lt;&gt;"REVISAR",IF(ISNUMBER(M20),N20*PI()*(O20/10)^2/4&gt;=M20,TRUE),IF(ISNUMBER(P20),Q20*PI()*(R20/10)^2/4&gt;=P20,TRUE),IF(ISNUMBER(M20),M20&lt;=0.0163*J20*K20,TRUE),IF(ISNUMBER(P20),P20&lt;=0.0163*J20*K20,TRUE))),"NO VERIFICA FLEX.",IF(NOT(F20&lt;=Datos_vigas!$B$9*(0.53*SQRT(Datos_vigas!$B$5)*J20*K20+2*PI()*(U20/10)^2/4*Datos_vigas!$B$6*K20/V20)),"NO VERIF. CORTE","VERIFICA")))</f>
        <v/>
      </c>
      <c r="X20" s="11" t="n"/>
      <c r="Y20" s="12" t="n">
        <v>3.15</v>
      </c>
      <c r="Z20" s="12" t="n">
        <v>4</v>
      </c>
    </row>
    <row r="21" ht="46" customHeight="1">
      <c r="A21" s="23" t="inlineStr">
        <is>
          <t>VF10a</t>
        </is>
      </c>
      <c r="B21" s="8" t="n">
        <v>2.74</v>
      </c>
      <c r="C21" s="10" t="inlineStr">
        <is>
          <t>Continua</t>
        </is>
      </c>
      <c r="D21" s="24">
        <f>1.2*(Datos_vigas!$B$7*J21*L21/10000+Datos_vigas!$B$16*Y21)</f>
        <v/>
      </c>
      <c r="E21" s="11" t="n"/>
      <c r="F21" s="24">
        <f>VLOOKUP(C21,Datos_vigas!$A$19:$E$23,4,0)*D21*B21</f>
        <v/>
      </c>
      <c r="G21" s="24">
        <f>F21</f>
        <v/>
      </c>
      <c r="H21" s="24">
        <f>VLOOKUP(C21,Datos_vigas!$A$19:$E$23,2,0)*D21*B21^2</f>
        <v/>
      </c>
      <c r="I21" s="24">
        <f>IF(VLOOKUP(C21,Datos_vigas!$A$19:$E$23,3,0)=0,"---",VLOOKUP(C21,Datos_vigas!$A$19:$E$23,3,0)*D21*B21^2)</f>
        <v/>
      </c>
      <c r="J21" s="10" t="n">
        <v>20</v>
      </c>
      <c r="K21" s="11">
        <f>L21-Z21</f>
        <v/>
      </c>
      <c r="L21" s="10" t="n">
        <v>35</v>
      </c>
      <c r="M21" s="25">
        <f>IF(NOT(ISNUMBER(H21)),"---",IF(H21&lt;=0,"---",IF(H21*100/(Datos_vigas!$B$8*J21*K21^2*Datos_vigas!$B$5)&gt;=0.5,"REVISAR",MAX((1-SQRT(1-2*H21*100/(Datos_vigas!$B$8*J21*K21^2*Datos_vigas!$B$5)))*J21*K21*Datos_vigas!$B$5/Datos_vigas!$B$6,0.0033*J21*K21))))</f>
        <v/>
      </c>
      <c r="N21" s="10" t="n">
        <v>2</v>
      </c>
      <c r="O21" s="10" t="n">
        <v>12</v>
      </c>
      <c r="P21" s="25">
        <f>IF(NOT(ISNUMBER(I21)),"---",IF(I21&lt;=0,"---",IF(I21*100/(Datos_vigas!$B$8*J21*K21^2*Datos_vigas!$B$5)&gt;=0.5,"REVISAR",MAX((1-SQRT(1-2*I21*100/(Datos_vigas!$B$8*J21*K21^2*Datos_vigas!$B$5)))*J21*K21*Datos_vigas!$B$5/Datos_vigas!$B$6,0.0033*J21*K21))))</f>
        <v/>
      </c>
      <c r="Q21" s="10" t="n">
        <v>2</v>
      </c>
      <c r="R21" s="10" t="n">
        <v>12</v>
      </c>
      <c r="S21" s="25">
        <f>F21/(J21*0.85*K21)</f>
        <v/>
      </c>
      <c r="T21" s="25">
        <f>G21/(J21*0.85*K21)</f>
        <v/>
      </c>
      <c r="U21" s="10" t="n">
        <v>6</v>
      </c>
      <c r="V21" s="10" t="n">
        <v>15</v>
      </c>
      <c r="W21" s="11">
        <f>IF(OR(M21="REVISAR",P21="REVISAR"),"SECCION INSUF.",IF(NOT(AND(M21&lt;&gt;"REVISAR",P21&lt;&gt;"REVISAR",IF(ISNUMBER(M21),N21*PI()*(O21/10)^2/4&gt;=M21,TRUE),IF(ISNUMBER(P21),Q21*PI()*(R21/10)^2/4&gt;=P21,TRUE),IF(ISNUMBER(M21),M21&lt;=0.0163*J21*K21,TRUE),IF(ISNUMBER(P21),P21&lt;=0.0163*J21*K21,TRUE))),"NO VERIFICA FLEX.",IF(NOT(F21&lt;=Datos_vigas!$B$9*(0.53*SQRT(Datos_vigas!$B$5)*J21*K21+2*PI()*(U21/10)^2/4*Datos_vigas!$B$6*K21/V21)),"NO VERIF. CORTE","VERIFICA")))</f>
        <v/>
      </c>
      <c r="X21" s="13" t="inlineStr">
        <is>
          <t>Longitud total 3.36 m. La luz de calculo es la mayor entre pilotes, deducida de la posicion de los pilotes dibujados en el plano.</t>
        </is>
      </c>
      <c r="Y21" s="12" t="n">
        <v>3.15</v>
      </c>
      <c r="Z21" s="12" t="n">
        <v>4</v>
      </c>
    </row>
    <row r="22" ht="46" customHeight="1">
      <c r="A22" s="23" t="inlineStr">
        <is>
          <t>VF10b</t>
        </is>
      </c>
      <c r="B22" s="8" t="n">
        <v>2.36</v>
      </c>
      <c r="C22" s="10" t="inlineStr">
        <is>
          <t>Continua</t>
        </is>
      </c>
      <c r="D22" s="24">
        <f>1.2*(Datos_vigas!$B$7*J22*L22/10000+Datos_vigas!$B$16*Y22)</f>
        <v/>
      </c>
      <c r="E22" s="11" t="n"/>
      <c r="F22" s="24">
        <f>VLOOKUP(C22,Datos_vigas!$A$19:$E$23,4,0)*D22*B22</f>
        <v/>
      </c>
      <c r="G22" s="24">
        <f>F22</f>
        <v/>
      </c>
      <c r="H22" s="24">
        <f>VLOOKUP(C22,Datos_vigas!$A$19:$E$23,2,0)*D22*B22^2</f>
        <v/>
      </c>
      <c r="I22" s="24">
        <f>IF(VLOOKUP(C22,Datos_vigas!$A$19:$E$23,3,0)=0,"---",VLOOKUP(C22,Datos_vigas!$A$19:$E$23,3,0)*D22*B22^2)</f>
        <v/>
      </c>
      <c r="J22" s="10" t="n">
        <v>22</v>
      </c>
      <c r="K22" s="11">
        <f>L22-Z22</f>
        <v/>
      </c>
      <c r="L22" s="10" t="n">
        <v>35</v>
      </c>
      <c r="M22" s="25">
        <f>IF(NOT(ISNUMBER(H22)),"---",IF(H22&lt;=0,"---",IF(H22*100/(Datos_vigas!$B$8*J22*K22^2*Datos_vigas!$B$5)&gt;=0.5,"REVISAR",MAX((1-SQRT(1-2*H22*100/(Datos_vigas!$B$8*J22*K22^2*Datos_vigas!$B$5)))*J22*K22*Datos_vigas!$B$5/Datos_vigas!$B$6,0.0033*J22*K22))))</f>
        <v/>
      </c>
      <c r="N22" s="10" t="n">
        <v>2</v>
      </c>
      <c r="O22" s="10" t="n">
        <v>12</v>
      </c>
      <c r="P22" s="25">
        <f>IF(NOT(ISNUMBER(I22)),"---",IF(I22&lt;=0,"---",IF(I22*100/(Datos_vigas!$B$8*J22*K22^2*Datos_vigas!$B$5)&gt;=0.5,"REVISAR",MAX((1-SQRT(1-2*I22*100/(Datos_vigas!$B$8*J22*K22^2*Datos_vigas!$B$5)))*J22*K22*Datos_vigas!$B$5/Datos_vigas!$B$6,0.0033*J22*K22))))</f>
        <v/>
      </c>
      <c r="Q22" s="10" t="n">
        <v>2</v>
      </c>
      <c r="R22" s="10" t="n">
        <v>12</v>
      </c>
      <c r="S22" s="25">
        <f>F22/(J22*0.85*K22)</f>
        <v/>
      </c>
      <c r="T22" s="25">
        <f>G22/(J22*0.85*K22)</f>
        <v/>
      </c>
      <c r="U22" s="10" t="n">
        <v>6</v>
      </c>
      <c r="V22" s="10" t="n">
        <v>15</v>
      </c>
      <c r="W22" s="11">
        <f>IF(OR(M22="REVISAR",P22="REVISAR"),"SECCION INSUF.",IF(NOT(AND(M22&lt;&gt;"REVISAR",P22&lt;&gt;"REVISAR",IF(ISNUMBER(M22),N22*PI()*(O22/10)^2/4&gt;=M22,TRUE),IF(ISNUMBER(P22),Q22*PI()*(R22/10)^2/4&gt;=P22,TRUE),IF(ISNUMBER(M22),M22&lt;=0.0163*J22*K22,TRUE),IF(ISNUMBER(P22),P22&lt;=0.0163*J22*K22,TRUE))),"NO VERIFICA FLEX.",IF(NOT(F22&lt;=Datos_vigas!$B$9*(0.53*SQRT(Datos_vigas!$B$5)*J22*K22+2*PI()*(U22/10)^2/4*Datos_vigas!$B$6*K22/V22)),"NO VERIF. CORTE","VERIFICA")))</f>
        <v/>
      </c>
      <c r="X22" s="13" t="inlineStr">
        <is>
          <t>Longitud total 3.26 m. La luz de calculo es la mayor entre pilotes, deducida de la posicion de los pilotes dibujados en el plano.</t>
        </is>
      </c>
      <c r="Y22" s="12" t="n">
        <v>3.15</v>
      </c>
      <c r="Z22" s="12" t="n">
        <v>4</v>
      </c>
    </row>
    <row r="23" ht="46" customHeight="1">
      <c r="A23" s="23" t="inlineStr">
        <is>
          <t>VF10c</t>
        </is>
      </c>
      <c r="B23" s="8" t="n">
        <v>5.1</v>
      </c>
      <c r="C23" s="10" t="inlineStr">
        <is>
          <t>Continua</t>
        </is>
      </c>
      <c r="D23" s="24">
        <f>1.2*(Datos_vigas!$B$7*J23*L23/10000+Datos_vigas!$B$16*Y23)</f>
        <v/>
      </c>
      <c r="E23" s="11" t="n"/>
      <c r="F23" s="24">
        <f>VLOOKUP(C23,Datos_vigas!$A$19:$E$23,4,0)*D23*B23</f>
        <v/>
      </c>
      <c r="G23" s="24">
        <f>F23</f>
        <v/>
      </c>
      <c r="H23" s="24">
        <f>VLOOKUP(C23,Datos_vigas!$A$19:$E$23,2,0)*D23*B23^2</f>
        <v/>
      </c>
      <c r="I23" s="24">
        <f>IF(VLOOKUP(C23,Datos_vigas!$A$19:$E$23,3,0)=0,"---",VLOOKUP(C23,Datos_vigas!$A$19:$E$23,3,0)*D23*B23^2)</f>
        <v/>
      </c>
      <c r="J23" s="10" t="n">
        <v>25</v>
      </c>
      <c r="K23" s="11">
        <f>L23-Z23</f>
        <v/>
      </c>
      <c r="L23" s="10" t="n">
        <v>35</v>
      </c>
      <c r="M23" s="25">
        <f>IF(NOT(ISNUMBER(H23)),"---",IF(H23&lt;=0,"---",IF(H23*100/(Datos_vigas!$B$8*J23*K23^2*Datos_vigas!$B$5)&gt;=0.5,"REVISAR",MAX((1-SQRT(1-2*H23*100/(Datos_vigas!$B$8*J23*K23^2*Datos_vigas!$B$5)))*J23*K23*Datos_vigas!$B$5/Datos_vigas!$B$6,0.0033*J23*K23))))</f>
        <v/>
      </c>
      <c r="N23" s="10" t="n">
        <v>6</v>
      </c>
      <c r="O23" s="10" t="n">
        <v>8</v>
      </c>
      <c r="P23" s="25">
        <f>IF(NOT(ISNUMBER(I23)),"---",IF(I23&lt;=0,"---",IF(I23*100/(Datos_vigas!$B$8*J23*K23^2*Datos_vigas!$B$5)&gt;=0.5,"REVISAR",MAX((1-SQRT(1-2*I23*100/(Datos_vigas!$B$8*J23*K23^2*Datos_vigas!$B$5)))*J23*K23*Datos_vigas!$B$5/Datos_vigas!$B$6,0.0033*J23*K23))))</f>
        <v/>
      </c>
      <c r="Q23" s="10" t="n">
        <v>6</v>
      </c>
      <c r="R23" s="10" t="n">
        <v>8</v>
      </c>
      <c r="S23" s="25">
        <f>F23/(J23*0.85*K23)</f>
        <v/>
      </c>
      <c r="T23" s="25">
        <f>G23/(J23*0.85*K23)</f>
        <v/>
      </c>
      <c r="U23" s="10" t="n">
        <v>6</v>
      </c>
      <c r="V23" s="10" t="n">
        <v>15</v>
      </c>
      <c r="W23" s="11">
        <f>IF(OR(M23="REVISAR",P23="REVISAR"),"SECCION INSUF.",IF(NOT(AND(M23&lt;&gt;"REVISAR",P23&lt;&gt;"REVISAR",IF(ISNUMBER(M23),N23*PI()*(O23/10)^2/4&gt;=M23,TRUE),IF(ISNUMBER(P23),Q23*PI()*(R23/10)^2/4&gt;=P23,TRUE),IF(ISNUMBER(M23),M23&lt;=0.0163*J23*K23,TRUE),IF(ISNUMBER(P23),P23&lt;=0.0163*J23*K23,TRUE))),"NO VERIFICA FLEX.",IF(NOT(F23&lt;=Datos_vigas!$B$9*(0.53*SQRT(Datos_vigas!$B$5)*J23*K23+2*PI()*(U23/10)^2/4*Datos_vigas!$B$6*K23/V23)),"NO VERIF. CORTE","VERIFICA")))</f>
        <v/>
      </c>
      <c r="X23" s="13" t="inlineStr">
        <is>
          <t>Longitud total 8.03 m. La luz de calculo es la mayor entre pilotes, deducida de la posicion de los pilotes dibujados en el plano.</t>
        </is>
      </c>
      <c r="Y23" s="12" t="n">
        <v>3.15</v>
      </c>
      <c r="Z23" s="12" t="n">
        <v>4</v>
      </c>
    </row>
    <row r="24" ht="46" customHeight="1">
      <c r="A24" s="23" t="inlineStr">
        <is>
          <t>VF11</t>
        </is>
      </c>
      <c r="B24" s="8" t="n">
        <v>4.03</v>
      </c>
      <c r="C24" s="10" t="inlineStr">
        <is>
          <t>Simplemente apoyada</t>
        </is>
      </c>
      <c r="D24" s="24">
        <f>1.2*(Datos_vigas!$B$7*J24*L24/10000+Datos_vigas!$B$16*Y24)</f>
        <v/>
      </c>
      <c r="E24" s="11" t="n"/>
      <c r="F24" s="24">
        <f>VLOOKUP(C24,Datos_vigas!$A$19:$E$23,4,0)*D24*B24</f>
        <v/>
      </c>
      <c r="G24" s="24">
        <f>F24</f>
        <v/>
      </c>
      <c r="H24" s="24">
        <f>VLOOKUP(C24,Datos_vigas!$A$19:$E$23,2,0)*D24*B24^2</f>
        <v/>
      </c>
      <c r="I24" s="24">
        <f>IF(VLOOKUP(C24,Datos_vigas!$A$19:$E$23,3,0)=0,"---",VLOOKUP(C24,Datos_vigas!$A$19:$E$23,3,0)*D24*B24^2)</f>
        <v/>
      </c>
      <c r="J24" s="10" t="n">
        <v>20</v>
      </c>
      <c r="K24" s="11">
        <f>L24-Z24</f>
        <v/>
      </c>
      <c r="L24" s="10" t="n">
        <v>25</v>
      </c>
      <c r="M24" s="25">
        <f>IF(NOT(ISNUMBER(H24)),"---",IF(H24&lt;=0,"---",IF(H24*100/(Datos_vigas!$B$8*J24*K24^2*Datos_vigas!$B$5)&gt;=0.5,"REVISAR",MAX((1-SQRT(1-2*H24*100/(Datos_vigas!$B$8*J24*K24^2*Datos_vigas!$B$5)))*J24*K24*Datos_vigas!$B$5/Datos_vigas!$B$6,0.0033*J24*K24))))</f>
        <v/>
      </c>
      <c r="N24" s="10" t="n">
        <v>4</v>
      </c>
      <c r="O24" s="10" t="n">
        <v>10</v>
      </c>
      <c r="P24" s="25">
        <f>IF(NOT(ISNUMBER(I24)),"---",IF(I24&lt;=0,"---",IF(I24*100/(Datos_vigas!$B$8*J24*K24^2*Datos_vigas!$B$5)&gt;=0.5,"REVISAR",MAX((1-SQRT(1-2*I24*100/(Datos_vigas!$B$8*J24*K24^2*Datos_vigas!$B$5)))*J24*K24*Datos_vigas!$B$5/Datos_vigas!$B$6,0.0033*J24*K24))))</f>
        <v/>
      </c>
      <c r="Q24" s="10" t="inlineStr">
        <is>
          <t>---</t>
        </is>
      </c>
      <c r="R24" s="10" t="inlineStr">
        <is>
          <t>---</t>
        </is>
      </c>
      <c r="S24" s="25">
        <f>F24/(J24*0.85*K24)</f>
        <v/>
      </c>
      <c r="T24" s="25">
        <f>G24/(J24*0.85*K24)</f>
        <v/>
      </c>
      <c r="U24" s="10" t="n">
        <v>6</v>
      </c>
      <c r="V24" s="10" t="n">
        <v>10</v>
      </c>
      <c r="W24" s="11">
        <f>IF(OR(M24="REVISAR",P24="REVISAR"),"SECCION INSUF.",IF(NOT(AND(M24&lt;&gt;"REVISAR",P24&lt;&gt;"REVISAR",IF(ISNUMBER(M24),N24*PI()*(O24/10)^2/4&gt;=M24,TRUE),IF(ISNUMBER(P24),Q24*PI()*(R24/10)^2/4&gt;=P24,TRUE),IF(ISNUMBER(M24),M24&lt;=0.0163*J24*K24,TRUE),IF(ISNUMBER(P24),P24&lt;=0.0163*J24*K24,TRUE))),"NO VERIFICA FLEX.",IF(NOT(F24&lt;=Datos_vigas!$B$9*(0.53*SQRT(Datos_vigas!$B$5)*J24*K24+2*PI()*(U24/10)^2/4*Datos_vigas!$B$6*K24/V24)),"NO VERIF. CORTE","VERIFICA")))</f>
        <v/>
      </c>
      <c r="X24" s="13" t="inlineStr">
        <is>
          <t>Relacion luz/altura alta. En una viga de fundacion enterrada la flecha no suele gobernar, por eso no se la incluye en la verificacion.</t>
        </is>
      </c>
      <c r="Y24" s="12" t="n">
        <v>3.15</v>
      </c>
      <c r="Z24" s="12" t="n">
        <v>4</v>
      </c>
    </row>
    <row r="25" ht="46" customHeight="1">
      <c r="A25" s="23" t="inlineStr">
        <is>
          <t>VF12</t>
        </is>
      </c>
      <c r="B25" s="8" t="n">
        <v>1.49</v>
      </c>
      <c r="C25" s="10" t="inlineStr">
        <is>
          <t>Simplemente apoyada</t>
        </is>
      </c>
      <c r="D25" s="24">
        <f>1.2*(Datos_vigas!$B$7*J25*L25/10000+Datos_vigas!$B$16*Y25)</f>
        <v/>
      </c>
      <c r="E25" s="11" t="n"/>
      <c r="F25" s="24">
        <f>VLOOKUP(C25,Datos_vigas!$A$19:$E$23,4,0)*D25*B25</f>
        <v/>
      </c>
      <c r="G25" s="24">
        <f>F25</f>
        <v/>
      </c>
      <c r="H25" s="24">
        <f>VLOOKUP(C25,Datos_vigas!$A$19:$E$23,2,0)*D25*B25^2</f>
        <v/>
      </c>
      <c r="I25" s="24">
        <f>IF(VLOOKUP(C25,Datos_vigas!$A$19:$E$23,3,0)=0,"---",VLOOKUP(C25,Datos_vigas!$A$19:$E$23,3,0)*D25*B25^2)</f>
        <v/>
      </c>
      <c r="J25" s="10" t="n">
        <v>15</v>
      </c>
      <c r="K25" s="11">
        <f>L25-Z25</f>
        <v/>
      </c>
      <c r="L25" s="10" t="n">
        <v>25</v>
      </c>
      <c r="M25" s="25">
        <f>IF(NOT(ISNUMBER(H25)),"---",IF(H25&lt;=0,"---",IF(H25*100/(Datos_vigas!$B$8*J25*K25^2*Datos_vigas!$B$5)&gt;=0.5,"REVISAR",MAX((1-SQRT(1-2*H25*100/(Datos_vigas!$B$8*J25*K25^2*Datos_vigas!$B$5)))*J25*K25*Datos_vigas!$B$5/Datos_vigas!$B$6,0.0033*J25*K25))))</f>
        <v/>
      </c>
      <c r="N25" s="10" t="n">
        <v>3</v>
      </c>
      <c r="O25" s="10" t="n">
        <v>8</v>
      </c>
      <c r="P25" s="25">
        <f>IF(NOT(ISNUMBER(I25)),"---",IF(I25&lt;=0,"---",IF(I25*100/(Datos_vigas!$B$8*J25*K25^2*Datos_vigas!$B$5)&gt;=0.5,"REVISAR",MAX((1-SQRT(1-2*I25*100/(Datos_vigas!$B$8*J25*K25^2*Datos_vigas!$B$5)))*J25*K25*Datos_vigas!$B$5/Datos_vigas!$B$6,0.0033*J25*K25))))</f>
        <v/>
      </c>
      <c r="Q25" s="10" t="inlineStr">
        <is>
          <t>---</t>
        </is>
      </c>
      <c r="R25" s="10" t="inlineStr">
        <is>
          <t>---</t>
        </is>
      </c>
      <c r="S25" s="25">
        <f>F25/(J25*0.85*K25)</f>
        <v/>
      </c>
      <c r="T25" s="25">
        <f>G25/(J25*0.85*K25)</f>
        <v/>
      </c>
      <c r="U25" s="10" t="n">
        <v>6</v>
      </c>
      <c r="V25" s="10" t="n">
        <v>10</v>
      </c>
      <c r="W25" s="11">
        <f>IF(OR(M25="REVISAR",P25="REVISAR"),"SECCION INSUF.",IF(NOT(AND(M25&lt;&gt;"REVISAR",P25&lt;&gt;"REVISAR",IF(ISNUMBER(M25),N25*PI()*(O25/10)^2/4&gt;=M25,TRUE),IF(ISNUMBER(P25),Q25*PI()*(R25/10)^2/4&gt;=P25,TRUE),IF(ISNUMBER(M25),M25&lt;=0.0163*J25*K25,TRUE),IF(ISNUMBER(P25),P25&lt;=0.0163*J25*K25,TRUE))),"NO VERIFICA FLEX.",IF(NOT(F25&lt;=Datos_vigas!$B$9*(0.53*SQRT(Datos_vigas!$B$5)*J25*K25+2*PI()*(U25/10)^2/4*Datos_vigas!$B$6*K25/V25)),"NO VERIF. CORTE","VERIFICA")))</f>
        <v/>
      </c>
      <c r="X25" s="11" t="n"/>
      <c r="Y25" s="12" t="n">
        <v>3.15</v>
      </c>
      <c r="Z25" s="12" t="n">
        <v>4</v>
      </c>
    </row>
    <row r="26" ht="46" customHeight="1">
      <c r="A26" s="23" t="inlineStr">
        <is>
          <t>VF13</t>
        </is>
      </c>
      <c r="B26" s="8" t="n">
        <v>2.28</v>
      </c>
      <c r="C26" s="10" t="inlineStr">
        <is>
          <t>Simplemente apoyada</t>
        </is>
      </c>
      <c r="D26" s="24">
        <f>1.2*(Datos_vigas!$B$7*J26*L26/10000+Datos_vigas!$B$16*Y26)</f>
        <v/>
      </c>
      <c r="E26" s="11" t="n"/>
      <c r="F26" s="24">
        <f>VLOOKUP(C26,Datos_vigas!$A$19:$E$23,4,0)*D26*B26</f>
        <v/>
      </c>
      <c r="G26" s="24">
        <f>F26</f>
        <v/>
      </c>
      <c r="H26" s="24">
        <f>VLOOKUP(C26,Datos_vigas!$A$19:$E$23,2,0)*D26*B26^2</f>
        <v/>
      </c>
      <c r="I26" s="24">
        <f>IF(VLOOKUP(C26,Datos_vigas!$A$19:$E$23,3,0)=0,"---",VLOOKUP(C26,Datos_vigas!$A$19:$E$23,3,0)*D26*B26^2)</f>
        <v/>
      </c>
      <c r="J26" s="10" t="n">
        <v>15</v>
      </c>
      <c r="K26" s="11">
        <f>L26-Z26</f>
        <v/>
      </c>
      <c r="L26" s="10" t="n">
        <v>25</v>
      </c>
      <c r="M26" s="25">
        <f>IF(NOT(ISNUMBER(H26)),"---",IF(H26&lt;=0,"---",IF(H26*100/(Datos_vigas!$B$8*J26*K26^2*Datos_vigas!$B$5)&gt;=0.5,"REVISAR",MAX((1-SQRT(1-2*H26*100/(Datos_vigas!$B$8*J26*K26^2*Datos_vigas!$B$5)))*J26*K26*Datos_vigas!$B$5/Datos_vigas!$B$6,0.0033*J26*K26))))</f>
        <v/>
      </c>
      <c r="N26" s="10" t="n">
        <v>3</v>
      </c>
      <c r="O26" s="10" t="n">
        <v>8</v>
      </c>
      <c r="P26" s="25">
        <f>IF(NOT(ISNUMBER(I26)),"---",IF(I26&lt;=0,"---",IF(I26*100/(Datos_vigas!$B$8*J26*K26^2*Datos_vigas!$B$5)&gt;=0.5,"REVISAR",MAX((1-SQRT(1-2*I26*100/(Datos_vigas!$B$8*J26*K26^2*Datos_vigas!$B$5)))*J26*K26*Datos_vigas!$B$5/Datos_vigas!$B$6,0.0033*J26*K26))))</f>
        <v/>
      </c>
      <c r="Q26" s="10" t="inlineStr">
        <is>
          <t>---</t>
        </is>
      </c>
      <c r="R26" s="10" t="inlineStr">
        <is>
          <t>---</t>
        </is>
      </c>
      <c r="S26" s="25">
        <f>F26/(J26*0.85*K26)</f>
        <v/>
      </c>
      <c r="T26" s="25">
        <f>G26/(J26*0.85*K26)</f>
        <v/>
      </c>
      <c r="U26" s="10" t="n">
        <v>6</v>
      </c>
      <c r="V26" s="10" t="n">
        <v>10</v>
      </c>
      <c r="W26" s="11">
        <f>IF(OR(M26="REVISAR",P26="REVISAR"),"SECCION INSUF.",IF(NOT(AND(M26&lt;&gt;"REVISAR",P26&lt;&gt;"REVISAR",IF(ISNUMBER(M26),N26*PI()*(O26/10)^2/4&gt;=M26,TRUE),IF(ISNUMBER(P26),Q26*PI()*(R26/10)^2/4&gt;=P26,TRUE),IF(ISNUMBER(M26),M26&lt;=0.0163*J26*K26,TRUE),IF(ISNUMBER(P26),P26&lt;=0.0163*J26*K26,TRUE))),"NO VERIFICA FLEX.",IF(NOT(F26&lt;=Datos_vigas!$B$9*(0.53*SQRT(Datos_vigas!$B$5)*J26*K26+2*PI()*(U26/10)^2/4*Datos_vigas!$B$6*K26/V26)),"NO VERIF. CORTE","VERIFICA")))</f>
        <v/>
      </c>
      <c r="X26" s="11" t="n"/>
      <c r="Y26" s="12" t="n">
        <v>3.15</v>
      </c>
      <c r="Z26" s="12" t="n">
        <v>4</v>
      </c>
    </row>
    <row r="27" ht="46" customHeight="1">
      <c r="A27" s="23" t="inlineStr">
        <is>
          <t>VF14</t>
        </is>
      </c>
      <c r="B27" s="8" t="n">
        <v>3.09</v>
      </c>
      <c r="C27" s="10" t="inlineStr">
        <is>
          <t>Simplemente apoyada</t>
        </is>
      </c>
      <c r="D27" s="24">
        <f>1.2*(Datos_vigas!$B$7*J27*L27/10000+Datos_vigas!$B$16*Y27)</f>
        <v/>
      </c>
      <c r="E27" s="11" t="n"/>
      <c r="F27" s="24">
        <f>VLOOKUP(C27,Datos_vigas!$A$19:$E$23,4,0)*D27*B27</f>
        <v/>
      </c>
      <c r="G27" s="24">
        <f>F27</f>
        <v/>
      </c>
      <c r="H27" s="24">
        <f>VLOOKUP(C27,Datos_vigas!$A$19:$E$23,2,0)*D27*B27^2</f>
        <v/>
      </c>
      <c r="I27" s="24">
        <f>IF(VLOOKUP(C27,Datos_vigas!$A$19:$E$23,3,0)=0,"---",VLOOKUP(C27,Datos_vigas!$A$19:$E$23,3,0)*D27*B27^2)</f>
        <v/>
      </c>
      <c r="J27" s="10" t="n">
        <v>25</v>
      </c>
      <c r="K27" s="11">
        <f>L27-Z27</f>
        <v/>
      </c>
      <c r="L27" s="10" t="n">
        <v>40</v>
      </c>
      <c r="M27" s="25">
        <f>IF(NOT(ISNUMBER(H27)),"---",IF(H27&lt;=0,"---",IF(H27*100/(Datos_vigas!$B$8*J27*K27^2*Datos_vigas!$B$5)&gt;=0.5,"REVISAR",MAX((1-SQRT(1-2*H27*100/(Datos_vigas!$B$8*J27*K27^2*Datos_vigas!$B$5)))*J27*K27*Datos_vigas!$B$5/Datos_vigas!$B$6,0.0033*J27*K27))))</f>
        <v/>
      </c>
      <c r="N27" s="10" t="n">
        <v>6</v>
      </c>
      <c r="O27" s="10" t="n">
        <v>8</v>
      </c>
      <c r="P27" s="25">
        <f>IF(NOT(ISNUMBER(I27)),"---",IF(I27&lt;=0,"---",IF(I27*100/(Datos_vigas!$B$8*J27*K27^2*Datos_vigas!$B$5)&gt;=0.5,"REVISAR",MAX((1-SQRT(1-2*I27*100/(Datos_vigas!$B$8*J27*K27^2*Datos_vigas!$B$5)))*J27*K27*Datos_vigas!$B$5/Datos_vigas!$B$6,0.0033*J27*K27))))</f>
        <v/>
      </c>
      <c r="Q27" s="10" t="inlineStr">
        <is>
          <t>---</t>
        </is>
      </c>
      <c r="R27" s="10" t="inlineStr">
        <is>
          <t>---</t>
        </is>
      </c>
      <c r="S27" s="25">
        <f>F27/(J27*0.85*K27)</f>
        <v/>
      </c>
      <c r="T27" s="25">
        <f>G27/(J27*0.85*K27)</f>
        <v/>
      </c>
      <c r="U27" s="10" t="n">
        <v>6</v>
      </c>
      <c r="V27" s="10" t="n">
        <v>15</v>
      </c>
      <c r="W27" s="11">
        <f>IF(OR(M27="REVISAR",P27="REVISAR"),"SECCION INSUF.",IF(NOT(AND(M27&lt;&gt;"REVISAR",P27&lt;&gt;"REVISAR",IF(ISNUMBER(M27),N27*PI()*(O27/10)^2/4&gt;=M27,TRUE),IF(ISNUMBER(P27),Q27*PI()*(R27/10)^2/4&gt;=P27,TRUE),IF(ISNUMBER(M27),M27&lt;=0.0163*J27*K27,TRUE),IF(ISNUMBER(P27),P27&lt;=0.0163*J27*K27,TRUE))),"NO VERIFICA FLEX.",IF(NOT(F27&lt;=Datos_vigas!$B$9*(0.53*SQRT(Datos_vigas!$B$5)*J27*K27+2*PI()*(U27/10)^2/4*Datos_vigas!$B$6*K27/V27)),"NO VERIF. CORTE","VERIFICA")))</f>
        <v/>
      </c>
      <c r="X27" s="13" t="inlineStr">
        <is>
          <t>Longitud total 8.75 m. La luz de calculo es la mayor entre pilotes, deducida de la posicion de los pilotes dibujados en el plano.</t>
        </is>
      </c>
      <c r="Y27" s="12" t="n">
        <v>3.15</v>
      </c>
      <c r="Z27" s="12" t="n">
        <v>4</v>
      </c>
    </row>
    <row r="28" ht="46" customHeight="1">
      <c r="A28" s="23" t="inlineStr">
        <is>
          <t>VF15</t>
        </is>
      </c>
      <c r="B28" s="8" t="n">
        <v>2.39</v>
      </c>
      <c r="C28" s="10" t="inlineStr">
        <is>
          <t>Simplemente apoyada</t>
        </is>
      </c>
      <c r="D28" s="24">
        <f>1.2*(Datos_vigas!$B$7*J28*L28/10000+Datos_vigas!$B$16*Y28)</f>
        <v/>
      </c>
      <c r="E28" s="11" t="n"/>
      <c r="F28" s="24">
        <f>VLOOKUP(C28,Datos_vigas!$A$19:$E$23,4,0)*D28*B28</f>
        <v/>
      </c>
      <c r="G28" s="24">
        <f>F28</f>
        <v/>
      </c>
      <c r="H28" s="24">
        <f>VLOOKUP(C28,Datos_vigas!$A$19:$E$23,2,0)*D28*B28^2</f>
        <v/>
      </c>
      <c r="I28" s="24">
        <f>IF(VLOOKUP(C28,Datos_vigas!$A$19:$E$23,3,0)=0,"---",VLOOKUP(C28,Datos_vigas!$A$19:$E$23,3,0)*D28*B28^2)</f>
        <v/>
      </c>
      <c r="J28" s="10" t="n">
        <v>20</v>
      </c>
      <c r="K28" s="11">
        <f>L28-Z28</f>
        <v/>
      </c>
      <c r="L28" s="10" t="n">
        <v>25</v>
      </c>
      <c r="M28" s="25">
        <f>IF(NOT(ISNUMBER(H28)),"---",IF(H28&lt;=0,"---",IF(H28*100/(Datos_vigas!$B$8*J28*K28^2*Datos_vigas!$B$5)&gt;=0.5,"REVISAR",MAX((1-SQRT(1-2*H28*100/(Datos_vigas!$B$8*J28*K28^2*Datos_vigas!$B$5)))*J28*K28*Datos_vigas!$B$5/Datos_vigas!$B$6,0.0033*J28*K28))))</f>
        <v/>
      </c>
      <c r="N28" s="10" t="n">
        <v>5</v>
      </c>
      <c r="O28" s="10" t="n">
        <v>6</v>
      </c>
      <c r="P28" s="25">
        <f>IF(NOT(ISNUMBER(I28)),"---",IF(I28&lt;=0,"---",IF(I28*100/(Datos_vigas!$B$8*J28*K28^2*Datos_vigas!$B$5)&gt;=0.5,"REVISAR",MAX((1-SQRT(1-2*I28*100/(Datos_vigas!$B$8*J28*K28^2*Datos_vigas!$B$5)))*J28*K28*Datos_vigas!$B$5/Datos_vigas!$B$6,0.0033*J28*K28))))</f>
        <v/>
      </c>
      <c r="Q28" s="10" t="inlineStr">
        <is>
          <t>---</t>
        </is>
      </c>
      <c r="R28" s="10" t="inlineStr">
        <is>
          <t>---</t>
        </is>
      </c>
      <c r="S28" s="25">
        <f>F28/(J28*0.85*K28)</f>
        <v/>
      </c>
      <c r="T28" s="25">
        <f>G28/(J28*0.85*K28)</f>
        <v/>
      </c>
      <c r="U28" s="10" t="n">
        <v>6</v>
      </c>
      <c r="V28" s="10" t="n">
        <v>10</v>
      </c>
      <c r="W28" s="11">
        <f>IF(OR(M28="REVISAR",P28="REVISAR"),"SECCION INSUF.",IF(NOT(AND(M28&lt;&gt;"REVISAR",P28&lt;&gt;"REVISAR",IF(ISNUMBER(M28),N28*PI()*(O28/10)^2/4&gt;=M28,TRUE),IF(ISNUMBER(P28),Q28*PI()*(R28/10)^2/4&gt;=P28,TRUE),IF(ISNUMBER(M28),M28&lt;=0.0163*J28*K28,TRUE),IF(ISNUMBER(P28),P28&lt;=0.0163*J28*K28,TRUE))),"NO VERIFICA FLEX.",IF(NOT(F28&lt;=Datos_vigas!$B$9*(0.53*SQRT(Datos_vigas!$B$5)*J28*K28+2*PI()*(U28/10)^2/4*Datos_vigas!$B$6*K28/V28)),"NO VERIF. CORTE","VERIFICA")))</f>
        <v/>
      </c>
      <c r="X28" s="11" t="n"/>
      <c r="Y28" s="12" t="n">
        <v>3.15</v>
      </c>
      <c r="Z28" s="12" t="n">
        <v>4</v>
      </c>
    </row>
    <row r="29" ht="46" customHeight="1">
      <c r="A29" s="23" t="inlineStr">
        <is>
          <t>VF16a</t>
        </is>
      </c>
      <c r="B29" s="8" t="n">
        <v>4.47</v>
      </c>
      <c r="C29" s="10" t="inlineStr">
        <is>
          <t>Continua</t>
        </is>
      </c>
      <c r="D29" s="24">
        <f>1.2*(Datos_vigas!$B$7*J29*L29/10000+Datos_vigas!$B$16*Y29)</f>
        <v/>
      </c>
      <c r="E29" s="11" t="n"/>
      <c r="F29" s="24">
        <f>VLOOKUP(C29,Datos_vigas!$A$19:$E$23,4,0)*D29*B29</f>
        <v/>
      </c>
      <c r="G29" s="24">
        <f>F29</f>
        <v/>
      </c>
      <c r="H29" s="24">
        <f>VLOOKUP(C29,Datos_vigas!$A$19:$E$23,2,0)*D29*B29^2</f>
        <v/>
      </c>
      <c r="I29" s="24">
        <f>IF(VLOOKUP(C29,Datos_vigas!$A$19:$E$23,3,0)=0,"---",VLOOKUP(C29,Datos_vigas!$A$19:$E$23,3,0)*D29*B29^2)</f>
        <v/>
      </c>
      <c r="J29" s="10" t="n">
        <v>20</v>
      </c>
      <c r="K29" s="11">
        <f>L29-Z29</f>
        <v/>
      </c>
      <c r="L29" s="10" t="n">
        <v>25</v>
      </c>
      <c r="M29" s="25">
        <f>IF(NOT(ISNUMBER(H29)),"---",IF(H29&lt;=0,"---",IF(H29*100/(Datos_vigas!$B$8*J29*K29^2*Datos_vigas!$B$5)&gt;=0.5,"REVISAR",MAX((1-SQRT(1-2*H29*100/(Datos_vigas!$B$8*J29*K29^2*Datos_vigas!$B$5)))*J29*K29*Datos_vigas!$B$5/Datos_vigas!$B$6,0.0033*J29*K29))))</f>
        <v/>
      </c>
      <c r="N29" s="10" t="n">
        <v>4</v>
      </c>
      <c r="O29" s="10" t="n">
        <v>8</v>
      </c>
      <c r="P29" s="25">
        <f>IF(NOT(ISNUMBER(I29)),"---",IF(I29&lt;=0,"---",IF(I29*100/(Datos_vigas!$B$8*J29*K29^2*Datos_vigas!$B$5)&gt;=0.5,"REVISAR",MAX((1-SQRT(1-2*I29*100/(Datos_vigas!$B$8*J29*K29^2*Datos_vigas!$B$5)))*J29*K29*Datos_vigas!$B$5/Datos_vigas!$B$6,0.0033*J29*K29))))</f>
        <v/>
      </c>
      <c r="Q29" s="10" t="n">
        <v>4</v>
      </c>
      <c r="R29" s="10" t="n">
        <v>10</v>
      </c>
      <c r="S29" s="25">
        <f>F29/(J29*0.85*K29)</f>
        <v/>
      </c>
      <c r="T29" s="25">
        <f>G29/(J29*0.85*K29)</f>
        <v/>
      </c>
      <c r="U29" s="10" t="n">
        <v>6</v>
      </c>
      <c r="V29" s="10" t="n">
        <v>10</v>
      </c>
      <c r="W29" s="11">
        <f>IF(OR(M29="REVISAR",P29="REVISAR"),"SECCION INSUF.",IF(NOT(AND(M29&lt;&gt;"REVISAR",P29&lt;&gt;"REVISAR",IF(ISNUMBER(M29),N29*PI()*(O29/10)^2/4&gt;=M29,TRUE),IF(ISNUMBER(P29),Q29*PI()*(R29/10)^2/4&gt;=P29,TRUE),IF(ISNUMBER(M29),M29&lt;=0.0163*J29*K29,TRUE),IF(ISNUMBER(P29),P29&lt;=0.0163*J29*K29,TRUE))),"NO VERIFICA FLEX.",IF(NOT(F29&lt;=Datos_vigas!$B$9*(0.53*SQRT(Datos_vigas!$B$5)*J29*K29+2*PI()*(U29/10)^2/4*Datos_vigas!$B$6*K29/V29)),"NO VERIF. CORTE","VERIFICA")))</f>
        <v/>
      </c>
      <c r="X29" s="13" t="inlineStr">
        <is>
          <t>Longitud total 6.96 m. La luz de calculo es la mayor entre pilotes, deducida de la posicion de los pilotes dibujados en el plano.</t>
        </is>
      </c>
      <c r="Y29" s="12" t="n">
        <v>3.15</v>
      </c>
      <c r="Z29" s="12" t="n">
        <v>4</v>
      </c>
    </row>
    <row r="30" ht="46" customHeight="1">
      <c r="A30" s="23" t="inlineStr">
        <is>
          <t>VF16b</t>
        </is>
      </c>
      <c r="B30" s="8" t="n">
        <v>3.13</v>
      </c>
      <c r="C30" s="10" t="inlineStr">
        <is>
          <t>Continua</t>
        </is>
      </c>
      <c r="D30" s="24">
        <f>1.2*(Datos_vigas!$B$7*J30*L30/10000+Datos_vigas!$B$16*Y30)</f>
        <v/>
      </c>
      <c r="E30" s="11" t="n"/>
      <c r="F30" s="24">
        <f>VLOOKUP(C30,Datos_vigas!$A$19:$E$23,4,0)*D30*B30</f>
        <v/>
      </c>
      <c r="G30" s="24">
        <f>F30</f>
        <v/>
      </c>
      <c r="H30" s="24">
        <f>VLOOKUP(C30,Datos_vigas!$A$19:$E$23,2,0)*D30*B30^2</f>
        <v/>
      </c>
      <c r="I30" s="24">
        <f>IF(VLOOKUP(C30,Datos_vigas!$A$19:$E$23,3,0)=0,"---",VLOOKUP(C30,Datos_vigas!$A$19:$E$23,3,0)*D30*B30^2)</f>
        <v/>
      </c>
      <c r="J30" s="10" t="n">
        <v>20</v>
      </c>
      <c r="K30" s="11">
        <f>L30-Z30</f>
        <v/>
      </c>
      <c r="L30" s="10" t="n">
        <v>35</v>
      </c>
      <c r="M30" s="25">
        <f>IF(NOT(ISNUMBER(H30)),"---",IF(H30&lt;=0,"---",IF(H30*100/(Datos_vigas!$B$8*J30*K30^2*Datos_vigas!$B$5)&gt;=0.5,"REVISAR",MAX((1-SQRT(1-2*H30*100/(Datos_vigas!$B$8*J30*K30^2*Datos_vigas!$B$5)))*J30*K30*Datos_vigas!$B$5/Datos_vigas!$B$6,0.0033*J30*K30))))</f>
        <v/>
      </c>
      <c r="N30" s="10" t="n">
        <v>2</v>
      </c>
      <c r="O30" s="10" t="n">
        <v>12</v>
      </c>
      <c r="P30" s="25">
        <f>IF(NOT(ISNUMBER(I30)),"---",IF(I30&lt;=0,"---",IF(I30*100/(Datos_vigas!$B$8*J30*K30^2*Datos_vigas!$B$5)&gt;=0.5,"REVISAR",MAX((1-SQRT(1-2*I30*100/(Datos_vigas!$B$8*J30*K30^2*Datos_vigas!$B$5)))*J30*K30*Datos_vigas!$B$5/Datos_vigas!$B$6,0.0033*J30*K30))))</f>
        <v/>
      </c>
      <c r="Q30" s="10" t="n">
        <v>2</v>
      </c>
      <c r="R30" s="10" t="n">
        <v>12</v>
      </c>
      <c r="S30" s="25">
        <f>F30/(J30*0.85*K30)</f>
        <v/>
      </c>
      <c r="T30" s="25">
        <f>G30/(J30*0.85*K30)</f>
        <v/>
      </c>
      <c r="U30" s="10" t="n">
        <v>6</v>
      </c>
      <c r="V30" s="10" t="n">
        <v>15</v>
      </c>
      <c r="W30" s="11">
        <f>IF(OR(M30="REVISAR",P30="REVISAR"),"SECCION INSUF.",IF(NOT(AND(M30&lt;&gt;"REVISAR",P30&lt;&gt;"REVISAR",IF(ISNUMBER(M30),N30*PI()*(O30/10)^2/4&gt;=M30,TRUE),IF(ISNUMBER(P30),Q30*PI()*(R30/10)^2/4&gt;=P30,TRUE),IF(ISNUMBER(M30),M30&lt;=0.0163*J30*K30,TRUE),IF(ISNUMBER(P30),P30&lt;=0.0163*J30*K30,TRUE))),"NO VERIFICA FLEX.",IF(NOT(F30&lt;=Datos_vigas!$B$9*(0.53*SQRT(Datos_vigas!$B$5)*J30*K30+2*PI()*(U30/10)^2/4*Datos_vigas!$B$6*K30/V30)),"NO VERIF. CORTE","VERIFICA")))</f>
        <v/>
      </c>
      <c r="X30" s="11" t="n"/>
      <c r="Y30" s="12" t="n">
        <v>3.15</v>
      </c>
      <c r="Z30" s="12" t="n">
        <v>4</v>
      </c>
    </row>
    <row r="31" ht="46" customHeight="1">
      <c r="A31" s="23" t="inlineStr">
        <is>
          <t>VF17</t>
        </is>
      </c>
      <c r="B31" s="8" t="n">
        <v>3.53</v>
      </c>
      <c r="C31" s="10" t="inlineStr">
        <is>
          <t>Simplemente apoyada</t>
        </is>
      </c>
      <c r="D31" s="24">
        <f>1.2*(Datos_vigas!$B$7*J31*L31/10000+Datos_vigas!$B$16*Y31)</f>
        <v/>
      </c>
      <c r="E31" s="11" t="n"/>
      <c r="F31" s="24">
        <f>VLOOKUP(C31,Datos_vigas!$A$19:$E$23,4,0)*D31*B31</f>
        <v/>
      </c>
      <c r="G31" s="24">
        <f>F31</f>
        <v/>
      </c>
      <c r="H31" s="24">
        <f>VLOOKUP(C31,Datos_vigas!$A$19:$E$23,2,0)*D31*B31^2</f>
        <v/>
      </c>
      <c r="I31" s="24">
        <f>IF(VLOOKUP(C31,Datos_vigas!$A$19:$E$23,3,0)=0,"---",VLOOKUP(C31,Datos_vigas!$A$19:$E$23,3,0)*D31*B31^2)</f>
        <v/>
      </c>
      <c r="J31" s="10" t="n">
        <v>20</v>
      </c>
      <c r="K31" s="11">
        <f>L31-Z31</f>
        <v/>
      </c>
      <c r="L31" s="10" t="n">
        <v>25</v>
      </c>
      <c r="M31" s="25">
        <f>IF(NOT(ISNUMBER(H31)),"---",IF(H31&lt;=0,"---",IF(H31*100/(Datos_vigas!$B$8*J31*K31^2*Datos_vigas!$B$5)&gt;=0.5,"REVISAR",MAX((1-SQRT(1-2*H31*100/(Datos_vigas!$B$8*J31*K31^2*Datos_vigas!$B$5)))*J31*K31*Datos_vigas!$B$5/Datos_vigas!$B$6,0.0033*J31*K31))))</f>
        <v/>
      </c>
      <c r="N31" s="10" t="n">
        <v>2</v>
      </c>
      <c r="O31" s="10" t="n">
        <v>12</v>
      </c>
      <c r="P31" s="25">
        <f>IF(NOT(ISNUMBER(I31)),"---",IF(I31&lt;=0,"---",IF(I31*100/(Datos_vigas!$B$8*J31*K31^2*Datos_vigas!$B$5)&gt;=0.5,"REVISAR",MAX((1-SQRT(1-2*I31*100/(Datos_vigas!$B$8*J31*K31^2*Datos_vigas!$B$5)))*J31*K31*Datos_vigas!$B$5/Datos_vigas!$B$6,0.0033*J31*K31))))</f>
        <v/>
      </c>
      <c r="Q31" s="10" t="inlineStr">
        <is>
          <t>---</t>
        </is>
      </c>
      <c r="R31" s="10" t="inlineStr">
        <is>
          <t>---</t>
        </is>
      </c>
      <c r="S31" s="25">
        <f>F31/(J31*0.85*K31)</f>
        <v/>
      </c>
      <c r="T31" s="25">
        <f>G31/(J31*0.85*K31)</f>
        <v/>
      </c>
      <c r="U31" s="10" t="n">
        <v>6</v>
      </c>
      <c r="V31" s="10" t="n">
        <v>10</v>
      </c>
      <c r="W31" s="11">
        <f>IF(OR(M31="REVISAR",P31="REVISAR"),"SECCION INSUF.",IF(NOT(AND(M31&lt;&gt;"REVISAR",P31&lt;&gt;"REVISAR",IF(ISNUMBER(M31),N31*PI()*(O31/10)^2/4&gt;=M31,TRUE),IF(ISNUMBER(P31),Q31*PI()*(R31/10)^2/4&gt;=P31,TRUE),IF(ISNUMBER(M31),M31&lt;=0.0163*J31*K31,TRUE),IF(ISNUMBER(P31),P31&lt;=0.0163*J31*K31,TRUE))),"NO VERIFICA FLEX.",IF(NOT(F31&lt;=Datos_vigas!$B$9*(0.53*SQRT(Datos_vigas!$B$5)*J31*K31+2*PI()*(U31/10)^2/4*Datos_vigas!$B$6*K31/V31)),"NO VERIF. CORTE","VERIFICA")))</f>
        <v/>
      </c>
      <c r="X31" s="11" t="n"/>
      <c r="Y31" s="12" t="n">
        <v>3.15</v>
      </c>
      <c r="Z31" s="12" t="n">
        <v>4</v>
      </c>
    </row>
    <row r="32" ht="46" customHeight="1">
      <c r="A32" s="23" t="inlineStr">
        <is>
          <t>VF18a</t>
        </is>
      </c>
      <c r="B32" s="8" t="n">
        <v>5.5</v>
      </c>
      <c r="C32" s="10" t="inlineStr">
        <is>
          <t>Continua</t>
        </is>
      </c>
      <c r="D32" s="24">
        <f>1.2*(Datos_vigas!$B$7*J32*L32/10000+Datos_vigas!$B$16*Y32)</f>
        <v/>
      </c>
      <c r="E32" s="11" t="n"/>
      <c r="F32" s="24">
        <f>VLOOKUP(C32,Datos_vigas!$A$19:$E$23,4,0)*D32*B32</f>
        <v/>
      </c>
      <c r="G32" s="24">
        <f>F32</f>
        <v/>
      </c>
      <c r="H32" s="24">
        <f>VLOOKUP(C32,Datos_vigas!$A$19:$E$23,2,0)*D32*B32^2</f>
        <v/>
      </c>
      <c r="I32" s="24">
        <f>IF(VLOOKUP(C32,Datos_vigas!$A$19:$E$23,3,0)=0,"---",VLOOKUP(C32,Datos_vigas!$A$19:$E$23,3,0)*D32*B32^2)</f>
        <v/>
      </c>
      <c r="J32" s="10" t="n">
        <v>25</v>
      </c>
      <c r="K32" s="11">
        <f>L32-Z32</f>
        <v/>
      </c>
      <c r="L32" s="10" t="n">
        <v>35</v>
      </c>
      <c r="M32" s="25">
        <f>IF(NOT(ISNUMBER(H32)),"---",IF(H32&lt;=0,"---",IF(H32*100/(Datos_vigas!$B$8*J32*K32^2*Datos_vigas!$B$5)&gt;=0.5,"REVISAR",MAX((1-SQRT(1-2*H32*100/(Datos_vigas!$B$8*J32*K32^2*Datos_vigas!$B$5)))*J32*K32*Datos_vigas!$B$5/Datos_vigas!$B$6,0.0033*J32*K32))))</f>
        <v/>
      </c>
      <c r="N32" s="10" t="n">
        <v>6</v>
      </c>
      <c r="O32" s="10" t="n">
        <v>8</v>
      </c>
      <c r="P32" s="25">
        <f>IF(NOT(ISNUMBER(I32)),"---",IF(I32&lt;=0,"---",IF(I32*100/(Datos_vigas!$B$8*J32*K32^2*Datos_vigas!$B$5)&gt;=0.5,"REVISAR",MAX((1-SQRT(1-2*I32*100/(Datos_vigas!$B$8*J32*K32^2*Datos_vigas!$B$5)))*J32*K32*Datos_vigas!$B$5/Datos_vigas!$B$6,0.0033*J32*K32))))</f>
        <v/>
      </c>
      <c r="Q32" s="10" t="n">
        <v>3</v>
      </c>
      <c r="R32" s="10" t="n">
        <v>12</v>
      </c>
      <c r="S32" s="25">
        <f>F32/(J32*0.85*K32)</f>
        <v/>
      </c>
      <c r="T32" s="25">
        <f>G32/(J32*0.85*K32)</f>
        <v/>
      </c>
      <c r="U32" s="10" t="n">
        <v>6</v>
      </c>
      <c r="V32" s="10" t="n">
        <v>15</v>
      </c>
      <c r="W32" s="11">
        <f>IF(OR(M32="REVISAR",P32="REVISAR"),"SECCION INSUF.",IF(NOT(AND(M32&lt;&gt;"REVISAR",P32&lt;&gt;"REVISAR",IF(ISNUMBER(M32),N32*PI()*(O32/10)^2/4&gt;=M32,TRUE),IF(ISNUMBER(P32),Q32*PI()*(R32/10)^2/4&gt;=P32,TRUE),IF(ISNUMBER(M32),M32&lt;=0.0163*J32*K32,TRUE),IF(ISNUMBER(P32),P32&lt;=0.0163*J32*K32,TRUE))),"NO VERIFICA FLEX.",IF(NOT(F32&lt;=Datos_vigas!$B$9*(0.53*SQRT(Datos_vigas!$B$5)*J32*K32+2*PI()*(U32/10)^2/4*Datos_vigas!$B$6*K32/V32)),"NO VERIF. CORTE","VERIFICA")))</f>
        <v/>
      </c>
      <c r="X32" s="13" t="inlineStr">
        <is>
          <t>Longitud total 7.48 m. La luz de calculo es la mayor entre pilotes, deducida de la posicion de los pilotes dibujados en el plano.</t>
        </is>
      </c>
      <c r="Y32" s="12" t="n">
        <v>3.15</v>
      </c>
      <c r="Z32" s="12" t="n">
        <v>4</v>
      </c>
    </row>
    <row r="33" ht="46" customHeight="1">
      <c r="A33" s="23" t="inlineStr">
        <is>
          <t>VF18b</t>
        </is>
      </c>
      <c r="B33" s="8" t="n">
        <v>3.05</v>
      </c>
      <c r="C33" s="10" t="inlineStr">
        <is>
          <t>Continua</t>
        </is>
      </c>
      <c r="D33" s="24">
        <f>1.2*(Datos_vigas!$B$7*J33*L33/10000+Datos_vigas!$B$16*Y33)</f>
        <v/>
      </c>
      <c r="E33" s="11" t="n"/>
      <c r="F33" s="24">
        <f>VLOOKUP(C33,Datos_vigas!$A$19:$E$23,4,0)*D33*B33</f>
        <v/>
      </c>
      <c r="G33" s="24">
        <f>F33</f>
        <v/>
      </c>
      <c r="H33" s="24">
        <f>VLOOKUP(C33,Datos_vigas!$A$19:$E$23,2,0)*D33*B33^2</f>
        <v/>
      </c>
      <c r="I33" s="24">
        <f>IF(VLOOKUP(C33,Datos_vigas!$A$19:$E$23,3,0)=0,"---",VLOOKUP(C33,Datos_vigas!$A$19:$E$23,3,0)*D33*B33^2)</f>
        <v/>
      </c>
      <c r="J33" s="10" t="n">
        <v>25</v>
      </c>
      <c r="K33" s="11">
        <f>L33-Z33</f>
        <v/>
      </c>
      <c r="L33" s="10" t="n">
        <v>25</v>
      </c>
      <c r="M33" s="25">
        <f>IF(NOT(ISNUMBER(H33)),"---",IF(H33&lt;=0,"---",IF(H33*100/(Datos_vigas!$B$8*J33*K33^2*Datos_vigas!$B$5)&gt;=0.5,"REVISAR",MAX((1-SQRT(1-2*H33*100/(Datos_vigas!$B$8*J33*K33^2*Datos_vigas!$B$5)))*J33*K33*Datos_vigas!$B$5/Datos_vigas!$B$6,0.0033*J33*K33))))</f>
        <v/>
      </c>
      <c r="N33" s="10" t="n">
        <v>4</v>
      </c>
      <c r="O33" s="10" t="n">
        <v>8</v>
      </c>
      <c r="P33" s="25">
        <f>IF(NOT(ISNUMBER(I33)),"---",IF(I33&lt;=0,"---",IF(I33*100/(Datos_vigas!$B$8*J33*K33^2*Datos_vigas!$B$5)&gt;=0.5,"REVISAR",MAX((1-SQRT(1-2*I33*100/(Datos_vigas!$B$8*J33*K33^2*Datos_vigas!$B$5)))*J33*K33*Datos_vigas!$B$5/Datos_vigas!$B$6,0.0033*J33*K33))))</f>
        <v/>
      </c>
      <c r="Q33" s="10" t="n">
        <v>4</v>
      </c>
      <c r="R33" s="10" t="n">
        <v>8</v>
      </c>
      <c r="S33" s="25">
        <f>F33/(J33*0.85*K33)</f>
        <v/>
      </c>
      <c r="T33" s="25">
        <f>G33/(J33*0.85*K33)</f>
        <v/>
      </c>
      <c r="U33" s="10" t="n">
        <v>6</v>
      </c>
      <c r="V33" s="10" t="n">
        <v>10</v>
      </c>
      <c r="W33" s="11">
        <f>IF(OR(M33="REVISAR",P33="REVISAR"),"SECCION INSUF.",IF(NOT(AND(M33&lt;&gt;"REVISAR",P33&lt;&gt;"REVISAR",IF(ISNUMBER(M33),N33*PI()*(O33/10)^2/4&gt;=M33,TRUE),IF(ISNUMBER(P33),Q33*PI()*(R33/10)^2/4&gt;=P33,TRUE),IF(ISNUMBER(M33),M33&lt;=0.0163*J33*K33,TRUE),IF(ISNUMBER(P33),P33&lt;=0.0163*J33*K33,TRUE))),"NO VERIFICA FLEX.",IF(NOT(F33&lt;=Datos_vigas!$B$9*(0.53*SQRT(Datos_vigas!$B$5)*J33*K33+2*PI()*(U33/10)^2/4*Datos_vigas!$B$6*K33/V33)),"NO VERIF. CORTE","VERIFICA")))</f>
        <v/>
      </c>
      <c r="X33" s="11" t="n"/>
      <c r="Y33" s="12" t="n">
        <v>3.15</v>
      </c>
      <c r="Z33" s="12" t="n">
        <v>4</v>
      </c>
    </row>
    <row r="34" ht="46" customHeight="1">
      <c r="A34" s="28" t="inlineStr">
        <is>
          <t>VF18c</t>
        </is>
      </c>
      <c r="B34" s="15" t="n">
        <v>4.26</v>
      </c>
      <c r="C34" s="17" t="inlineStr">
        <is>
          <t>Continua</t>
        </is>
      </c>
      <c r="D34" s="29">
        <f>1.2*(Datos_vigas!$B$7*J34*L34/10000+Datos_vigas!$B$16*Y34)</f>
        <v/>
      </c>
      <c r="E34" s="18" t="n"/>
      <c r="F34" s="29">
        <f>VLOOKUP(C34,Datos_vigas!$A$19:$E$23,4,0)*D34*B34</f>
        <v/>
      </c>
      <c r="G34" s="29">
        <f>F34</f>
        <v/>
      </c>
      <c r="H34" s="29">
        <f>VLOOKUP(C34,Datos_vigas!$A$19:$E$23,2,0)*D34*B34^2</f>
        <v/>
      </c>
      <c r="I34" s="29">
        <f>IF(VLOOKUP(C34,Datos_vigas!$A$19:$E$23,3,0)=0,"---",VLOOKUP(C34,Datos_vigas!$A$19:$E$23,3,0)*D34*B34^2)</f>
        <v/>
      </c>
      <c r="J34" s="17" t="n">
        <v>20</v>
      </c>
      <c r="K34" s="18">
        <f>L34-Z34</f>
        <v/>
      </c>
      <c r="L34" s="17" t="n">
        <v>35</v>
      </c>
      <c r="M34" s="30">
        <f>IF(NOT(ISNUMBER(H34)),"---",IF(H34&lt;=0,"---",IF(H34*100/(Datos_vigas!$B$8*J34*K34^2*Datos_vigas!$B$5)&gt;=0.5,"REVISAR",MAX((1-SQRT(1-2*H34*100/(Datos_vigas!$B$8*J34*K34^2*Datos_vigas!$B$5)))*J34*K34*Datos_vigas!$B$5/Datos_vigas!$B$6,0.0033*J34*K34))))</f>
        <v/>
      </c>
      <c r="N34" s="17" t="n">
        <v>2</v>
      </c>
      <c r="O34" s="17" t="n">
        <v>12</v>
      </c>
      <c r="P34" s="30">
        <f>IF(NOT(ISNUMBER(I34)),"---",IF(I34&lt;=0,"---",IF(I34*100/(Datos_vigas!$B$8*J34*K34^2*Datos_vigas!$B$5)&gt;=0.5,"REVISAR",MAX((1-SQRT(1-2*I34*100/(Datos_vigas!$B$8*J34*K34^2*Datos_vigas!$B$5)))*J34*K34*Datos_vigas!$B$5/Datos_vigas!$B$6,0.0033*J34*K34))))</f>
        <v/>
      </c>
      <c r="Q34" s="17" t="n">
        <v>2</v>
      </c>
      <c r="R34" s="17" t="n">
        <v>12</v>
      </c>
      <c r="S34" s="30">
        <f>F34/(J34*0.85*K34)</f>
        <v/>
      </c>
      <c r="T34" s="30">
        <f>G34/(J34*0.85*K34)</f>
        <v/>
      </c>
      <c r="U34" s="17" t="n">
        <v>6</v>
      </c>
      <c r="V34" s="17" t="n">
        <v>15</v>
      </c>
      <c r="W34" s="18">
        <f>IF(OR(M34="REVISAR",P34="REVISAR"),"SECCION INSUF.",IF(NOT(AND(M34&lt;&gt;"REVISAR",P34&lt;&gt;"REVISAR",IF(ISNUMBER(M34),N34*PI()*(O34/10)^2/4&gt;=M34,TRUE),IF(ISNUMBER(P34),Q34*PI()*(R34/10)^2/4&gt;=P34,TRUE),IF(ISNUMBER(M34),M34&lt;=0.0163*J34*K34,TRUE),IF(ISNUMBER(P34),P34&lt;=0.0163*J34*K34,TRUE))),"NO VERIFICA FLEX.",IF(NOT(F34&lt;=Datos_vigas!$B$9*(0.53*SQRT(Datos_vigas!$B$5)*J34*K34+2*PI()*(U34/10)^2/4*Datos_vigas!$B$6*K34/V34)),"NO VERIF. CORTE","VERIFICA")))</f>
        <v/>
      </c>
      <c r="X34" s="20" t="inlineStr">
        <is>
          <t>Longitud total 4.82 m. La luz de calculo es la mayor entre pilotes, deducida de la posicion de los pilotes dibujados en el plano.</t>
        </is>
      </c>
      <c r="Y34" s="19" t="n">
        <v>3.15</v>
      </c>
      <c r="Z34" s="19" t="n">
        <v>4</v>
      </c>
    </row>
  </sheetData>
  <mergeCells count="15">
    <mergeCell ref="C2:E2"/>
    <mergeCell ref="F2:G2"/>
    <mergeCell ref="J2:L2"/>
    <mergeCell ref="A1:Z1"/>
    <mergeCell ref="P2:R2"/>
    <mergeCell ref="S2:U2"/>
    <mergeCell ref="Y2:Z2"/>
    <mergeCell ref="I2:I3"/>
    <mergeCell ref="V2"/>
    <mergeCell ref="B2:B3"/>
    <mergeCell ref="A2:A3"/>
    <mergeCell ref="X2:X3"/>
    <mergeCell ref="M2:O2"/>
    <mergeCell ref="H2:H3"/>
    <mergeCell ref="W2:W3"/>
  </mergeCells>
  <conditionalFormatting sqref="W4:W34">
    <cfRule type="cellIs" priority="1" operator="equal" dxfId="0">
      <formula>"VERIFICA"</formula>
    </cfRule>
    <cfRule type="cellIs" priority="2" operator="equal" dxfId="1">
      <formula>"NO VERIFICA FLEX."</formula>
    </cfRule>
    <cfRule type="cellIs" priority="3" operator="equal" dxfId="1">
      <formula>"NO VERIF. CORTE"</formula>
    </cfRule>
    <cfRule type="cellIs" priority="4" operator="equal" dxfId="1">
      <formula>"SECCION INSUF."</formula>
    </cfRule>
    <cfRule type="cellIs" priority="5" operator="equal" dxfId="1">
      <formula>"FALTA SECCION"</formula>
    </cfRule>
  </conditionalFormatting>
  <dataValidations count="2">
    <dataValidation sqref="C4:C34" showDropDown="0" showInputMessage="0" showErrorMessage="0" allowBlank="1" type="list">
      <formula1>=Datos_vigas!$A$19:$A$23</formula1>
    </dataValidation>
    <dataValidation sqref="O4:O34 R4:R34 U4:U34" showDropDown="0" showInputMessage="0" showErrorMessage="0" allowBlank="1" type="list">
      <formula1>"6,8,10,12,16,20,25"</formula1>
    </dataValidation>
  </dataValidations>
  <pageMargins left="0.75" right="0.75" top="1" bottom="1" header="0.5" footer="0.5"/>
  <pageSetup orientation="landscape" fitToWidth="1"/>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O14"/>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10" customWidth="1" min="1" max="1"/>
    <col width="13" customWidth="1" min="2" max="2"/>
    <col width="8" customWidth="1" min="3" max="3"/>
    <col width="7" customWidth="1" min="4" max="4"/>
    <col width="7" customWidth="1" min="5" max="5"/>
    <col width="7" customWidth="1" min="6" max="6"/>
    <col width="11" customWidth="1" min="7" max="7"/>
    <col width="11" customWidth="1" min="8" max="8"/>
    <col width="9" customWidth="1" min="9" max="9"/>
    <col width="8" customWidth="1" min="10" max="10"/>
    <col width="9" customWidth="1" min="11" max="11"/>
    <col width="11" customWidth="1" min="12" max="12"/>
    <col width="11" customWidth="1" min="13" max="13"/>
    <col width="14" customWidth="1" min="14" max="14"/>
    <col width="44" customWidth="1" min="15" max="15"/>
  </cols>
  <sheetData>
    <row r="1" ht="22" customHeight="1">
      <c r="A1" s="21" t="inlineStr">
        <is>
          <t>PILOTES Y CABEZALES  H°A°        H-21        ACERO 42/50        TODOS LOS PILOTES Ø30  h = -4,50 m</t>
        </is>
      </c>
      <c r="B1" s="2" t="n"/>
      <c r="C1" s="2" t="n"/>
      <c r="D1" s="2" t="n"/>
      <c r="E1" s="2" t="n"/>
      <c r="F1" s="2" t="n"/>
      <c r="G1" s="2" t="n"/>
      <c r="H1" s="2" t="n"/>
      <c r="I1" s="2" t="n"/>
      <c r="J1" s="2" t="n"/>
      <c r="K1" s="2" t="n"/>
      <c r="L1" s="2" t="n"/>
      <c r="M1" s="2" t="n"/>
      <c r="N1" s="2" t="n"/>
      <c r="O1" s="2" t="n"/>
    </row>
    <row r="2" ht="16" customHeight="1">
      <c r="A2" s="3" t="inlineStr">
        <is>
          <t>POSICION</t>
        </is>
      </c>
      <c r="B2" s="3" t="inlineStr">
        <is>
          <t>COLUMNA</t>
        </is>
      </c>
      <c r="C2" s="3" t="inlineStr">
        <is>
          <t>TIPO</t>
        </is>
      </c>
      <c r="D2" s="3" t="inlineStr">
        <is>
          <t>CABEZAL (cm)</t>
        </is>
      </c>
      <c r="E2" s="4" t="n"/>
      <c r="F2" s="4" t="n"/>
      <c r="G2" s="3" t="inlineStr">
        <is>
          <t>CARGA</t>
        </is>
      </c>
      <c r="H2" s="4" t="n"/>
      <c r="I2" s="3" t="inlineStr">
        <is>
          <t>PILOTES</t>
        </is>
      </c>
      <c r="J2" s="4" t="n"/>
      <c r="K2" s="4" t="n"/>
      <c r="L2" s="4" t="n"/>
      <c r="M2" s="4" t="n"/>
      <c r="N2" s="3" t="inlineStr">
        <is>
          <t>VERIFICACION</t>
        </is>
      </c>
      <c r="O2" s="3" t="inlineStr">
        <is>
          <t>OBSERVACIONES</t>
        </is>
      </c>
    </row>
    <row r="3" ht="28" customHeight="1">
      <c r="A3" s="4" t="n"/>
      <c r="B3" s="4" t="n"/>
      <c r="C3" s="4" t="n"/>
      <c r="D3" s="5" t="inlineStr">
        <is>
          <t>A</t>
        </is>
      </c>
      <c r="E3" s="5" t="inlineStr">
        <is>
          <t>B</t>
        </is>
      </c>
      <c r="F3" s="5" t="inlineStr">
        <is>
          <t>h</t>
        </is>
      </c>
      <c r="G3" s="5" t="inlineStr">
        <is>
          <t>mayorada (t)</t>
        </is>
      </c>
      <c r="H3" s="5" t="inlineStr">
        <is>
          <t>servicio (t)</t>
        </is>
      </c>
      <c r="I3" s="5" t="inlineStr">
        <is>
          <t>cantidad</t>
        </is>
      </c>
      <c r="J3" s="5" t="inlineStr">
        <is>
          <t>o (cm)</t>
        </is>
      </c>
      <c r="K3" s="5" t="inlineStr">
        <is>
          <t>long. (m)</t>
        </is>
      </c>
      <c r="L3" s="5" t="inlineStr">
        <is>
          <t>carga c/u (t)</t>
        </is>
      </c>
      <c r="M3" s="5" t="inlineStr">
        <is>
          <t>admisible (t)</t>
        </is>
      </c>
      <c r="N3" s="4" t="n"/>
      <c r="O3" s="4" t="n"/>
    </row>
    <row r="4" ht="17" customHeight="1">
      <c r="A4" s="23" t="inlineStr">
        <is>
          <t>CB1</t>
        </is>
      </c>
      <c r="B4" s="11" t="inlineStr">
        <is>
          <t>C1 (15x30)</t>
        </is>
      </c>
      <c r="C4" s="11" t="inlineStr">
        <is>
          <t>CBZ 01</t>
        </is>
      </c>
      <c r="D4" s="10" t="n">
        <v>70</v>
      </c>
      <c r="E4" s="10" t="n">
        <v>70</v>
      </c>
      <c r="F4" s="10" t="n">
        <v>65</v>
      </c>
      <c r="G4" s="8" t="n">
        <v>2.49</v>
      </c>
      <c r="H4" s="25">
        <f>IF(G4="","",G4/1.4)</f>
        <v/>
      </c>
      <c r="I4" s="10" t="n">
        <v>1</v>
      </c>
      <c r="J4" s="10" t="n">
        <v>30</v>
      </c>
      <c r="K4" s="8" t="n">
        <v>4.5</v>
      </c>
      <c r="L4" s="25">
        <f>IF(H4="","",H4/I4)</f>
        <v/>
      </c>
      <c r="M4" s="8">
        <f>Datos_pilotes!$B$4</f>
        <v/>
      </c>
      <c r="N4" s="11">
        <f>IF(L4="","FALTA CARGA",IF(L4&lt;=M4,"VERIFICA","NO VERIFICA"))</f>
        <v/>
      </c>
      <c r="O4" s="13" t="inlineStr">
        <is>
          <t>Cantidad de pilotes deducida de la dimension del cabezal: 70x70 cm. Carga tomada de la bajada de la planilla de columnas, que esta incompleta: el valor real es mayor.</t>
        </is>
      </c>
    </row>
    <row r="5" ht="17" customHeight="1">
      <c r="A5" s="23" t="inlineStr">
        <is>
          <t>CB2</t>
        </is>
      </c>
      <c r="B5" s="11" t="inlineStr">
        <is>
          <t>C2 (15x30)</t>
        </is>
      </c>
      <c r="C5" s="11" t="inlineStr">
        <is>
          <t>CBZ 01</t>
        </is>
      </c>
      <c r="D5" s="10" t="n">
        <v>70</v>
      </c>
      <c r="E5" s="10" t="n">
        <v>70</v>
      </c>
      <c r="F5" s="10" t="n">
        <v>65</v>
      </c>
      <c r="G5" s="8" t="n">
        <v>29.46</v>
      </c>
      <c r="H5" s="25">
        <f>IF(G5="","",G5/1.4)</f>
        <v/>
      </c>
      <c r="I5" s="10" t="n">
        <v>1</v>
      </c>
      <c r="J5" s="10" t="n">
        <v>30</v>
      </c>
      <c r="K5" s="8" t="n">
        <v>4.5</v>
      </c>
      <c r="L5" s="25">
        <f>IF(H5="","",H5/I5)</f>
        <v/>
      </c>
      <c r="M5" s="8">
        <f>Datos_pilotes!$B$4</f>
        <v/>
      </c>
      <c r="N5" s="11">
        <f>IF(L5="","FALTA CARGA",IF(L5&lt;=M5,"VERIFICA","NO VERIFICA"))</f>
        <v/>
      </c>
      <c r="O5" s="13" t="inlineStr">
        <is>
          <t>Cantidad de pilotes deducida de la dimension del cabezal: 70x70 cm. Carga tomada de la bajada de la planilla de columnas, que esta incompleta: el valor real es mayor.</t>
        </is>
      </c>
    </row>
    <row r="6" ht="17" customHeight="1">
      <c r="A6" s="23" t="inlineStr">
        <is>
          <t>CB3</t>
        </is>
      </c>
      <c r="B6" s="11" t="inlineStr">
        <is>
          <t>C5 (15x30)</t>
        </is>
      </c>
      <c r="C6" s="11" t="inlineStr">
        <is>
          <t>CBZ 01</t>
        </is>
      </c>
      <c r="D6" s="10" t="n">
        <v>70</v>
      </c>
      <c r="E6" s="10" t="n">
        <v>70</v>
      </c>
      <c r="F6" s="10" t="n">
        <v>65</v>
      </c>
      <c r="G6" s="8" t="n">
        <v>15.96</v>
      </c>
      <c r="H6" s="25">
        <f>IF(G6="","",G6/1.4)</f>
        <v/>
      </c>
      <c r="I6" s="10" t="n">
        <v>1</v>
      </c>
      <c r="J6" s="10" t="n">
        <v>30</v>
      </c>
      <c r="K6" s="8" t="n">
        <v>4.5</v>
      </c>
      <c r="L6" s="25">
        <f>IF(H6="","",H6/I6)</f>
        <v/>
      </c>
      <c r="M6" s="8">
        <f>Datos_pilotes!$B$4</f>
        <v/>
      </c>
      <c r="N6" s="11">
        <f>IF(L6="","FALTA CARGA",IF(L6&lt;=M6,"VERIFICA","NO VERIFICA"))</f>
        <v/>
      </c>
      <c r="O6" s="13" t="inlineStr">
        <is>
          <t>Cantidad de pilotes deducida de la dimension del cabezal: 70x70 cm. Carga tomada de la bajada de la planilla de columnas, que esta incompleta: el valor real es mayor.</t>
        </is>
      </c>
    </row>
    <row r="7" ht="17" customHeight="1">
      <c r="A7" s="23" t="inlineStr">
        <is>
          <t>CB4</t>
        </is>
      </c>
      <c r="B7" s="11" t="inlineStr">
        <is>
          <t>C3 (30x15)</t>
        </is>
      </c>
      <c r="C7" s="11" t="inlineStr">
        <is>
          <t>CBZ 01</t>
        </is>
      </c>
      <c r="D7" s="10" t="n">
        <v>70</v>
      </c>
      <c r="E7" s="10" t="n">
        <v>70</v>
      </c>
      <c r="F7" s="10" t="n">
        <v>65</v>
      </c>
      <c r="G7" s="8" t="n">
        <v>10.6</v>
      </c>
      <c r="H7" s="25">
        <f>IF(G7="","",G7/1.4)</f>
        <v/>
      </c>
      <c r="I7" s="10" t="n">
        <v>1</v>
      </c>
      <c r="J7" s="10" t="n">
        <v>30</v>
      </c>
      <c r="K7" s="8" t="n">
        <v>4.5</v>
      </c>
      <c r="L7" s="25">
        <f>IF(H7="","",H7/I7)</f>
        <v/>
      </c>
      <c r="M7" s="8">
        <f>Datos_pilotes!$B$4</f>
        <v/>
      </c>
      <c r="N7" s="11">
        <f>IF(L7="","FALTA CARGA",IF(L7&lt;=M7,"VERIFICA","NO VERIFICA"))</f>
        <v/>
      </c>
      <c r="O7" s="13" t="inlineStr">
        <is>
          <t>Cantidad de pilotes deducida de la dimension del cabezal: 70x70 cm. Carga tomada de la bajada de la planilla de columnas, que esta incompleta: el valor real es mayor.</t>
        </is>
      </c>
    </row>
    <row r="8" ht="17" customHeight="1">
      <c r="A8" s="23" t="inlineStr">
        <is>
          <t>CB5</t>
        </is>
      </c>
      <c r="B8" s="11" t="inlineStr">
        <is>
          <t>C4 (10x10)</t>
        </is>
      </c>
      <c r="C8" s="11" t="inlineStr">
        <is>
          <t>CBZ 01</t>
        </is>
      </c>
      <c r="D8" s="10" t="n">
        <v>70</v>
      </c>
      <c r="E8" s="10" t="n">
        <v>70</v>
      </c>
      <c r="F8" s="10" t="n">
        <v>65</v>
      </c>
      <c r="G8" s="8" t="n">
        <v>10.28</v>
      </c>
      <c r="H8" s="25">
        <f>IF(G8="","",G8/1.4)</f>
        <v/>
      </c>
      <c r="I8" s="10" t="n">
        <v>1</v>
      </c>
      <c r="J8" s="10" t="n">
        <v>30</v>
      </c>
      <c r="K8" s="8" t="n">
        <v>4.5</v>
      </c>
      <c r="L8" s="25">
        <f>IF(H8="","",H8/I8)</f>
        <v/>
      </c>
      <c r="M8" s="8">
        <f>Datos_pilotes!$B$4</f>
        <v/>
      </c>
      <c r="N8" s="11">
        <f>IF(L8="","FALTA CARGA",IF(L8&lt;=M8,"VERIFICA","NO VERIFICA"))</f>
        <v/>
      </c>
      <c r="O8" s="13" t="inlineStr">
        <is>
          <t>Cantidad de pilotes deducida de la dimension del cabezal: 70x70 cm. Carga tomada de la bajada de la planilla de columnas, que esta incompleta: el valor real es mayor.</t>
        </is>
      </c>
    </row>
    <row r="9" ht="17" customHeight="1">
      <c r="A9" s="23" t="inlineStr">
        <is>
          <t>CB6</t>
        </is>
      </c>
      <c r="B9" s="11" t="inlineStr">
        <is>
          <t>C6 (20x20)</t>
        </is>
      </c>
      <c r="C9" s="11" t="inlineStr">
        <is>
          <t>CBZ 03</t>
        </is>
      </c>
      <c r="D9" s="10" t="n">
        <v>144</v>
      </c>
      <c r="E9" s="10" t="n">
        <v>70</v>
      </c>
      <c r="F9" s="10" t="n">
        <v>70</v>
      </c>
      <c r="G9" s="8" t="n">
        <v>32.1</v>
      </c>
      <c r="H9" s="25">
        <f>IF(G9="","",G9/1.4)</f>
        <v/>
      </c>
      <c r="I9" s="10" t="n">
        <v>2</v>
      </c>
      <c r="J9" s="10" t="n">
        <v>30</v>
      </c>
      <c r="K9" s="8" t="n">
        <v>4.5</v>
      </c>
      <c r="L9" s="25">
        <f>IF(H9="","",H9/I9)</f>
        <v/>
      </c>
      <c r="M9" s="8">
        <f>Datos_pilotes!$B$4</f>
        <v/>
      </c>
      <c r="N9" s="11">
        <f>IF(L9="","FALTA CARGA",IF(L9&lt;=M9,"VERIFICA","NO VERIFICA"))</f>
        <v/>
      </c>
      <c r="O9" s="13" t="inlineStr">
        <is>
          <t>Cantidad de pilotes deducida de la dimension del cabezal: 144x70 cm. Carga tomada de la bajada de la planilla de columnas, que esta incompleta: el valor real es mayor.</t>
        </is>
      </c>
    </row>
    <row r="10" ht="17" customHeight="1">
      <c r="A10" s="23" t="inlineStr">
        <is>
          <t>CB7</t>
        </is>
      </c>
      <c r="B10" s="11" t="inlineStr">
        <is>
          <t>C7 (30x15)</t>
        </is>
      </c>
      <c r="C10" s="11" t="inlineStr">
        <is>
          <t>CBZ 02</t>
        </is>
      </c>
      <c r="D10" s="10" t="n">
        <v>129</v>
      </c>
      <c r="E10" s="10" t="n">
        <v>70</v>
      </c>
      <c r="F10" s="10" t="n">
        <v>70</v>
      </c>
      <c r="G10" s="8" t="n">
        <v>37.78</v>
      </c>
      <c r="H10" s="25">
        <f>IF(G10="","",G10/1.4)</f>
        <v/>
      </c>
      <c r="I10" s="10" t="n">
        <v>2</v>
      </c>
      <c r="J10" s="10" t="n">
        <v>30</v>
      </c>
      <c r="K10" s="8" t="n">
        <v>4.5</v>
      </c>
      <c r="L10" s="25">
        <f>IF(H10="","",H10/I10)</f>
        <v/>
      </c>
      <c r="M10" s="8">
        <f>Datos_pilotes!$B$4</f>
        <v/>
      </c>
      <c r="N10" s="11">
        <f>IF(L10="","FALTA CARGA",IF(L10&lt;=M10,"VERIFICA","NO VERIFICA"))</f>
        <v/>
      </c>
      <c r="O10" s="13" t="inlineStr">
        <is>
          <t>Cantidad de pilotes deducida de la dimension del cabezal: 129x70 cm. El computo metrico declara un solo CBZ02 y en el plano aparecen dos rotulos. Verificar cual corresponde. Carga tomada de la bajada de la planilla de columnas, que esta incompleta: el valor real es mayor.</t>
        </is>
      </c>
    </row>
    <row r="11" ht="17" customHeight="1">
      <c r="A11" s="23" t="inlineStr">
        <is>
          <t>CB8</t>
        </is>
      </c>
      <c r="B11" s="11" t="inlineStr">
        <is>
          <t>C9 (15x30)</t>
        </is>
      </c>
      <c r="C11" s="11" t="inlineStr">
        <is>
          <t>CBZ 03</t>
        </is>
      </c>
      <c r="D11" s="10" t="n">
        <v>144</v>
      </c>
      <c r="E11" s="10" t="n">
        <v>70</v>
      </c>
      <c r="F11" s="10" t="n">
        <v>70</v>
      </c>
      <c r="G11" s="8" t="n">
        <v>54.93</v>
      </c>
      <c r="H11" s="25">
        <f>IF(G11="","",G11/1.4)</f>
        <v/>
      </c>
      <c r="I11" s="10" t="n">
        <v>2</v>
      </c>
      <c r="J11" s="10" t="n">
        <v>30</v>
      </c>
      <c r="K11" s="8" t="n">
        <v>4.5</v>
      </c>
      <c r="L11" s="25">
        <f>IF(H11="","",H11/I11)</f>
        <v/>
      </c>
      <c r="M11" s="8">
        <f>Datos_pilotes!$B$4</f>
        <v/>
      </c>
      <c r="N11" s="11">
        <f>IF(L11="","FALTA CARGA",IF(L11&lt;=M11,"VERIFICA","NO VERIFICA"))</f>
        <v/>
      </c>
      <c r="O11" s="13" t="inlineStr">
        <is>
          <t>Cantidad de pilotes deducida de la dimension del cabezal: 144x70 cm. Carga tomada de la bajada de la planilla de columnas, que esta incompleta: el valor real es mayor.</t>
        </is>
      </c>
    </row>
    <row r="12" ht="17" customHeight="1">
      <c r="A12" s="28" t="inlineStr">
        <is>
          <t>CB9</t>
        </is>
      </c>
      <c r="B12" s="18" t="inlineStr">
        <is>
          <t>C8 (15x30)</t>
        </is>
      </c>
      <c r="C12" s="18" t="inlineStr">
        <is>
          <t>CBZ 02</t>
        </is>
      </c>
      <c r="D12" s="17" t="n">
        <v>129</v>
      </c>
      <c r="E12" s="17" t="n">
        <v>70</v>
      </c>
      <c r="F12" s="17" t="n">
        <v>70</v>
      </c>
      <c r="G12" s="15" t="n">
        <v>42.67</v>
      </c>
      <c r="H12" s="30">
        <f>IF(G12="","",G12/1.4)</f>
        <v/>
      </c>
      <c r="I12" s="17" t="n">
        <v>2</v>
      </c>
      <c r="J12" s="17" t="n">
        <v>30</v>
      </c>
      <c r="K12" s="15" t="n">
        <v>4.5</v>
      </c>
      <c r="L12" s="30">
        <f>IF(H12="","",H12/I12)</f>
        <v/>
      </c>
      <c r="M12" s="15">
        <f>Datos_pilotes!$B$4</f>
        <v/>
      </c>
      <c r="N12" s="18">
        <f>IF(L12="","FALTA CARGA",IF(L12&lt;=M12,"VERIFICA","NO VERIFICA"))</f>
        <v/>
      </c>
      <c r="O12" s="20" t="inlineStr">
        <is>
          <t>Cantidad de pilotes deducida de la dimension del cabezal: 129x70 cm. El computo metrico declara un solo CBZ02 y en el plano aparecen dos rotulos. Verificar cual corresponde. Carga tomada de la bajada de la planilla de columnas, que esta incompleta: el valor real es mayor.</t>
        </is>
      </c>
    </row>
    <row r="13">
      <c r="A13" s="2" t="n"/>
      <c r="B13" s="2" t="n"/>
      <c r="C13" s="2" t="n"/>
      <c r="D13" s="2" t="n"/>
      <c r="E13" s="2" t="n"/>
      <c r="F13" s="2" t="n"/>
      <c r="G13" s="2" t="n"/>
      <c r="H13" s="2" t="n"/>
      <c r="I13" s="2" t="n"/>
      <c r="J13" s="2" t="n"/>
      <c r="K13" s="2" t="n"/>
      <c r="L13" s="2" t="n"/>
      <c r="M13" s="2" t="n"/>
      <c r="N13" s="2" t="n"/>
      <c r="O13" s="2" t="n"/>
    </row>
    <row r="14">
      <c r="A14" s="41" t="inlineStr">
        <is>
          <t>Los 33 pilotes del plano: 13 bajo cabezales de columna (los de esta tabla) y 20 repartidos bajo las vigas de fundacion.</t>
        </is>
      </c>
      <c r="B14" s="2" t="n"/>
      <c r="C14" s="2" t="n"/>
      <c r="D14" s="2" t="n"/>
      <c r="E14" s="2" t="n"/>
      <c r="F14" s="2" t="n"/>
      <c r="G14" s="2" t="n"/>
      <c r="H14" s="2" t="n"/>
      <c r="I14" s="2" t="n"/>
      <c r="J14" s="2" t="n"/>
      <c r="K14" s="2" t="n"/>
      <c r="L14" s="2" t="n"/>
      <c r="M14" s="2" t="n"/>
      <c r="N14" s="2" t="n"/>
      <c r="O14" s="2" t="n"/>
    </row>
  </sheetData>
  <mergeCells count="9">
    <mergeCell ref="D2:F2"/>
    <mergeCell ref="G2:H2"/>
    <mergeCell ref="I2:M2"/>
    <mergeCell ref="A1:O1"/>
    <mergeCell ref="O2:O3"/>
    <mergeCell ref="B2:B3"/>
    <mergeCell ref="A2:A3"/>
    <mergeCell ref="N2:N3"/>
    <mergeCell ref="C2:C3"/>
  </mergeCells>
  <conditionalFormatting sqref="N4:N12">
    <cfRule type="cellIs" priority="1" operator="equal" dxfId="0">
      <formula>"VERIFICA"</formula>
    </cfRule>
    <cfRule type="cellIs" priority="2" operator="equal" dxfId="1">
      <formula>"NO VERIFICA"</formula>
    </cfRule>
    <cfRule type="cellIs" priority="3" operator="equal" dxfId="1">
      <formula>"FALTA CARGA"</formula>
    </cfRule>
  </conditionalFormatting>
  <pageMargins left="0.75" right="0.75" top="1" bottom="1" header="0.5" footer="0.5"/>
  <pageSetup orientation="landscape" fitToWidth="1"/>
</worksheet>
</file>

<file path=xl/worksheets/sheet7.xml><?xml version="1.0" encoding="utf-8"?>
<worksheet xmlns="http://schemas.openxmlformats.org/spreadsheetml/2006/main">
  <sheetPr>
    <outlinePr summaryBelow="1" summaryRight="1"/>
    <pageSetUpPr fitToPage="1"/>
  </sheetPr>
  <dimension ref="A1:Q24"/>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10" customWidth="1" min="3" max="3"/>
    <col width="10" customWidth="1" min="4" max="4"/>
    <col width="8" customWidth="1" min="5" max="5"/>
    <col width="8" customWidth="1" min="6" max="6"/>
    <col width="8" customWidth="1" min="7" max="7"/>
    <col width="6" customWidth="1" min="8" max="8"/>
    <col width="11" customWidth="1" min="9" max="9"/>
    <col width="8" customWidth="1" min="10" max="10"/>
    <col width="6" customWidth="1" min="11" max="11"/>
    <col width="11" customWidth="1" min="12" max="12"/>
    <col width="10" customWidth="1" min="13" max="13"/>
    <col width="12" customWidth="1" min="14" max="14"/>
    <col width="10" customWidth="1" min="15" max="15"/>
    <col width="13" customWidth="1" min="16" max="16"/>
    <col width="44" customWidth="1" min="17" max="17"/>
  </cols>
  <sheetData>
    <row r="1" ht="22" customHeight="1">
      <c r="A1" s="1" t="inlineStr">
        <is>
          <t>TABIQUES  H°A°        H-21        ACERO III        espesor 12 cm</t>
        </is>
      </c>
      <c r="B1" s="2" t="n"/>
      <c r="C1" s="2" t="n"/>
      <c r="D1" s="2" t="n"/>
      <c r="E1" s="2" t="n"/>
      <c r="F1" s="2" t="n"/>
      <c r="G1" s="2" t="n"/>
      <c r="H1" s="2" t="n"/>
      <c r="I1" s="2" t="n"/>
      <c r="J1" s="2" t="n"/>
      <c r="K1" s="2" t="n"/>
      <c r="L1" s="2" t="n"/>
      <c r="M1" s="2" t="n"/>
      <c r="N1" s="2" t="n"/>
      <c r="O1" s="2" t="n"/>
      <c r="P1" s="2" t="n"/>
      <c r="Q1" s="2" t="n"/>
    </row>
    <row r="2" ht="16" customHeight="1">
      <c r="A2" s="3" t="inlineStr">
        <is>
          <t>NIVEL</t>
        </is>
      </c>
      <c r="B2" s="3" t="inlineStr">
        <is>
          <t>POSICION</t>
        </is>
      </c>
      <c r="C2" s="3" t="inlineStr">
        <is>
          <t>CARGA (t)</t>
        </is>
      </c>
      <c r="D2" s="3" t="inlineStr">
        <is>
          <t>ALTURA (m)</t>
        </is>
      </c>
      <c r="E2" s="3" t="inlineStr">
        <is>
          <t>DIMENSIONES (cm)</t>
        </is>
      </c>
      <c r="F2" s="4" t="n"/>
      <c r="G2" s="3" t="inlineStr">
        <is>
          <t>ARMADURA VERTICAL</t>
        </is>
      </c>
      <c r="H2" s="4" t="n"/>
      <c r="I2" s="4" t="n"/>
      <c r="J2" s="3" t="inlineStr">
        <is>
          <t>ARMADURA HORIZONTAL</t>
        </is>
      </c>
      <c r="K2" s="4" t="n"/>
      <c r="L2" s="4" t="n"/>
      <c r="M2" s="3" t="inlineStr">
        <is>
          <t>VERIFICACION</t>
        </is>
      </c>
      <c r="N2" s="4" t="n"/>
      <c r="O2" s="4" t="n"/>
      <c r="P2" s="4" t="n"/>
      <c r="Q2" s="3" t="inlineStr">
        <is>
          <t>OBSERVACIONES</t>
        </is>
      </c>
    </row>
    <row r="3" ht="28" customHeight="1">
      <c r="A3" s="4" t="n"/>
      <c r="B3" s="4" t="n"/>
      <c r="C3" s="4" t="n"/>
      <c r="D3" s="4" t="n"/>
      <c r="E3" s="5" t="inlineStr">
        <is>
          <t>A</t>
        </is>
      </c>
      <c r="F3" s="5" t="inlineStr">
        <is>
          <t>B</t>
        </is>
      </c>
      <c r="G3" s="5" t="inlineStr">
        <is>
          <t>cm2</t>
        </is>
      </c>
      <c r="H3" s="5" t="inlineStr">
        <is>
          <t>o</t>
        </is>
      </c>
      <c r="I3" s="5" t="inlineStr">
        <is>
          <t>separacion</t>
        </is>
      </c>
      <c r="J3" s="5" t="inlineStr">
        <is>
          <t>cm2</t>
        </is>
      </c>
      <c r="K3" s="5" t="inlineStr">
        <is>
          <t>o</t>
        </is>
      </c>
      <c r="L3" s="5" t="inlineStr">
        <is>
          <t>separacion</t>
        </is>
      </c>
      <c r="M3" s="5" t="inlineStr">
        <is>
          <t>area (cm2)</t>
        </is>
      </c>
      <c r="N3" s="5" t="inlineStr">
        <is>
          <t>sigma (kg/cm2)</t>
        </is>
      </c>
      <c r="O3" s="5" t="inlineStr">
        <is>
          <t>fi Pn (t)</t>
        </is>
      </c>
      <c r="P3" s="5" t="inlineStr">
        <is>
          <t>resultado</t>
        </is>
      </c>
      <c r="Q3" s="4" t="n"/>
    </row>
    <row r="4" ht="17" customHeight="1">
      <c r="A4" s="22" t="inlineStr">
        <is>
          <t>PB</t>
        </is>
      </c>
      <c r="B4" s="23" t="inlineStr">
        <is>
          <t>T1</t>
        </is>
      </c>
      <c r="C4" s="8" t="n">
        <v>9</v>
      </c>
      <c r="D4" s="8" t="n">
        <v>3.15</v>
      </c>
      <c r="E4" s="10" t="n">
        <v>365</v>
      </c>
      <c r="F4" s="10" t="n">
        <v>87</v>
      </c>
      <c r="G4" s="25">
        <f>2*(100/I4)*PI()*(H4/10)^2/4</f>
        <v/>
      </c>
      <c r="H4" s="10" t="n">
        <v>8</v>
      </c>
      <c r="I4" s="10" t="n">
        <v>20</v>
      </c>
      <c r="J4" s="25">
        <f>(100/L4)*PI()*(K4/10)^2/4</f>
        <v/>
      </c>
      <c r="K4" s="10" t="n">
        <v>8</v>
      </c>
      <c r="L4" s="10" t="n">
        <v>20</v>
      </c>
      <c r="M4" s="38">
        <f>IF(F4&lt;=12,E4*F4,(E4+F4-12)*12)</f>
        <v/>
      </c>
      <c r="N4" s="9">
        <f>IF(C4="","",C4*1000/M4)</f>
        <v/>
      </c>
      <c r="O4" s="9">
        <f>0.55*0.65*Datos_vigas!$B$5*M4*MAX(0,1-(D4*100/(32*12))^2)/1000</f>
        <v/>
      </c>
      <c r="P4" s="11">
        <f>IF(C4="","FALTA CARGA",IF(C4&lt;=O4,"VERIFICA","NO VERIFICA"))</f>
        <v/>
      </c>
      <c r="Q4" s="11" t="inlineStr"/>
    </row>
    <row r="5" ht="17" customHeight="1">
      <c r="A5" s="26" t="n"/>
      <c r="B5" s="23" t="inlineStr">
        <is>
          <t>T2</t>
        </is>
      </c>
      <c r="C5" s="8" t="n">
        <v>6</v>
      </c>
      <c r="D5" s="8" t="n">
        <v>3.15</v>
      </c>
      <c r="E5" s="10" t="n">
        <v>420</v>
      </c>
      <c r="F5" s="10" t="n">
        <v>85</v>
      </c>
      <c r="G5" s="25">
        <f>2*(100/I5)*PI()*(H5/10)^2/4</f>
        <v/>
      </c>
      <c r="H5" s="10" t="n">
        <v>8</v>
      </c>
      <c r="I5" s="10" t="n">
        <v>20</v>
      </c>
      <c r="J5" s="25">
        <f>(100/L5)*PI()*(K5/10)^2/4</f>
        <v/>
      </c>
      <c r="K5" s="10" t="n">
        <v>8</v>
      </c>
      <c r="L5" s="10" t="n">
        <v>20</v>
      </c>
      <c r="M5" s="38">
        <f>IF(F5&lt;=12,E5*F5,(E5+F5-12)*12)</f>
        <v/>
      </c>
      <c r="N5" s="9">
        <f>IF(C5="","",C5*1000/M5)</f>
        <v/>
      </c>
      <c r="O5" s="9">
        <f>0.55*0.65*Datos_vigas!$B$5*M5*MAX(0,1-(D5*100/(32*12))^2)/1000</f>
        <v/>
      </c>
      <c r="P5" s="11">
        <f>IF(C5="","FALTA CARGA",IF(C5&lt;=O5,"VERIFICA","NO VERIFICA"))</f>
        <v/>
      </c>
      <c r="Q5" s="11" t="inlineStr"/>
    </row>
    <row r="6" ht="17" customHeight="1">
      <c r="A6" s="26" t="n"/>
      <c r="B6" s="23" t="inlineStr">
        <is>
          <t>T3</t>
        </is>
      </c>
      <c r="C6" s="8" t="n">
        <v>5</v>
      </c>
      <c r="D6" s="8" t="n">
        <v>3.15</v>
      </c>
      <c r="E6" s="10" t="n">
        <v>80</v>
      </c>
      <c r="F6" s="10" t="n">
        <v>12</v>
      </c>
      <c r="G6" s="25">
        <f>2*(100/I6)*PI()*(H6/10)^2/4</f>
        <v/>
      </c>
      <c r="H6" s="10" t="n">
        <v>8</v>
      </c>
      <c r="I6" s="10" t="n">
        <v>20</v>
      </c>
      <c r="J6" s="25">
        <f>(100/L6)*PI()*(K6/10)^2/4</f>
        <v/>
      </c>
      <c r="K6" s="10" t="n">
        <v>8</v>
      </c>
      <c r="L6" s="10" t="n">
        <v>20</v>
      </c>
      <c r="M6" s="38">
        <f>IF(F6&lt;=12,E6*F6,(E6+F6-12)*12)</f>
        <v/>
      </c>
      <c r="N6" s="9">
        <f>IF(C6="","",C6*1000/M6)</f>
        <v/>
      </c>
      <c r="O6" s="9">
        <f>0.55*0.65*Datos_vigas!$B$5*M6*MAX(0,1-(D6*100/(32*12))^2)/1000</f>
        <v/>
      </c>
      <c r="P6" s="11">
        <f>IF(C6="","FALTA CARGA",IF(C6&lt;=O6,"VERIFICA","NO VERIFICA"))</f>
        <v/>
      </c>
      <c r="Q6" s="13" t="inlineStr">
        <is>
          <t>Tabique recto: B = 12 cm es el espesor.</t>
        </is>
      </c>
    </row>
    <row r="7" ht="17" customHeight="1">
      <c r="A7" s="26" t="n"/>
      <c r="B7" s="23" t="inlineStr">
        <is>
          <t>T4</t>
        </is>
      </c>
      <c r="C7" s="8" t="n">
        <v>5</v>
      </c>
      <c r="D7" s="8" t="n">
        <v>3.15</v>
      </c>
      <c r="E7" s="10" t="n">
        <v>355</v>
      </c>
      <c r="F7" s="10" t="n">
        <v>12</v>
      </c>
      <c r="G7" s="25">
        <f>2*(100/I7)*PI()*(H7/10)^2/4</f>
        <v/>
      </c>
      <c r="H7" s="10" t="n">
        <v>8</v>
      </c>
      <c r="I7" s="10" t="n">
        <v>20</v>
      </c>
      <c r="J7" s="25">
        <f>(100/L7)*PI()*(K7/10)^2/4</f>
        <v/>
      </c>
      <c r="K7" s="10" t="n">
        <v>8</v>
      </c>
      <c r="L7" s="10" t="n">
        <v>20</v>
      </c>
      <c r="M7" s="38">
        <f>IF(F7&lt;=12,E7*F7,(E7+F7-12)*12)</f>
        <v/>
      </c>
      <c r="N7" s="9">
        <f>IF(C7="","",C7*1000/M7)</f>
        <v/>
      </c>
      <c r="O7" s="9">
        <f>0.55*0.65*Datos_vigas!$B$5*M7*MAX(0,1-(D7*100/(32*12))^2)/1000</f>
        <v/>
      </c>
      <c r="P7" s="11">
        <f>IF(C7="","FALTA CARGA",IF(C7&lt;=O7,"VERIFICA","NO VERIFICA"))</f>
        <v/>
      </c>
      <c r="Q7" s="13" t="inlineStr">
        <is>
          <t>Tabique recto: B = 12 cm es el espesor.</t>
        </is>
      </c>
    </row>
    <row r="8" ht="17" customHeight="1">
      <c r="A8" s="26" t="n"/>
      <c r="B8" s="23" t="inlineStr">
        <is>
          <t>T5</t>
        </is>
      </c>
      <c r="C8" s="8" t="n">
        <v>11</v>
      </c>
      <c r="D8" s="8" t="n">
        <v>3.15</v>
      </c>
      <c r="E8" s="10" t="n">
        <v>400</v>
      </c>
      <c r="F8" s="10" t="n">
        <v>300</v>
      </c>
      <c r="G8" s="25">
        <f>2*(100/I8)*PI()*(H8/10)^2/4</f>
        <v/>
      </c>
      <c r="H8" s="10" t="n">
        <v>8</v>
      </c>
      <c r="I8" s="10" t="n">
        <v>20</v>
      </c>
      <c r="J8" s="25">
        <f>(100/L8)*PI()*(K8/10)^2/4</f>
        <v/>
      </c>
      <c r="K8" s="10" t="n">
        <v>8</v>
      </c>
      <c r="L8" s="10" t="n">
        <v>20</v>
      </c>
      <c r="M8" s="38">
        <f>IF(F8&lt;=12,E8*F8,(E8+F8-12)*12)</f>
        <v/>
      </c>
      <c r="N8" s="9">
        <f>IF(C8="","",C8*1000/M8)</f>
        <v/>
      </c>
      <c r="O8" s="9">
        <f>0.55*0.65*Datos_vigas!$B$5*M8*MAX(0,1-(D8*100/(32*12))^2)/1000</f>
        <v/>
      </c>
      <c r="P8" s="11">
        <f>IF(C8="","FALTA CARGA",IF(C8&lt;=O8,"VERIFICA","NO VERIFICA"))</f>
        <v/>
      </c>
      <c r="Q8" s="13" t="inlineStr">
        <is>
          <t>Si corresponde al T05b del plano, recibe el extremo de VI 07c, cuya reaccion da 18,1 t de servicio en mi bajada contra los 11 t de la catedra. Verificar.</t>
        </is>
      </c>
    </row>
    <row r="9" ht="17" customHeight="1">
      <c r="A9" s="26" t="n"/>
      <c r="B9" s="23" t="inlineStr">
        <is>
          <t>T6</t>
        </is>
      </c>
      <c r="C9" s="8" t="n">
        <v>6</v>
      </c>
      <c r="D9" s="8" t="n">
        <v>3.15</v>
      </c>
      <c r="E9" s="10" t="n">
        <v>270</v>
      </c>
      <c r="F9" s="10" t="n">
        <v>90</v>
      </c>
      <c r="G9" s="25">
        <f>2*(100/I9)*PI()*(H9/10)^2/4</f>
        <v/>
      </c>
      <c r="H9" s="10" t="n">
        <v>8</v>
      </c>
      <c r="I9" s="10" t="n">
        <v>20</v>
      </c>
      <c r="J9" s="25">
        <f>(100/L9)*PI()*(K9/10)^2/4</f>
        <v/>
      </c>
      <c r="K9" s="10" t="n">
        <v>8</v>
      </c>
      <c r="L9" s="10" t="n">
        <v>20</v>
      </c>
      <c r="M9" s="38">
        <f>IF(F9&lt;=12,E9*F9,(E9+F9-12)*12)</f>
        <v/>
      </c>
      <c r="N9" s="9">
        <f>IF(C9="","",C9*1000/M9)</f>
        <v/>
      </c>
      <c r="O9" s="9">
        <f>0.55*0.65*Datos_vigas!$B$5*M9*MAX(0,1-(D9*100/(32*12))^2)/1000</f>
        <v/>
      </c>
      <c r="P9" s="11">
        <f>IF(C9="","FALTA CARGA",IF(C9&lt;=O9,"VERIFICA","NO VERIFICA"))</f>
        <v/>
      </c>
      <c r="Q9" s="11" t="inlineStr"/>
    </row>
    <row r="10" ht="17" customHeight="1">
      <c r="A10" s="26" t="n"/>
      <c r="B10" s="23" t="inlineStr">
        <is>
          <t>T7</t>
        </is>
      </c>
      <c r="C10" s="8" t="n">
        <v>22.43</v>
      </c>
      <c r="D10" s="8" t="n">
        <v>3.15</v>
      </c>
      <c r="E10" s="10" t="n">
        <v>98</v>
      </c>
      <c r="F10" s="10" t="n">
        <v>12</v>
      </c>
      <c r="G10" s="25">
        <f>2*(100/I10)*PI()*(H10/10)^2/4</f>
        <v/>
      </c>
      <c r="H10" s="10" t="n">
        <v>8</v>
      </c>
      <c r="I10" s="10" t="n">
        <v>20</v>
      </c>
      <c r="J10" s="25">
        <f>(100/L10)*PI()*(K10/10)^2/4</f>
        <v/>
      </c>
      <c r="K10" s="10" t="n">
        <v>8</v>
      </c>
      <c r="L10" s="10" t="n">
        <v>20</v>
      </c>
      <c r="M10" s="38">
        <f>IF(F10&lt;=12,E10*F10,(E10+F10-12)*12)</f>
        <v/>
      </c>
      <c r="N10" s="9">
        <f>IF(C10="","",C10*1000/M10)</f>
        <v/>
      </c>
      <c r="O10" s="9">
        <f>0.55*0.65*Datos_vigas!$B$5*M10*MAX(0,1-(D10*100/(32*12))^2)/1000</f>
        <v/>
      </c>
      <c r="P10" s="11">
        <f>IF(C10="","FALTA CARGA",IF(C10&lt;=O10,"VERIFICA","NO VERIFICA"))</f>
        <v/>
      </c>
      <c r="Q10" s="13" t="inlineStr">
        <is>
          <t>Recibe los extremos de VI 02 (21,12 t) y de VI 17 (1,31 t). Cargas MAYORADAS, no comparables sin mas con las de T1 a T6. Es el tabique mas exigido del conjunto.</t>
        </is>
      </c>
    </row>
    <row r="11" ht="17" customHeight="1">
      <c r="A11" s="27" t="n"/>
      <c r="B11" s="28" t="inlineStr">
        <is>
          <t>T8</t>
        </is>
      </c>
      <c r="C11" s="15" t="n">
        <v>13.78</v>
      </c>
      <c r="D11" s="15" t="n">
        <v>3.15</v>
      </c>
      <c r="E11" s="17" t="n">
        <v>290</v>
      </c>
      <c r="F11" s="17" t="n">
        <v>12</v>
      </c>
      <c r="G11" s="30">
        <f>2*(100/I11)*PI()*(H11/10)^2/4</f>
        <v/>
      </c>
      <c r="H11" s="17" t="n">
        <v>8</v>
      </c>
      <c r="I11" s="17" t="n">
        <v>20</v>
      </c>
      <c r="J11" s="30">
        <f>(100/L11)*PI()*(K11/10)^2/4</f>
        <v/>
      </c>
      <c r="K11" s="17" t="n">
        <v>8</v>
      </c>
      <c r="L11" s="17" t="n">
        <v>20</v>
      </c>
      <c r="M11" s="40">
        <f>IF(F11&lt;=12,E11*F11,(E11+F11-12)*12)</f>
        <v/>
      </c>
      <c r="N11" s="16">
        <f>IF(C11="","",C11*1000/M11)</f>
        <v/>
      </c>
      <c r="O11" s="16">
        <f>0.55*0.65*Datos_vigas!$B$5*M11*MAX(0,1-(D11*100/(32*12))^2)/1000</f>
        <v/>
      </c>
      <c r="P11" s="18">
        <f>IF(C11="","FALTA CARGA",IF(C11&lt;=O11,"VERIFICA","NO VERIFICA"))</f>
        <v/>
      </c>
      <c r="Q11" s="20" t="inlineStr">
        <is>
          <t>Carga tomada de la reaccion de VI 11a en la planilla de vigas, MAYORADA.</t>
        </is>
      </c>
    </row>
    <row r="12" ht="17" customHeight="1">
      <c r="A12" s="22" t="inlineStr">
        <is>
          <t>PA</t>
        </is>
      </c>
      <c r="B12" s="23" t="inlineStr">
        <is>
          <t>T9</t>
        </is>
      </c>
      <c r="C12" s="8" t="n">
        <v>6.96</v>
      </c>
      <c r="D12" s="8" t="n">
        <v>3.2</v>
      </c>
      <c r="E12" s="10" t="n">
        <v>375</v>
      </c>
      <c r="F12" s="10" t="n">
        <v>12</v>
      </c>
      <c r="G12" s="25">
        <f>2*(100/I12)*PI()*(H12/10)^2/4</f>
        <v/>
      </c>
      <c r="H12" s="10" t="n">
        <v>8</v>
      </c>
      <c r="I12" s="10" t="n">
        <v>20</v>
      </c>
      <c r="J12" s="25">
        <f>(100/L12)*PI()*(K12/10)^2/4</f>
        <v/>
      </c>
      <c r="K12" s="10" t="n">
        <v>8</v>
      </c>
      <c r="L12" s="10" t="n">
        <v>20</v>
      </c>
      <c r="M12" s="38">
        <f>IF(F12&lt;=12,E12*F12,(E12+F12-12)*12)</f>
        <v/>
      </c>
      <c r="N12" s="9">
        <f>IF(C12="","",C12*1000/M12)</f>
        <v/>
      </c>
      <c r="O12" s="9">
        <f>0.55*0.65*Datos_vigas!$B$5*M12*MAX(0,1-(D12*100/(32*12))^2)/1000</f>
        <v/>
      </c>
      <c r="P12" s="11">
        <f>IF(C12="","FALTA CARGA",IF(C12&lt;=O12,"VERIFICA","NO VERIFICA"))</f>
        <v/>
      </c>
      <c r="Q12" s="13" t="inlineStr">
        <is>
          <t>Recibe el extremo de VI 14. Carga mayorada.</t>
        </is>
      </c>
    </row>
    <row r="13" ht="17" customHeight="1">
      <c r="A13" s="26" t="n"/>
      <c r="B13" s="23" t="inlineStr">
        <is>
          <t>T10</t>
        </is>
      </c>
      <c r="C13" s="8" t="n">
        <v>13.38</v>
      </c>
      <c r="D13" s="8" t="n">
        <v>2.6</v>
      </c>
      <c r="E13" s="10" t="n">
        <v>170</v>
      </c>
      <c r="F13" s="10" t="n">
        <v>12</v>
      </c>
      <c r="G13" s="25">
        <f>2*(100/I13)*PI()*(H13/10)^2/4</f>
        <v/>
      </c>
      <c r="H13" s="10" t="n">
        <v>8</v>
      </c>
      <c r="I13" s="10" t="n">
        <v>20</v>
      </c>
      <c r="J13" s="25">
        <f>(100/L13)*PI()*(K13/10)^2/4</f>
        <v/>
      </c>
      <c r="K13" s="10" t="n">
        <v>8</v>
      </c>
      <c r="L13" s="10" t="n">
        <v>20</v>
      </c>
      <c r="M13" s="38">
        <f>IF(F13&lt;=12,E13*F13,(E13+F13-12)*12)</f>
        <v/>
      </c>
      <c r="N13" s="9">
        <f>IF(C13="","",C13*1000/M13)</f>
        <v/>
      </c>
      <c r="O13" s="9">
        <f>0.55*0.65*Datos_vigas!$B$5*M13*MAX(0,1-(D13*100/(32*12))^2)/1000</f>
        <v/>
      </c>
      <c r="P13" s="11">
        <f>IF(C13="","FALTA CARGA",IF(C13&lt;=O13,"VERIFICA","NO VERIFICA"))</f>
        <v/>
      </c>
      <c r="Q13" s="13" t="inlineStr">
        <is>
          <t>Recibe el extremo de VI 12. Carga mayorada.</t>
        </is>
      </c>
    </row>
    <row r="14" ht="17" customHeight="1">
      <c r="A14" s="26" t="n"/>
      <c r="B14" s="23" t="inlineStr">
        <is>
          <t>T11</t>
        </is>
      </c>
      <c r="C14" s="8" t="n">
        <v>5.07</v>
      </c>
      <c r="D14" s="8" t="n">
        <v>2.6</v>
      </c>
      <c r="E14" s="10" t="n">
        <v>28</v>
      </c>
      <c r="F14" s="10" t="n">
        <v>12</v>
      </c>
      <c r="G14" s="25">
        <f>2*(100/I14)*PI()*(H14/10)^2/4</f>
        <v/>
      </c>
      <c r="H14" s="10" t="n">
        <v>8</v>
      </c>
      <c r="I14" s="10" t="n">
        <v>20</v>
      </c>
      <c r="J14" s="25">
        <f>(100/L14)*PI()*(K14/10)^2/4</f>
        <v/>
      </c>
      <c r="K14" s="10" t="n">
        <v>8</v>
      </c>
      <c r="L14" s="10" t="n">
        <v>20</v>
      </c>
      <c r="M14" s="38">
        <f>IF(F14&lt;=12,E14*F14,(E14+F14-12)*12)</f>
        <v/>
      </c>
      <c r="N14" s="9">
        <f>IF(C14="","",C14*1000/M14)</f>
        <v/>
      </c>
      <c r="O14" s="9">
        <f>0.55*0.65*Datos_vigas!$B$5*M14*MAX(0,1-(D14*100/(32*12))^2)/1000</f>
        <v/>
      </c>
      <c r="P14" s="11">
        <f>IF(C14="","FALTA CARGA",IF(C14&lt;=O14,"VERIFICA","NO VERIFICA"))</f>
        <v/>
      </c>
      <c r="Q14" s="13" t="inlineStr">
        <is>
          <t>Recibe el extremo de VI 13b sobre solo 28 cm de largo: es el tabique con mayor tension del conjunto.</t>
        </is>
      </c>
    </row>
    <row r="15" ht="17" customHeight="1">
      <c r="A15" s="26" t="n"/>
      <c r="B15" s="23" t="inlineStr">
        <is>
          <t>T12</t>
        </is>
      </c>
      <c r="C15" s="8" t="n">
        <v>5.62</v>
      </c>
      <c r="D15" s="8" t="n">
        <v>2.6</v>
      </c>
      <c r="E15" s="10" t="n">
        <v>32</v>
      </c>
      <c r="F15" s="10" t="n">
        <v>12</v>
      </c>
      <c r="G15" s="25">
        <f>2*(100/I15)*PI()*(H15/10)^2/4</f>
        <v/>
      </c>
      <c r="H15" s="10" t="n">
        <v>8</v>
      </c>
      <c r="I15" s="10" t="n">
        <v>20</v>
      </c>
      <c r="J15" s="25">
        <f>(100/L15)*PI()*(K15/10)^2/4</f>
        <v/>
      </c>
      <c r="K15" s="10" t="n">
        <v>8</v>
      </c>
      <c r="L15" s="10" t="n">
        <v>20</v>
      </c>
      <c r="M15" s="38">
        <f>IF(F15&lt;=12,E15*F15,(E15+F15-12)*12)</f>
        <v/>
      </c>
      <c r="N15" s="9">
        <f>IF(C15="","",C15*1000/M15)</f>
        <v/>
      </c>
      <c r="O15" s="9">
        <f>0.55*0.65*Datos_vigas!$B$5*M15*MAX(0,1-(D15*100/(32*12))^2)/1000</f>
        <v/>
      </c>
      <c r="P15" s="11">
        <f>IF(C15="","FALTA CARGA",IF(C15&lt;=O15,"VERIFICA","NO VERIFICA"))</f>
        <v/>
      </c>
      <c r="Q15" s="13" t="inlineStr">
        <is>
          <t>Recibe el extremo de VI 15b. VI 17 no descarga aqui sino en T07. T12 acompana a VI 17 en toda su longitud por debajo, de modo que esa viga esta mas sostenida de lo que supone el calculo: queda del lado seguro.</t>
        </is>
      </c>
    </row>
    <row r="16" ht="17" customHeight="1">
      <c r="A16" s="27" t="n"/>
      <c r="B16" s="28" t="inlineStr">
        <is>
          <t>T13</t>
        </is>
      </c>
      <c r="C16" s="15" t="n">
        <v>1.22</v>
      </c>
      <c r="D16" s="15" t="n">
        <v>3.2</v>
      </c>
      <c r="E16" s="17" t="n">
        <v>132</v>
      </c>
      <c r="F16" s="17" t="n">
        <v>12</v>
      </c>
      <c r="G16" s="30">
        <f>2*(100/I16)*PI()*(H16/10)^2/4</f>
        <v/>
      </c>
      <c r="H16" s="17" t="n">
        <v>8</v>
      </c>
      <c r="I16" s="17" t="n">
        <v>20</v>
      </c>
      <c r="J16" s="30">
        <f>(100/L16)*PI()*(K16/10)^2/4</f>
        <v/>
      </c>
      <c r="K16" s="17" t="n">
        <v>8</v>
      </c>
      <c r="L16" s="17" t="n">
        <v>20</v>
      </c>
      <c r="M16" s="40">
        <f>IF(F16&lt;=12,E16*F16,(E16+F16-12)*12)</f>
        <v/>
      </c>
      <c r="N16" s="16">
        <f>IF(C16="","",C16*1000/M16)</f>
        <v/>
      </c>
      <c r="O16" s="16">
        <f>0.55*0.65*Datos_vigas!$B$5*M16*MAX(0,1-(D16*100/(32*12))^2)/1000</f>
        <v/>
      </c>
      <c r="P16" s="18">
        <f>IF(C16="","FALTA CARGA",IF(C16&lt;=O16,"VERIFICA","NO VERIFICA"))</f>
        <v/>
      </c>
      <c r="Q16" s="20" t="inlineStr">
        <is>
          <t>No recibe vigas: es la continuidad del tabique T06c de planta baja. La carga indicada es solo su peso propio; lo que baje de arriba se suma a T06c.</t>
        </is>
      </c>
    </row>
    <row r="17">
      <c r="A17" s="2" t="n"/>
      <c r="B17" s="2" t="n"/>
      <c r="C17" s="2" t="n"/>
      <c r="D17" s="2" t="n"/>
      <c r="E17" s="2" t="n"/>
      <c r="F17" s="2" t="n"/>
      <c r="G17" s="2" t="n"/>
      <c r="H17" s="2" t="n"/>
      <c r="I17" s="2" t="n"/>
      <c r="J17" s="2" t="n"/>
      <c r="K17" s="2" t="n"/>
      <c r="L17" s="2" t="n"/>
      <c r="M17" s="2" t="n"/>
      <c r="N17" s="2" t="n"/>
      <c r="O17" s="2" t="n"/>
      <c r="P17" s="2" t="n"/>
      <c r="Q17" s="2" t="n"/>
    </row>
    <row r="18">
      <c r="A18" s="42" t="inlineStr">
        <is>
          <t>T1 a T6: cargas y dimensiones tomadas de la planilla de la catedra. Probablemente sean cargas de servicio; compararlas contra fi Pn, que es resistencia ultima, queda del lado inseguro en torno a un 40 por ciento. Con utilizaciones del 10 al 20 por ciento no cambia ningun veredicto, pero conviene saberlo.</t>
        </is>
      </c>
      <c r="B18" s="2" t="n"/>
      <c r="C18" s="2" t="n"/>
      <c r="D18" s="2" t="n"/>
      <c r="E18" s="2" t="n"/>
      <c r="F18" s="2" t="n"/>
      <c r="G18" s="2" t="n"/>
      <c r="H18" s="2" t="n"/>
      <c r="I18" s="2" t="n"/>
      <c r="J18" s="2" t="n"/>
      <c r="K18" s="2" t="n"/>
      <c r="L18" s="2" t="n"/>
      <c r="M18" s="2" t="n"/>
      <c r="N18" s="2" t="n"/>
      <c r="O18" s="2" t="n"/>
      <c r="P18" s="2" t="n"/>
      <c r="Q18" s="2" t="n"/>
    </row>
    <row r="19">
      <c r="A19" s="42" t="inlineStr">
        <is>
          <t>T7 y T8: carga tomada de la reaccion de VI 02 y VI 11a en la planilla de vigas, que son MAYORADAS. El criterio no es el mismo que en T1 a T6.</t>
        </is>
      </c>
      <c r="B19" s="2" t="n"/>
      <c r="C19" s="2" t="n"/>
      <c r="D19" s="2" t="n"/>
      <c r="E19" s="2" t="n"/>
      <c r="F19" s="2" t="n"/>
      <c r="G19" s="2" t="n"/>
      <c r="H19" s="2" t="n"/>
      <c r="I19" s="2" t="n"/>
      <c r="J19" s="2" t="n"/>
      <c r="K19" s="2" t="n"/>
      <c r="L19" s="2" t="n"/>
      <c r="M19" s="2" t="n"/>
      <c r="N19" s="2" t="n"/>
      <c r="O19" s="2" t="n"/>
      <c r="P19" s="2" t="n"/>
      <c r="Q19" s="2" t="n"/>
    </row>
    <row r="20">
      <c r="A20" s="42" t="inlineStr">
        <is>
          <t>Direccion de la carga: como todas las vigas son invertidas, sobresalen 70 cm por encima del fondo de losa, mientras que los tabiques de planta alta llegan desde el piso hasta ese fondo. El tabique queda debajo y sostiene a la viga, no al reves.</t>
        </is>
      </c>
      <c r="B20" s="2" t="n"/>
      <c r="C20" s="2" t="n"/>
      <c r="D20" s="2" t="n"/>
      <c r="E20" s="2" t="n"/>
      <c r="F20" s="2" t="n"/>
      <c r="G20" s="2" t="n"/>
      <c r="H20" s="2" t="n"/>
      <c r="I20" s="2" t="n"/>
      <c r="J20" s="2" t="n"/>
      <c r="K20" s="2" t="n"/>
      <c r="L20" s="2" t="n"/>
      <c r="M20" s="2" t="n"/>
      <c r="N20" s="2" t="n"/>
      <c r="O20" s="2" t="n"/>
      <c r="P20" s="2" t="n"/>
      <c r="Q20" s="2" t="n"/>
    </row>
    <row r="21">
      <c r="A21" s="42" t="inlineStr">
        <is>
          <t>T9 a T13: dimensiones del computo metrico. Las cargas son las reacciones de las vigas de techo que apoyan en cada uno, aportadas por el proyectista: T9 recibe VI 14, T10 recibe VI 12, T11 recibe VI 13b y T12 recibe VI 17 mas VI 15b. T13 no recibe vigas: continua el tabique T06c de planta baja.</t>
        </is>
      </c>
      <c r="B21" s="2" t="n"/>
      <c r="C21" s="2" t="n"/>
      <c r="D21" s="2" t="n"/>
      <c r="E21" s="2" t="n"/>
      <c r="F21" s="2" t="n"/>
      <c r="G21" s="2" t="n"/>
      <c r="H21" s="2" t="n"/>
      <c r="I21" s="2" t="n"/>
      <c r="J21" s="2" t="n"/>
      <c r="K21" s="2" t="n"/>
      <c r="L21" s="2" t="n"/>
      <c r="M21" s="2" t="n"/>
      <c r="N21" s="2" t="n"/>
      <c r="O21" s="2" t="n"/>
      <c r="P21" s="2" t="n"/>
      <c r="Q21" s="2" t="n"/>
    </row>
    <row r="22">
      <c r="A22" s="42" t="inlineStr">
        <is>
          <t>Area: si B es menor o igual al espesor el tabique es recto y el area es A x B; si no, es un tabique en L y el area es (A + B - espesor) x espesor.</t>
        </is>
      </c>
      <c r="B22" s="2" t="n"/>
      <c r="C22" s="2" t="n"/>
      <c r="D22" s="2" t="n"/>
      <c r="E22" s="2" t="n"/>
      <c r="F22" s="2" t="n"/>
      <c r="G22" s="2" t="n"/>
      <c r="H22" s="2" t="n"/>
      <c r="I22" s="2" t="n"/>
      <c r="J22" s="2" t="n"/>
      <c r="K22" s="2" t="n"/>
      <c r="L22" s="2" t="n"/>
      <c r="M22" s="2" t="n"/>
      <c r="N22" s="2" t="n"/>
      <c r="O22" s="2" t="n"/>
      <c r="P22" s="2" t="n"/>
      <c r="Q22" s="2" t="n"/>
    </row>
    <row r="23">
      <c r="A23" s="42" t="inlineStr">
        <is>
          <t>fi Pn = 0,55 x 0,65 x f'c x area x [1 - (altura / 32 espesor)^2]   muro portante de hormigon armado con reduccion por esbeltez.</t>
        </is>
      </c>
      <c r="B23" s="2" t="n"/>
      <c r="C23" s="2" t="n"/>
      <c r="D23" s="2" t="n"/>
      <c r="E23" s="2" t="n"/>
      <c r="F23" s="2" t="n"/>
      <c r="G23" s="2" t="n"/>
      <c r="H23" s="2" t="n"/>
      <c r="I23" s="2" t="n"/>
      <c r="J23" s="2" t="n"/>
      <c r="K23" s="2" t="n"/>
      <c r="L23" s="2" t="n"/>
      <c r="M23" s="2" t="n"/>
      <c r="N23" s="2" t="n"/>
      <c r="O23" s="2" t="n"/>
      <c r="P23" s="2" t="n"/>
      <c r="Q23" s="2" t="n"/>
    </row>
    <row r="24">
      <c r="A24" s="42" t="inlineStr">
        <is>
          <t>Armadura vertical en doble malla y horizontal en malla simple, ambas o8 c/20, iguales a las de la planilla de la catedra.</t>
        </is>
      </c>
      <c r="B24" s="2" t="n"/>
      <c r="C24" s="2" t="n"/>
      <c r="D24" s="2" t="n"/>
      <c r="E24" s="2" t="n"/>
      <c r="F24" s="2" t="n"/>
      <c r="G24" s="2" t="n"/>
      <c r="H24" s="2" t="n"/>
      <c r="I24" s="2" t="n"/>
      <c r="J24" s="2" t="n"/>
      <c r="K24" s="2" t="n"/>
      <c r="L24" s="2" t="n"/>
      <c r="M24" s="2" t="n"/>
      <c r="N24" s="2" t="n"/>
      <c r="O24" s="2" t="n"/>
      <c r="P24" s="2" t="n"/>
      <c r="Q24" s="2" t="n"/>
    </row>
  </sheetData>
  <mergeCells count="12">
    <mergeCell ref="G2:I2"/>
    <mergeCell ref="A12:A16"/>
    <mergeCell ref="J2:L2"/>
    <mergeCell ref="A4:A11"/>
    <mergeCell ref="E2:F2"/>
    <mergeCell ref="D2:D3"/>
    <mergeCell ref="B2:B3"/>
    <mergeCell ref="A2:A3"/>
    <mergeCell ref="M2:P2"/>
    <mergeCell ref="C2:C3"/>
    <mergeCell ref="Q2:Q3"/>
    <mergeCell ref="A1:Q1"/>
  </mergeCells>
  <conditionalFormatting sqref="P4:P16">
    <cfRule type="cellIs" priority="1" operator="equal" dxfId="0">
      <formula>"VERIFICA"</formula>
    </cfRule>
    <cfRule type="cellIs" priority="2" operator="equal" dxfId="1">
      <formula>"NO VERIFICA"</formula>
    </cfRule>
    <cfRule type="cellIs" priority="3" operator="equal" dxfId="1">
      <formula>"FALTA CARGA"</formula>
    </cfRule>
  </conditionalFormatting>
  <pageMargins left="0.75" right="0.75" top="1" bottom="1" header="0.5" footer="0.5"/>
  <pageSetup orientation="landscape" fitToWidth="1"/>
</worksheet>
</file>

<file path=xl/worksheets/sheet8.xml><?xml version="1.0" encoding="utf-8"?>
<worksheet xmlns="http://schemas.openxmlformats.org/spreadsheetml/2006/main">
  <sheetPr>
    <outlinePr summaryBelow="1" summaryRight="1"/>
    <pageSetUpPr/>
  </sheetPr>
  <dimension ref="A1:F25"/>
  <sheetViews>
    <sheetView showGridLines="0" workbookViewId="0">
      <selection activeCell="A1" sqref="A1"/>
    </sheetView>
  </sheetViews>
  <sheetFormatPr baseColWidth="8" defaultRowHeight="15"/>
  <cols>
    <col width="34" customWidth="1" min="1" max="1"/>
    <col width="13" customWidth="1" min="2" max="2"/>
    <col width="10" customWidth="1" min="3" max="3"/>
    <col width="15" customWidth="1" min="4" max="4"/>
    <col width="15" customWidth="1" min="5" max="5"/>
    <col width="56" customWidth="1" min="6" max="6"/>
  </cols>
  <sheetData>
    <row r="1">
      <c r="A1" s="43" t="inlineStr">
        <is>
          <t>DATOS DE PARTIDA - HIPOTESIS DE CALCULO</t>
        </is>
      </c>
      <c r="B1" s="2" t="n"/>
      <c r="C1" s="2" t="n"/>
      <c r="D1" s="2" t="n"/>
      <c r="E1" s="2" t="n"/>
      <c r="F1" s="2" t="n"/>
    </row>
    <row r="2">
      <c r="A2" s="42" t="inlineStr">
        <is>
          <t>Celdas verdes: editables. La planilla recalcula sola.</t>
        </is>
      </c>
      <c r="B2" s="2" t="n"/>
      <c r="C2" s="2" t="n"/>
      <c r="D2" s="2" t="n"/>
      <c r="E2" s="2" t="n"/>
      <c r="F2" s="2" t="n"/>
    </row>
    <row r="3">
      <c r="A3" s="2" t="n"/>
      <c r="B3" s="2" t="n"/>
      <c r="C3" s="2" t="n"/>
      <c r="D3" s="2" t="n"/>
      <c r="E3" s="2" t="n"/>
      <c r="F3" s="2" t="n"/>
    </row>
    <row r="4">
      <c r="A4" s="44" t="inlineStr">
        <is>
          <t>MATERIALES</t>
        </is>
      </c>
      <c r="B4" s="45" t="inlineStr">
        <is>
          <t>valor</t>
        </is>
      </c>
      <c r="C4" s="45" t="inlineStr">
        <is>
          <t>unidad</t>
        </is>
      </c>
      <c r="D4" s="2" t="n"/>
      <c r="E4" s="2" t="n"/>
      <c r="F4" s="2" t="n"/>
    </row>
    <row r="5">
      <c r="A5" s="46" t="inlineStr">
        <is>
          <t>Hormigon H-21   f'c</t>
        </is>
      </c>
      <c r="B5" s="47" t="n">
        <v>210</v>
      </c>
      <c r="C5" s="11" t="inlineStr">
        <is>
          <t>kg/cm2</t>
        </is>
      </c>
      <c r="D5" s="2" t="n"/>
      <c r="E5" s="2" t="n"/>
      <c r="F5" s="2" t="n"/>
    </row>
    <row r="6">
      <c r="A6" s="46" t="inlineStr">
        <is>
          <t>Acero 42/50   fy</t>
        </is>
      </c>
      <c r="B6" s="47" t="n">
        <v>4200</v>
      </c>
      <c r="C6" s="11" t="inlineStr">
        <is>
          <t>kg/cm2</t>
        </is>
      </c>
      <c r="D6" s="2" t="n"/>
      <c r="E6" s="2" t="n"/>
      <c r="F6" s="2" t="n"/>
    </row>
    <row r="7">
      <c r="A7" s="46" t="inlineStr">
        <is>
          <t>Peso especifico H.A.</t>
        </is>
      </c>
      <c r="B7" s="47" t="n">
        <v>2400</v>
      </c>
      <c r="C7" s="11" t="inlineStr">
        <is>
          <t>kg/m3</t>
        </is>
      </c>
      <c r="D7" s="2" t="n"/>
      <c r="E7" s="2" t="n"/>
      <c r="F7" s="2" t="n"/>
    </row>
    <row r="8">
      <c r="A8" s="46" t="inlineStr">
        <is>
          <t>phi flexion</t>
        </is>
      </c>
      <c r="B8" s="47" t="n">
        <v>0.9</v>
      </c>
      <c r="C8" s="11" t="inlineStr">
        <is>
          <t>-</t>
        </is>
      </c>
      <c r="D8" s="2" t="n"/>
      <c r="E8" s="2" t="n"/>
      <c r="F8" s="2" t="n"/>
    </row>
    <row r="9">
      <c r="A9" s="46" t="inlineStr">
        <is>
          <t>phi corte</t>
        </is>
      </c>
      <c r="B9" s="47" t="n">
        <v>0.75</v>
      </c>
      <c r="C9" s="11" t="inlineStr">
        <is>
          <t>-</t>
        </is>
      </c>
      <c r="D9" s="2" t="n"/>
      <c r="E9" s="2" t="n"/>
      <c r="F9" s="2" t="n"/>
    </row>
    <row r="10">
      <c r="A10" s="46" t="inlineStr">
        <is>
          <t>Coef. mayoracion permanente</t>
        </is>
      </c>
      <c r="B10" s="47" t="n">
        <v>1.2</v>
      </c>
      <c r="C10" s="11" t="inlineStr">
        <is>
          <t>-</t>
        </is>
      </c>
      <c r="D10" s="2" t="n"/>
      <c r="E10" s="2" t="n"/>
      <c r="F10" s="2" t="n"/>
    </row>
    <row r="11">
      <c r="A11" s="46" t="inlineStr">
        <is>
          <t>Coef. mayoracion sobrecarga</t>
        </is>
      </c>
      <c r="B11" s="47" t="n">
        <v>1.6</v>
      </c>
      <c r="C11" s="11" t="inlineStr">
        <is>
          <t>-</t>
        </is>
      </c>
      <c r="D11" s="2" t="n"/>
      <c r="E11" s="2" t="n"/>
      <c r="F11" s="2" t="n"/>
    </row>
    <row r="12">
      <c r="A12" s="2" t="n"/>
      <c r="B12" s="2" t="n"/>
      <c r="C12" s="2" t="n"/>
      <c r="D12" s="2" t="n"/>
      <c r="E12" s="2" t="n"/>
      <c r="F12" s="2" t="n"/>
    </row>
    <row r="13">
      <c r="A13" s="44" t="inlineStr">
        <is>
          <t>PAQUETES DE CARGA</t>
        </is>
      </c>
      <c r="B13" s="3" t="inlineStr">
        <is>
          <t>g (kg/m2)</t>
        </is>
      </c>
      <c r="C13" s="3" t="inlineStr">
        <is>
          <t>q (kg/m2)</t>
        </is>
      </c>
      <c r="D13" s="3" t="inlineStr">
        <is>
          <t>h muro (m)</t>
        </is>
      </c>
      <c r="E13" s="3" t="inlineStr">
        <is>
          <t>B trib. (m)</t>
        </is>
      </c>
      <c r="F13" s="3" t="inlineStr">
        <is>
          <t>composicion</t>
        </is>
      </c>
    </row>
    <row r="14">
      <c r="A14" s="48" t="inlineStr">
        <is>
          <t>PA</t>
        </is>
      </c>
      <c r="B14" s="49" t="n">
        <v>550</v>
      </c>
      <c r="C14" s="49" t="n">
        <v>200</v>
      </c>
      <c r="D14" s="50" t="n">
        <v>2.6</v>
      </c>
      <c r="E14" s="50" t="n">
        <v>2</v>
      </c>
      <c r="F14" s="32" t="inlineStr">
        <is>
          <t>Losa 12 cm 300 + contrapiso 130 + carpeta 42 + piso 50 + cielorraso 20</t>
        </is>
      </c>
    </row>
    <row r="15">
      <c r="A15" s="48" t="inlineStr">
        <is>
          <t>TECHO</t>
        </is>
      </c>
      <c r="B15" s="49" t="n">
        <v>560</v>
      </c>
      <c r="C15" s="49" t="n">
        <v>100</v>
      </c>
      <c r="D15" s="50" t="n">
        <v>1</v>
      </c>
      <c r="E15" s="50" t="n">
        <v>2</v>
      </c>
      <c r="F15" s="32" t="inlineStr">
        <is>
          <t>Losa 12 cm 300 + contrapiso pendiente 140 + carpeta 42 + aislacion 50 + cielorraso 20</t>
        </is>
      </c>
    </row>
    <row r="16">
      <c r="A16" s="46" t="inlineStr">
        <is>
          <t>Mamposteria sobre viga</t>
        </is>
      </c>
      <c r="B16" s="47" t="n">
        <v>250</v>
      </c>
      <c r="C16" s="11" t="inlineStr">
        <is>
          <t>kg/m2</t>
        </is>
      </c>
      <c r="D16" s="2" t="n"/>
      <c r="E16" s="2" t="n"/>
      <c r="F16" s="51" t="inlineStr">
        <is>
          <t>Ladrillo hueco 18 cm + revoque en ambas caras</t>
        </is>
      </c>
    </row>
    <row r="17">
      <c r="A17" s="2" t="n"/>
      <c r="B17" s="2" t="n"/>
      <c r="C17" s="2" t="n"/>
      <c r="D17" s="2" t="n"/>
      <c r="E17" s="2" t="n"/>
      <c r="F17" s="2" t="n"/>
    </row>
    <row r="18">
      <c r="A18" s="44" t="inlineStr">
        <is>
          <t>COEFICIENTES SEGUN ESQUEMA</t>
        </is>
      </c>
      <c r="B18" s="3" t="inlineStr">
        <is>
          <t>M tramo</t>
        </is>
      </c>
      <c r="C18" s="3" t="inlineStr">
        <is>
          <t>M apoyo</t>
        </is>
      </c>
      <c r="D18" s="3" t="inlineStr">
        <is>
          <t>Reaccion</t>
        </is>
      </c>
      <c r="E18" s="3" t="inlineStr">
        <is>
          <t>L/d min</t>
        </is>
      </c>
      <c r="F18" s="2" t="n"/>
    </row>
    <row r="19">
      <c r="A19" s="46" t="inlineStr">
        <is>
          <t>Simplemente apoyada</t>
        </is>
      </c>
      <c r="B19" s="52" t="n">
        <v>0.125</v>
      </c>
      <c r="C19" s="52" t="n">
        <v>0</v>
      </c>
      <c r="D19" s="52" t="n">
        <v>0.5</v>
      </c>
      <c r="E19" s="53" t="n">
        <v>16</v>
      </c>
      <c r="F19" s="2" t="n"/>
    </row>
    <row r="20">
      <c r="A20" s="46" t="inlineStr">
        <is>
          <t>Continua</t>
        </is>
      </c>
      <c r="B20" s="52" t="n">
        <v>0.07142999999999999</v>
      </c>
      <c r="C20" s="52" t="n">
        <v>0.1</v>
      </c>
      <c r="D20" s="52" t="n">
        <v>0.575</v>
      </c>
      <c r="E20" s="53" t="n">
        <v>21</v>
      </c>
      <c r="F20" s="2" t="n"/>
    </row>
    <row r="21">
      <c r="A21" s="46" t="inlineStr">
        <is>
          <t>Empotrada-apoyada</t>
        </is>
      </c>
      <c r="B21" s="52" t="n">
        <v>0.07031</v>
      </c>
      <c r="C21" s="52" t="n">
        <v>0.125</v>
      </c>
      <c r="D21" s="52" t="n">
        <v>0.625</v>
      </c>
      <c r="E21" s="53" t="n">
        <v>18.5</v>
      </c>
      <c r="F21" s="2" t="n"/>
    </row>
    <row r="22">
      <c r="A22" s="46" t="inlineStr">
        <is>
          <t>Biempotrada</t>
        </is>
      </c>
      <c r="B22" s="52" t="n">
        <v>0.04167</v>
      </c>
      <c r="C22" s="52" t="n">
        <v>0.08333</v>
      </c>
      <c r="D22" s="52" t="n">
        <v>0.5</v>
      </c>
      <c r="E22" s="53" t="n">
        <v>21</v>
      </c>
      <c r="F22" s="2" t="n"/>
    </row>
    <row r="23">
      <c r="A23" s="46" t="inlineStr">
        <is>
          <t>Voladizo</t>
        </is>
      </c>
      <c r="B23" s="52" t="n">
        <v>0</v>
      </c>
      <c r="C23" s="52" t="n">
        <v>0.5</v>
      </c>
      <c r="D23" s="52" t="n">
        <v>1</v>
      </c>
      <c r="E23" s="53" t="n">
        <v>8</v>
      </c>
      <c r="F23" s="2" t="n"/>
    </row>
    <row r="24">
      <c r="A24" s="2" t="n"/>
      <c r="B24" s="2" t="n"/>
      <c r="C24" s="2" t="n"/>
      <c r="D24" s="2" t="n"/>
      <c r="E24" s="2" t="n"/>
      <c r="F24" s="2" t="n"/>
    </row>
    <row r="25">
      <c r="A25" s="41" t="inlineStr">
        <is>
          <t>p = 1,2 g + 1,6 q    |    M = coef x p x L2    |    R = coef x p x L</t>
        </is>
      </c>
      <c r="B25" s="2" t="n"/>
      <c r="C25" s="2" t="n"/>
      <c r="D25" s="2" t="n"/>
      <c r="E25" s="2" t="n"/>
      <c r="F25" s="2"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8"/>
  <sheetViews>
    <sheetView showGridLines="0" workbookViewId="0">
      <selection activeCell="A1" sqref="A1"/>
    </sheetView>
  </sheetViews>
  <sheetFormatPr baseColWidth="8" defaultRowHeight="15"/>
  <cols>
    <col width="32" customWidth="1" min="1" max="1"/>
    <col width="13" customWidth="1" min="2" max="2"/>
    <col width="11" customWidth="1" min="3" max="3"/>
    <col width="13" customWidth="1" min="4" max="4"/>
    <col width="13" customWidth="1" min="5" max="5"/>
    <col width="52" customWidth="1" min="6" max="6"/>
  </cols>
  <sheetData>
    <row r="1">
      <c r="A1" s="43" t="inlineStr">
        <is>
          <t>DATOS DE PARTIDA - LOSAS</t>
        </is>
      </c>
      <c r="B1" s="2" t="n"/>
      <c r="C1" s="2" t="n"/>
      <c r="D1" s="2" t="n"/>
    </row>
    <row r="2">
      <c r="A2" s="42" t="inlineStr">
        <is>
          <t>Celdas verdes: editables. La planilla recalcula sola.</t>
        </is>
      </c>
      <c r="B2" s="2" t="n"/>
      <c r="C2" s="2" t="n"/>
      <c r="D2" s="2" t="n"/>
    </row>
    <row r="3">
      <c r="A3" s="2" t="n"/>
      <c r="B3" s="2" t="n"/>
      <c r="C3" s="2" t="n"/>
      <c r="D3" s="2" t="n"/>
    </row>
    <row r="4">
      <c r="A4" s="44" t="inlineStr">
        <is>
          <t>MATERIALES Y METODO</t>
        </is>
      </c>
      <c r="B4" s="45" t="inlineStr">
        <is>
          <t>valor</t>
        </is>
      </c>
      <c r="C4" s="45" t="inlineStr">
        <is>
          <t>unidad</t>
        </is>
      </c>
      <c r="D4" s="2" t="n"/>
    </row>
    <row r="5">
      <c r="A5" s="46" t="inlineStr">
        <is>
          <t>Hormigon H-21   f'c</t>
        </is>
      </c>
      <c r="B5" s="47" t="n">
        <v>210</v>
      </c>
      <c r="C5" s="11" t="inlineStr">
        <is>
          <t>kg/cm2</t>
        </is>
      </c>
      <c r="D5" s="2" t="n"/>
    </row>
    <row r="6">
      <c r="A6" s="46" t="inlineStr">
        <is>
          <t>Acero 42/50   fy</t>
        </is>
      </c>
      <c r="B6" s="47" t="n">
        <v>4200</v>
      </c>
      <c r="C6" s="11" t="inlineStr">
        <is>
          <t>kg/cm2</t>
        </is>
      </c>
      <c r="D6" s="2" t="n"/>
    </row>
    <row r="7">
      <c r="A7" s="46" t="inlineStr">
        <is>
          <t>Tension admisible del acero</t>
        </is>
      </c>
      <c r="B7" s="47" t="n">
        <v>2400</v>
      </c>
      <c r="C7" s="11" t="inlineStr">
        <is>
          <t>kg/cm2</t>
        </is>
      </c>
      <c r="D7" s="2" t="n"/>
    </row>
    <row r="8">
      <c r="A8" s="46" t="inlineStr">
        <is>
          <t>Brazo elastico  z / h</t>
        </is>
      </c>
      <c r="B8" s="47" t="n">
        <v>0.9</v>
      </c>
      <c r="C8" s="11" t="inlineStr">
        <is>
          <t>-</t>
        </is>
      </c>
      <c r="D8" s="2" t="n"/>
    </row>
    <row r="9">
      <c r="A9" s="46" t="inlineStr">
        <is>
          <t>Peso especifico H.A.</t>
        </is>
      </c>
      <c r="B9" s="47" t="n">
        <v>2400</v>
      </c>
      <c r="C9" s="11" t="inlineStr">
        <is>
          <t>kg/m3</t>
        </is>
      </c>
      <c r="D9" s="2" t="n"/>
    </row>
    <row r="10">
      <c r="A10" s="46" t="inlineStr">
        <is>
          <t>Recubrimiento</t>
        </is>
      </c>
      <c r="B10" s="47" t="n">
        <v>1.5</v>
      </c>
      <c r="C10" s="11" t="inlineStr">
        <is>
          <t>cm</t>
        </is>
      </c>
      <c r="D10" s="2" t="n"/>
    </row>
    <row r="11">
      <c r="A11" s="46" t="inlineStr">
        <is>
          <t>Separacion maxima</t>
        </is>
      </c>
      <c r="B11" s="47" t="n">
        <v>20</v>
      </c>
      <c r="C11" s="11" t="inlineStr">
        <is>
          <t>cm</t>
        </is>
      </c>
      <c r="D11" s="2" t="n"/>
    </row>
    <row r="12">
      <c r="A12" s="46" t="inlineStr">
        <is>
          <t>Armadura de reparticion</t>
        </is>
      </c>
      <c r="B12" s="47" t="n">
        <v>0.2</v>
      </c>
      <c r="C12" s="11" t="inlineStr">
        <is>
          <t>de la principal</t>
        </is>
      </c>
      <c r="D12" s="2" t="n"/>
    </row>
    <row r="13">
      <c r="A13" s="46" t="inlineStr">
        <is>
          <t>Reparticion minima</t>
        </is>
      </c>
      <c r="B13" s="47" t="n">
        <v>0.3</v>
      </c>
      <c r="C13" s="11" t="inlineStr">
        <is>
          <t>cm2/m</t>
        </is>
      </c>
      <c r="D13" s="2" t="n"/>
    </row>
    <row r="14">
      <c r="A14" s="2" t="n"/>
      <c r="B14" s="2" t="n"/>
      <c r="C14" s="2" t="n"/>
      <c r="D14" s="2" t="n"/>
    </row>
    <row r="15">
      <c r="A15" s="44" t="inlineStr">
        <is>
          <t>CARGAS POR NIVEL</t>
        </is>
      </c>
      <c r="B15" s="3" t="inlineStr">
        <is>
          <t>terminaciones (kg/m2)</t>
        </is>
      </c>
      <c r="C15" s="3" t="inlineStr">
        <is>
          <t>q (kg/m2)</t>
        </is>
      </c>
      <c r="D15" s="3" t="inlineStr">
        <is>
          <t>composicion</t>
        </is>
      </c>
    </row>
    <row r="16">
      <c r="A16" s="48" t="inlineStr">
        <is>
          <t>S/PB</t>
        </is>
      </c>
      <c r="B16" s="47" t="n">
        <v>242</v>
      </c>
      <c r="C16" s="47" t="n">
        <v>200</v>
      </c>
      <c r="D16" s="32" t="inlineStr">
        <is>
          <t>Contrapiso 130 + carpeta 42 + piso 50 + cielorraso 20.  q vivienda 200</t>
        </is>
      </c>
    </row>
    <row r="17">
      <c r="A17" s="48" t="inlineStr">
        <is>
          <t>S/PA</t>
        </is>
      </c>
      <c r="B17" s="47" t="n">
        <v>252</v>
      </c>
      <c r="C17" s="47" t="n">
        <v>100</v>
      </c>
      <c r="D17" s="32" t="inlineStr">
        <is>
          <t>Contrapiso pendiente 140 + carpeta 42 + aislacion 50 + cielorraso 20.  q azotea 100</t>
        </is>
      </c>
    </row>
    <row r="18">
      <c r="A18" s="41" t="inlineStr">
        <is>
          <t>El peso propio se suma aparte: 2400 x d / 100</t>
        </is>
      </c>
      <c r="B18" s="2" t="n"/>
      <c r="C18" s="2" t="n"/>
      <c r="D18" s="2" t="n"/>
    </row>
    <row r="19">
      <c r="A19" s="2" t="n"/>
      <c r="B19" s="2" t="n"/>
      <c r="C19" s="2" t="n"/>
      <c r="D19" s="2" t="n"/>
    </row>
    <row r="20">
      <c r="A20" s="44" t="inlineStr">
        <is>
          <t>GRADO DE EMPOTRAMIENTO</t>
        </is>
      </c>
      <c r="B20" s="3" t="inlineStr">
        <is>
          <t>coef. M</t>
        </is>
      </c>
      <c r="C20" s="3" t="inlineStr">
        <is>
          <t>coef. R</t>
        </is>
      </c>
      <c r="D20" s="3" t="inlineStr">
        <is>
          <t>esquema</t>
        </is>
      </c>
    </row>
    <row r="21">
      <c r="A21" s="54" t="inlineStr">
        <is>
          <t>1/8</t>
        </is>
      </c>
      <c r="B21" s="52" t="n">
        <v>0.125</v>
      </c>
      <c r="C21" s="55" t="n">
        <v>0.5</v>
      </c>
      <c r="D21" s="56" t="inlineStr">
        <is>
          <t>Simplemente apoyada</t>
        </is>
      </c>
    </row>
    <row r="22">
      <c r="A22" s="54" t="inlineStr">
        <is>
          <t>1/10</t>
        </is>
      </c>
      <c r="B22" s="52" t="n">
        <v>0.1</v>
      </c>
      <c r="C22" s="55" t="n">
        <v>0.55</v>
      </c>
      <c r="D22" s="56" t="inlineStr">
        <is>
          <t>Continua</t>
        </is>
      </c>
    </row>
    <row r="23">
      <c r="A23" s="54" t="inlineStr">
        <is>
          <t>1/12</t>
        </is>
      </c>
      <c r="B23" s="52" t="n">
        <v>0.0833</v>
      </c>
      <c r="C23" s="55" t="n">
        <v>0.5</v>
      </c>
      <c r="D23" s="56" t="inlineStr">
        <is>
          <t>Biempotrada</t>
        </is>
      </c>
    </row>
    <row r="24">
      <c r="A24" s="54" t="inlineStr">
        <is>
          <t>1/14</t>
        </is>
      </c>
      <c r="B24" s="52" t="n">
        <v>0.07140000000000001</v>
      </c>
      <c r="C24" s="55" t="n">
        <v>0.575</v>
      </c>
      <c r="D24" s="56" t="inlineStr">
        <is>
          <t>Continua</t>
        </is>
      </c>
    </row>
    <row r="25">
      <c r="A25" s="54" t="inlineStr">
        <is>
          <t>1/2</t>
        </is>
      </c>
      <c r="B25" s="52" t="n">
        <v>0.5</v>
      </c>
      <c r="C25" s="55" t="n">
        <v>1</v>
      </c>
      <c r="D25" s="56" t="inlineStr">
        <is>
          <t>Voladizo</t>
        </is>
      </c>
    </row>
    <row r="26">
      <c r="A26" s="2" t="n"/>
      <c r="B26" s="2" t="n"/>
      <c r="C26" s="2" t="n"/>
      <c r="D26" s="2" t="n"/>
    </row>
    <row r="27">
      <c r="A27" s="41" t="inlineStr">
        <is>
          <t>p = peso propio + terminaciones + q   (cargas de servicio)</t>
        </is>
      </c>
      <c r="B27" s="2" t="n"/>
      <c r="C27" s="2" t="n"/>
      <c r="D27" s="2" t="n"/>
    </row>
    <row r="28">
      <c r="A28" s="41" t="inlineStr">
        <is>
          <t>M = coef x p x L2        R = coef x p x L        As = M x 100 / (2400 x 0,9 x h)        rep. = As / 5</t>
        </is>
      </c>
      <c r="B28" s="2" t="n"/>
      <c r="C28" s="2" t="n"/>
      <c r="D28" s="2"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36" customWidth="1" min="1" max="1"/>
    <col width="13" customWidth="1" min="2" max="2"/>
    <col width="12" customWidth="1" min="3" max="3"/>
    <col width="62" customWidth="1" min="4" max="4"/>
  </cols>
  <sheetData>
    <row r="1">
      <c r="A1" s="43" t="inlineStr">
        <is>
          <t>DATOS DE PARTIDA - COLUMNAS</t>
        </is>
      </c>
      <c r="B1" s="2" t="n"/>
      <c r="C1" s="2" t="n"/>
    </row>
    <row r="2">
      <c r="A2" s="2" t="n"/>
      <c r="B2" s="2" t="n"/>
      <c r="C2" s="2" t="n"/>
    </row>
    <row r="3">
      <c r="A3" s="44" t="inlineStr">
        <is>
          <t>MATERIALES Y CRITERIOS</t>
        </is>
      </c>
      <c r="B3" s="45" t="inlineStr">
        <is>
          <t>valor</t>
        </is>
      </c>
      <c r="C3" s="45" t="inlineStr">
        <is>
          <t>unidad</t>
        </is>
      </c>
    </row>
    <row r="4">
      <c r="A4" s="46" t="inlineStr">
        <is>
          <t>Hormigon H-21   f'c</t>
        </is>
      </c>
      <c r="B4" s="47" t="n">
        <v>210</v>
      </c>
      <c r="C4" s="11" t="inlineStr">
        <is>
          <t>kg/cm2</t>
        </is>
      </c>
    </row>
    <row r="5">
      <c r="A5" s="46" t="inlineStr">
        <is>
          <t>Acero 42/50   fy</t>
        </is>
      </c>
      <c r="B5" s="47" t="n">
        <v>4200</v>
      </c>
      <c r="C5" s="11" t="inlineStr">
        <is>
          <t>kg/cm2</t>
        </is>
      </c>
    </row>
    <row r="6">
      <c r="A6" s="46" t="inlineStr">
        <is>
          <t>Peso especifico H.A.</t>
        </is>
      </c>
      <c r="B6" s="47" t="n">
        <v>2400</v>
      </c>
      <c r="C6" s="11" t="inlineStr">
        <is>
          <t>kg/m3</t>
        </is>
      </c>
    </row>
    <row r="7">
      <c r="A7" s="46" t="inlineStr">
        <is>
          <t>phi compresion (estribos)</t>
        </is>
      </c>
      <c r="B7" s="47" t="n">
        <v>0.65</v>
      </c>
      <c r="C7" s="11" t="inlineStr">
        <is>
          <t>-</t>
        </is>
      </c>
    </row>
    <row r="8">
      <c r="A8" s="46" t="inlineStr">
        <is>
          <t>Cuantia minima</t>
        </is>
      </c>
      <c r="B8" s="47" t="n">
        <v>0.008</v>
      </c>
      <c r="C8" s="11" t="inlineStr">
        <is>
          <t>de la seccion</t>
        </is>
      </c>
    </row>
    <row r="9">
      <c r="A9" s="46" t="inlineStr">
        <is>
          <t>Altura PB</t>
        </is>
      </c>
      <c r="B9" s="47" t="n">
        <v>3.15</v>
      </c>
      <c r="C9" s="11" t="inlineStr">
        <is>
          <t>m</t>
        </is>
      </c>
    </row>
    <row r="10">
      <c r="A10" s="46" t="inlineStr">
        <is>
          <t>Altura PA</t>
        </is>
      </c>
      <c r="B10" s="47" t="n">
        <v>3.22</v>
      </c>
      <c r="C10" s="11" t="inlineStr">
        <is>
          <t>m</t>
        </is>
      </c>
    </row>
    <row r="11">
      <c r="A11" s="2" t="n"/>
      <c r="B11" s="2" t="n"/>
      <c r="C11" s="2" t="n"/>
    </row>
    <row r="12">
      <c r="A12" s="41" t="inlineStr">
        <is>
          <t>As = cuantia minima x area        phi Pn = 0,65 x 0,80 x [0,85 f'c (Ag - As) + fy As]</t>
        </is>
      </c>
      <c r="B12" s="2" t="n"/>
      <c r="C12" s="2" t="n"/>
    </row>
    <row r="13">
      <c r="A13" s="41" t="inlineStr">
        <is>
          <t>Separacion de estribos = min(12 x diam. longitudinal ; 48 x diam. estribo ; lado menor)</t>
        </is>
      </c>
      <c r="B13" s="2" t="n"/>
      <c r="C13" s="2"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7"/>
  <sheetViews>
    <sheetView showGridLines="0" workbookViewId="0">
      <selection activeCell="A1" sqref="A1"/>
    </sheetView>
  </sheetViews>
  <sheetFormatPr baseColWidth="8" defaultRowHeight="15"/>
  <cols>
    <col width="34" customWidth="1" min="1" max="1"/>
    <col width="12" customWidth="1" min="2" max="2"/>
    <col width="12" customWidth="1" min="3" max="3"/>
    <col width="60" customWidth="1" min="4" max="4"/>
  </cols>
  <sheetData>
    <row r="1">
      <c r="A1" s="43" t="inlineStr">
        <is>
          <t>DATOS DE PARTIDA - PILOTES</t>
        </is>
      </c>
      <c r="B1" s="2" t="n"/>
      <c r="C1" s="2" t="n"/>
      <c r="D1" s="2" t="n"/>
      <c r="E1" s="2" t="n"/>
    </row>
    <row r="2">
      <c r="A2" s="2" t="n"/>
      <c r="B2" s="2" t="n"/>
      <c r="C2" s="2" t="n"/>
      <c r="D2" s="2" t="n"/>
      <c r="E2" s="2" t="n"/>
    </row>
    <row r="3">
      <c r="A3" s="44" t="inlineStr">
        <is>
          <t>PARAMETRO</t>
        </is>
      </c>
      <c r="B3" s="45" t="inlineStr">
        <is>
          <t>valor</t>
        </is>
      </c>
      <c r="C3" s="45" t="inlineStr">
        <is>
          <t>unidad</t>
        </is>
      </c>
      <c r="D3" s="44" t="inlineStr">
        <is>
          <t>origen</t>
        </is>
      </c>
      <c r="E3" s="2" t="n"/>
    </row>
    <row r="4">
      <c r="A4" s="46" t="inlineStr">
        <is>
          <t>Carga admisible por pilote</t>
        </is>
      </c>
      <c r="B4" s="47" t="n">
        <v>12</v>
      </c>
      <c r="C4" s="11" t="inlineStr">
        <is>
          <t>t</t>
        </is>
      </c>
      <c r="D4" s="51" t="inlineStr">
        <is>
          <t>ESTIMADA. Falta el estudio de suelos: cambiar aca y recalcula todo.</t>
        </is>
      </c>
      <c r="E4" s="2" t="n"/>
    </row>
    <row r="5">
      <c r="A5" s="46" t="inlineStr">
        <is>
          <t>Tension admisible del terreno</t>
        </is>
      </c>
      <c r="B5" s="47" t="n">
        <v>2</v>
      </c>
      <c r="C5" s="11" t="inlineStr">
        <is>
          <t>kg/cm2</t>
        </is>
      </c>
      <c r="D5" s="51" t="inlineStr">
        <is>
          <t>Dato real, tomado del encabezado del calculo de bases.</t>
        </is>
      </c>
      <c r="E5" s="2" t="n"/>
    </row>
    <row r="6">
      <c r="A6" s="46" t="inlineStr">
        <is>
          <t>Diametro del pilote</t>
        </is>
      </c>
      <c r="B6" s="47" t="n">
        <v>30</v>
      </c>
      <c r="C6" s="11" t="inlineStr">
        <is>
          <t>cm</t>
        </is>
      </c>
      <c r="D6" s="51" t="inlineStr">
        <is>
          <t>Nota del plano: todos los pilotes son O30.</t>
        </is>
      </c>
      <c r="E6" s="2" t="n"/>
    </row>
    <row r="7">
      <c r="A7" s="46" t="inlineStr">
        <is>
          <t>Profundidad</t>
        </is>
      </c>
      <c r="B7" s="47" t="n">
        <v>-4.5</v>
      </c>
      <c r="C7" s="11" t="inlineStr">
        <is>
          <t>m</t>
        </is>
      </c>
      <c r="D7" s="51" t="inlineStr">
        <is>
          <t>Nota del plano: h = -4,50 m desde la cota +-0,00 de vereda.</t>
        </is>
      </c>
      <c r="E7" s="2" t="n"/>
    </row>
    <row r="8">
      <c r="A8" s="46" t="inlineStr">
        <is>
          <t>Coef. de mayoracion adoptado</t>
        </is>
      </c>
      <c r="B8" s="47" t="n">
        <v>1.4</v>
      </c>
      <c r="C8" s="11" t="inlineStr">
        <is>
          <t>-</t>
        </is>
      </c>
      <c r="D8" s="51" t="inlineStr">
        <is>
          <t>Para pasar de carga mayorada a carga de servicio.</t>
        </is>
      </c>
      <c r="E8" s="2" t="n"/>
    </row>
    <row r="9">
      <c r="A9" s="2" t="n"/>
      <c r="B9" s="2" t="n"/>
      <c r="C9" s="2" t="n"/>
      <c r="D9" s="2" t="n"/>
      <c r="E9" s="2" t="n"/>
    </row>
    <row r="10">
      <c r="A10" s="57" t="inlineStr">
        <is>
          <t>TIPOS DE PILOTE  (nota general del plano: CANTIDAD 33 PILOTES)</t>
        </is>
      </c>
      <c r="B10" s="2" t="n"/>
      <c r="C10" s="2" t="n"/>
      <c r="D10" s="2" t="n"/>
      <c r="E10" s="2" t="n"/>
    </row>
    <row r="11">
      <c r="A11" s="45" t="inlineStr">
        <is>
          <t>tipo</t>
        </is>
      </c>
      <c r="B11" s="45" t="inlineStr">
        <is>
          <t>cantidad</t>
        </is>
      </c>
      <c r="C11" s="45" t="inlineStr">
        <is>
          <t>cota fundacion</t>
        </is>
      </c>
      <c r="D11" s="45" t="inlineStr">
        <is>
          <t>nivel llenado</t>
        </is>
      </c>
      <c r="E11" s="45" t="inlineStr">
        <is>
          <t>long. hormigon</t>
        </is>
      </c>
    </row>
    <row r="12">
      <c r="A12" s="46" t="inlineStr">
        <is>
          <t>Pilote tipo "A"</t>
        </is>
      </c>
      <c r="B12" s="58" t="n">
        <v>8</v>
      </c>
      <c r="C12" s="58" t="n">
        <v>-4.5</v>
      </c>
      <c r="D12" s="58" t="n">
        <v>-0.4</v>
      </c>
      <c r="E12" s="58" t="n">
        <v>4.1</v>
      </c>
    </row>
    <row r="13">
      <c r="A13" s="46" t="inlineStr">
        <is>
          <t>Pilote tipo "B"</t>
        </is>
      </c>
      <c r="B13" s="58" t="n">
        <v>5</v>
      </c>
      <c r="C13" s="58" t="n">
        <v>-4.5</v>
      </c>
      <c r="D13" s="58" t="n">
        <v>-0.35</v>
      </c>
      <c r="E13" s="58" t="n">
        <v>4.15</v>
      </c>
    </row>
    <row r="14">
      <c r="A14" s="46" t="inlineStr">
        <is>
          <t>Pilote tipo "C"</t>
        </is>
      </c>
      <c r="B14" s="58" t="n">
        <v>16</v>
      </c>
      <c r="C14" s="58" t="n">
        <v>-4.5</v>
      </c>
      <c r="D14" s="58" t="n">
        <v>-0.05</v>
      </c>
      <c r="E14" s="58" t="n">
        <v>4.45</v>
      </c>
    </row>
    <row r="15">
      <c r="A15" s="46" t="inlineStr">
        <is>
          <t>Pilote tipo "D"</t>
        </is>
      </c>
      <c r="B15" s="58" t="n">
        <v>4</v>
      </c>
      <c r="C15" s="58" t="n">
        <v>-4.5</v>
      </c>
      <c r="D15" s="58" t="n">
        <v>-0.1</v>
      </c>
      <c r="E15" s="58" t="n">
        <v>4.4</v>
      </c>
    </row>
    <row r="16">
      <c r="A16" s="2" t="n"/>
      <c r="B16" s="2" t="n"/>
      <c r="C16" s="2" t="n"/>
      <c r="D16" s="2" t="n"/>
      <c r="E16" s="2" t="n"/>
    </row>
    <row r="17">
      <c r="A17" s="42" t="inlineStr">
        <is>
          <t>Los cuatro tipos se funden a -4,50 m; se diferencian en el nivel de llenado de hormigon, o sea en la longitud real del fuste.</t>
        </is>
      </c>
      <c r="B17" s="2" t="n"/>
      <c r="C17" s="2" t="n"/>
      <c r="D17" s="2" t="n"/>
      <c r="E17" s="2" t="n"/>
    </row>
    <row r="18">
      <c r="A18" s="41" t="inlineStr">
        <is>
          <t>El computo metrico declara 32 pilotes: le falta uno. La nota del plano dice 33, que es la cantidad que se detecta en el dibujo.</t>
        </is>
      </c>
      <c r="B18" s="2" t="n"/>
      <c r="C18" s="2" t="n"/>
      <c r="D18" s="2" t="n"/>
      <c r="E18" s="2" t="n"/>
    </row>
    <row r="19">
      <c r="A19" s="2" t="n"/>
      <c r="B19" s="2" t="n"/>
      <c r="C19" s="2" t="n"/>
      <c r="D19" s="2" t="n"/>
      <c r="E19" s="2" t="n"/>
    </row>
    <row r="20">
      <c r="A20" s="57" t="inlineStr">
        <is>
          <t>COMO SE ESTIMO LA CARGA ADMISIBLE</t>
        </is>
      </c>
      <c r="B20" s="2" t="n"/>
      <c r="C20" s="2" t="n"/>
      <c r="D20" s="2" t="n"/>
      <c r="E20" s="2" t="n"/>
    </row>
    <row r="21">
      <c r="A21" s="42" t="inlineStr">
        <is>
          <t>Pilote O30: area de punta 0,0707 m2. Punta  0,0707 x 20 t/m2 = 1,4 t.</t>
        </is>
      </c>
      <c r="B21" s="2" t="n"/>
      <c r="C21" s="2" t="n"/>
      <c r="D21" s="2" t="n"/>
      <c r="E21" s="2" t="n"/>
    </row>
    <row r="22">
      <c r="A22" s="42" t="inlineStr">
        <is>
          <t>Area lateral segun el tipo: 3,86 m2 el A, 3,91 el B, 4,19 el C y 4,15 el D.</t>
        </is>
      </c>
      <c r="B22" s="2" t="n"/>
      <c r="C22" s="2" t="n"/>
      <c r="D22" s="2" t="n"/>
      <c r="E22" s="2" t="n"/>
    </row>
    <row r="23">
      <c r="A23" s="42" t="inlineStr">
        <is>
          <t>Con una adherencia de 2,5 t/m2 la capacidad va de 11,1 t el tipo A a 11,9 t el C:</t>
        </is>
      </c>
      <c r="B23" s="2" t="n"/>
      <c r="C23" s="2" t="n"/>
      <c r="D23" s="2" t="n"/>
      <c r="E23" s="2" t="n"/>
    </row>
    <row r="24">
      <c r="A24" s="42" t="inlineStr">
        <is>
          <t>la diferencia entre tipos es menor al 8 por ciento, por eso se adopta un unico</t>
        </is>
      </c>
      <c r="B24" s="2" t="n"/>
      <c r="C24" s="2" t="n"/>
      <c r="D24" s="2" t="n"/>
      <c r="E24" s="2" t="n"/>
    </row>
    <row r="25">
      <c r="A25" s="42" t="inlineStr">
        <is>
          <t>valor de 12 t para todos, en lugar de uno por tipo.</t>
        </is>
      </c>
      <c r="B25" s="2" t="n"/>
      <c r="C25" s="2" t="n"/>
      <c r="D25" s="2" t="n"/>
      <c r="E25" s="2" t="n"/>
    </row>
    <row r="26">
      <c r="A26" s="42" t="inlineStr"/>
      <c r="B26" s="2" t="n"/>
      <c r="C26" s="2" t="n"/>
      <c r="D26" s="2" t="n"/>
      <c r="E26" s="2" t="n"/>
    </row>
    <row r="27">
      <c r="A27" s="41" t="inlineStr">
        <is>
          <t>LECTURA INVERSA, que es la util mientras no haya estudio de suelos:</t>
        </is>
      </c>
      <c r="B27" s="2" t="n"/>
      <c r="C27" s="2" t="n"/>
      <c r="D27" s="2" t="n"/>
      <c r="E27" s="2" t="n"/>
    </row>
    <row r="28">
      <c r="A28" s="42" t="inlineStr">
        <is>
          <t>con las cargas de esta planilla, para que el esquema funcione cada pilote</t>
        </is>
      </c>
      <c r="B28" s="2" t="n"/>
      <c r="C28" s="2" t="n"/>
      <c r="D28" s="2" t="n"/>
      <c r="E28" s="2" t="n"/>
    </row>
    <row r="29">
      <c r="A29" s="42" t="inlineStr">
        <is>
          <t>tiene que admitir del orden de 20 t. Si el estudio de suelos da menos,</t>
        </is>
      </c>
      <c r="B29" s="2" t="n"/>
      <c r="C29" s="2" t="n"/>
      <c r="D29" s="2" t="n"/>
      <c r="E29" s="2" t="n"/>
    </row>
    <row r="30">
      <c r="A30" s="42" t="inlineStr">
        <is>
          <t>faltan pilotes; si da mas, el diseno esta holgado.</t>
        </is>
      </c>
      <c r="B30" s="2" t="n"/>
      <c r="C30" s="2" t="n"/>
      <c r="D30" s="2" t="n"/>
      <c r="E30" s="2" t="n"/>
    </row>
    <row r="31">
      <c r="A31" s="42" t="inlineStr"/>
      <c r="B31" s="2" t="n"/>
      <c r="C31" s="2" t="n"/>
      <c r="D31" s="2" t="n"/>
      <c r="E31" s="2" t="n"/>
    </row>
    <row r="32">
      <c r="A32" s="42" t="inlineStr">
        <is>
          <t>FALTA: la nota del plano remite a las planillas de cada tipo de pilote, que</t>
        </is>
      </c>
      <c r="B32" s="2" t="n"/>
      <c r="C32" s="2" t="n"/>
      <c r="D32" s="2" t="n"/>
      <c r="E32" s="2" t="n"/>
    </row>
    <row r="33">
      <c r="A33" s="42" t="inlineStr">
        <is>
          <t>traen la armadura y quiza la carga. Si aparecen, se cierra este punto.</t>
        </is>
      </c>
      <c r="B33" s="2" t="n"/>
      <c r="C33" s="2" t="n"/>
      <c r="D33" s="2" t="n"/>
      <c r="E33" s="2" t="n"/>
    </row>
    <row r="34">
      <c r="A34" s="42" t="inlineStr"/>
      <c r="B34" s="2" t="n"/>
      <c r="C34" s="2" t="n"/>
      <c r="D34" s="2" t="n"/>
      <c r="E34" s="2" t="n"/>
    </row>
    <row r="35">
      <c r="A35" s="42" t="inlineStr">
        <is>
          <t>La tension de 2 kg/cm2 que trae el calculo de bases es la del estrato</t>
        </is>
      </c>
      <c r="B35" s="2" t="n"/>
      <c r="C35" s="2" t="n"/>
      <c r="D35" s="2" t="n"/>
      <c r="E35" s="2" t="n"/>
    </row>
    <row r="36">
      <c r="A36" s="42" t="inlineStr">
        <is>
          <t>superficial, donde apoyaban las bases. Los pilotes llegan a -4,50 m y</t>
        </is>
      </c>
      <c r="B36" s="2" t="n"/>
      <c r="C36" s="2" t="n"/>
      <c r="D36" s="2" t="n"/>
      <c r="E36" s="2" t="n"/>
    </row>
    <row r="37">
      <c r="A37" s="42" t="inlineStr">
        <is>
          <t>trabajan sobre todo por friccion: son dos cosas distintas.</t>
        </is>
      </c>
      <c r="B37" s="2" t="n"/>
      <c r="C37" s="2" t="n"/>
      <c r="D37" s="2" t="n"/>
      <c r="E37" s="2"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3"/>
  <sheetViews>
    <sheetView showGridLines="0" workbookViewId="0">
      <selection activeCell="A1" sqref="A1"/>
    </sheetView>
  </sheetViews>
  <sheetFormatPr baseColWidth="8" defaultRowHeight="15"/>
  <cols>
    <col width="22" customWidth="1" min="1" max="1"/>
    <col width="96" customWidth="1" min="2" max="2"/>
  </cols>
  <sheetData>
    <row r="1">
      <c r="A1" s="59" t="inlineStr">
        <is>
          <t>MEMORIA - ILUMINACION Y VENTILACION</t>
        </is>
      </c>
      <c r="B1" s="60" t="inlineStr"/>
    </row>
    <row r="2">
      <c r="A2" s="60" t="inlineStr"/>
      <c r="B2" s="61" t="inlineStr"/>
    </row>
    <row r="3">
      <c r="A3" s="60" t="inlineStr">
        <is>
          <t>CRITERIO</t>
        </is>
      </c>
      <c r="B3" s="60" t="inlineStr">
        <is>
          <t>Area de iluminacion requerida = superficie del local / 9</t>
        </is>
      </c>
    </row>
    <row r="4">
      <c r="A4" s="60" t="inlineStr"/>
      <c r="B4" s="61" t="inlineStr">
        <is>
          <t>Area de ventilacion requerida = un tercio de la de iluminacion = superficie / 27</t>
        </is>
      </c>
    </row>
    <row r="5">
      <c r="A5" s="60" t="inlineStr"/>
      <c r="B5" s="61" t="inlineStr">
        <is>
          <t>Area proyectada: la vidriada de la carpinteria para iluminacion, y la parte que</t>
        </is>
      </c>
    </row>
    <row r="6">
      <c r="A6" s="60" t="inlineStr"/>
      <c r="B6" s="61" t="inlineStr">
        <is>
          <t>realmente abre para ventilacion.</t>
        </is>
      </c>
    </row>
    <row r="7">
      <c r="A7" s="60" t="inlineStr"/>
      <c r="B7" s="61" t="inlineStr"/>
    </row>
    <row r="8">
      <c r="A8" s="60" t="inlineStr">
        <is>
          <t>RESULTADO</t>
        </is>
      </c>
      <c r="B8" s="60" t="inlineStr">
        <is>
          <t>Los trece locales cumplen holgadamente iluminacion y ventilacion.</t>
        </is>
      </c>
    </row>
    <row r="9">
      <c r="A9" s="60" t="inlineStr"/>
      <c r="B9" s="61" t="inlineStr"/>
    </row>
    <row r="10">
      <c r="A10" s="60" t="inlineStr">
        <is>
          <t>CORRECCION</t>
        </is>
      </c>
      <c r="B10" s="60" t="inlineStr">
        <is>
          <t>Local 07, Hall / ingreso: la planilla original traia 0,66 y 0,22, que son los</t>
        </is>
      </c>
    </row>
    <row r="11">
      <c r="A11" s="60" t="inlineStr"/>
      <c r="B11" s="61" t="inlineStr">
        <is>
          <t>valores del local 03 (Lavadero, 6,0 m2). Con sus 3,50 x 2,15 = 7,53 m2 corresponden</t>
        </is>
      </c>
    </row>
    <row r="12">
      <c r="A12" s="60" t="inlineStr"/>
      <c r="B12" s="61" t="inlineStr">
        <is>
          <t>0,84 y 0,28. No cambia el resultado, pero el numero no cerraba con la superficie</t>
        </is>
      </c>
    </row>
    <row r="13">
      <c r="A13" s="60" t="inlineStr"/>
      <c r="B13" s="61" t="inlineStr">
        <is>
          <t>declarada y un verificador lo puede observar.</t>
        </is>
      </c>
    </row>
    <row r="14">
      <c r="A14" s="60" t="inlineStr"/>
      <c r="B14" s="61" t="inlineStr"/>
    </row>
    <row r="15">
      <c r="A15" s="60" t="inlineStr">
        <is>
          <t>A REVISAR</t>
        </is>
      </c>
      <c r="B15" s="60" t="inlineStr">
        <is>
          <t>Local 14, Estar / Playroom: declara 5,00 m2 de ventilacion sobre 5,00 m2 de</t>
        </is>
      </c>
    </row>
    <row r="16">
      <c r="A16" s="60" t="inlineStr"/>
      <c r="B16" s="61" t="inlineStr">
        <is>
          <t>iluminacion, es decir una carpinteria enteramente abrible. En los demas locales</t>
        </is>
      </c>
    </row>
    <row r="17">
      <c r="A17" s="60" t="inlineStr"/>
      <c r="B17" s="61" t="inlineStr">
        <is>
          <t>la relacion es del 50 por ciento. Conviene verificar la carpinteria real.</t>
        </is>
      </c>
    </row>
    <row r="18">
      <c r="A18" s="60" t="inlineStr"/>
      <c r="B18" s="61" t="inlineStr"/>
    </row>
    <row r="19">
      <c r="A19" s="60" t="inlineStr"/>
      <c r="B19" s="61" t="inlineStr">
        <is>
          <t>Local 02, Deposito: figura sin exigencia por no ser habitable. Son 11,8 m2</t>
        </is>
      </c>
    </row>
    <row r="20">
      <c r="A20" s="60" t="inlineStr"/>
      <c r="B20" s="61" t="inlineStr">
        <is>
          <t>cerrados: si se lo considera habitable hay que preverle conducto.</t>
        </is>
      </c>
    </row>
    <row r="21">
      <c r="A21" s="60" t="inlineStr"/>
      <c r="B21" s="61" t="inlineStr"/>
    </row>
    <row r="22">
      <c r="A22" s="60" t="inlineStr">
        <is>
          <t>REDONDEOS</t>
        </is>
      </c>
      <c r="B22" s="60" t="inlineStr">
        <is>
          <t>Diferencias menores que no afectan: local 03 da 5,95 m2 y figura 6,0;</t>
        </is>
      </c>
    </row>
    <row r="23">
      <c r="A23" s="60" t="inlineStr"/>
      <c r="B23" s="61" t="inlineStr">
        <is>
          <t>local 09 da 12,25 y figura 12,3.</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1"/>
  <sheetViews>
    <sheetView showGridLines="0" workbookViewId="0">
      <selection activeCell="A1" sqref="A1"/>
    </sheetView>
  </sheetViews>
  <sheetFormatPr baseColWidth="8" defaultRowHeight="15"/>
  <cols>
    <col width="24" customWidth="1" min="1" max="1"/>
    <col width="98" customWidth="1" min="2" max="2"/>
  </cols>
  <sheetData>
    <row r="1">
      <c r="A1" s="59" t="inlineStr">
        <is>
          <t>MEMORIA DE CALCULO - VIGAS H°A°</t>
        </is>
      </c>
      <c r="B1" s="60" t="inlineStr"/>
    </row>
    <row r="2">
      <c r="A2" s="60" t="inlineStr"/>
      <c r="B2" s="61" t="inlineStr"/>
    </row>
    <row r="3">
      <c r="A3" s="60" t="inlineStr">
        <is>
          <t>NORMATIVA</t>
        </is>
      </c>
      <c r="B3" s="60" t="inlineStr">
        <is>
          <t>CIRSOC 201. Hormigon H-21 (f'c 210 kg/cm2). Acero 42/50 (fy 4200 kg/cm2).</t>
        </is>
      </c>
    </row>
    <row r="4">
      <c r="A4" s="60" t="inlineStr">
        <is>
          <t>UNIDADES</t>
        </is>
      </c>
      <c r="B4" s="60" t="inlineStr">
        <is>
          <t>Longitudes en m y cm. Cargas en kg/m. Momentos en kgm. Tensiones en kg/cm2.</t>
        </is>
      </c>
    </row>
    <row r="5">
      <c r="A5" s="60" t="inlineStr">
        <is>
          <t>DIMENSIONES</t>
        </is>
      </c>
      <c r="B5" s="60" t="inlineStr">
        <is>
          <t>b = ancho | h = altura util | d = altura total (igual criterio que la planilla de catedra).</t>
        </is>
      </c>
    </row>
    <row r="6">
      <c r="A6" s="60" t="inlineStr"/>
      <c r="B6" s="61" t="inlineStr"/>
    </row>
    <row r="7">
      <c r="A7" s="60" t="inlineStr">
        <is>
          <t>1. CARGAS</t>
        </is>
      </c>
      <c r="B7" s="60" t="inlineStr"/>
    </row>
    <row r="8">
      <c r="A8" s="60" t="inlineStr">
        <is>
          <t>Entrepiso PA</t>
        </is>
      </c>
      <c r="B8" s="61" t="inlineStr">
        <is>
          <t>Losa maciza 12 cm 300 + contrapiso 130 + carpeta 42 + piso 50 + cielorraso 20</t>
        </is>
      </c>
    </row>
    <row r="9">
      <c r="A9" s="60" t="inlineStr"/>
      <c r="B9" s="61" t="inlineStr">
        <is>
          <t>g = 550 kg/m2       q = 200 kg/m2 (vivienda)</t>
        </is>
      </c>
    </row>
    <row r="10">
      <c r="A10" s="60" t="inlineStr">
        <is>
          <t>Azotea</t>
        </is>
      </c>
      <c r="B10" s="61" t="inlineStr">
        <is>
          <t>Losa 300 + contrapiso de pendiente 140 + carpeta 42 + aislacion y membrana 50 + cielorraso 20</t>
        </is>
      </c>
    </row>
    <row r="11">
      <c r="A11" s="60" t="inlineStr"/>
      <c r="B11" s="61" t="inlineStr">
        <is>
          <t>g = 560 kg/m2       q = 100 kg/m2 (cubierta no accesible)</t>
        </is>
      </c>
    </row>
    <row r="12">
      <c r="A12" s="60" t="inlineStr">
        <is>
          <t>Mamposteria</t>
        </is>
      </c>
      <c r="B12" s="61" t="inlineStr">
        <is>
          <t>250 kg/m2. Altura 2,60 m en PA y 1,00 m de parapeto en azotea.</t>
        </is>
      </c>
    </row>
    <row r="13">
      <c r="A13" s="60" t="inlineStr">
        <is>
          <t>Peso propio</t>
        </is>
      </c>
      <c r="B13" s="61" t="inlineStr">
        <is>
          <t>2400 kg/m3 x b x d, viga por viga.</t>
        </is>
      </c>
    </row>
    <row r="14">
      <c r="A14" s="60" t="inlineStr">
        <is>
          <t>Carga de calculo</t>
        </is>
      </c>
      <c r="B14" s="61" t="inlineStr">
        <is>
          <t>p = 1,2 (g x B + peso propio + muro) + 1,6 (q x B)        B = ancho tributario</t>
        </is>
      </c>
    </row>
    <row r="15">
      <c r="A15" s="60" t="inlineStr"/>
      <c r="B15" s="61" t="inlineStr"/>
    </row>
    <row r="16">
      <c r="A16" s="60" t="inlineStr">
        <is>
          <t>2. SOLICITACIONES</t>
        </is>
      </c>
      <c r="B16" s="60" t="inlineStr">
        <is>
          <t>Coeficientes segun esquema (tabla en hoja Datos):</t>
        </is>
      </c>
    </row>
    <row r="17">
      <c r="A17" s="60" t="inlineStr"/>
      <c r="B17" s="61" t="inlineStr">
        <is>
          <t xml:space="preserve">  Simplemente apoyada   M = pL2/8                    R = 0,500 pL</t>
        </is>
      </c>
    </row>
    <row r="18">
      <c r="A18" s="60" t="inlineStr"/>
      <c r="B18" s="61" t="inlineStr">
        <is>
          <t xml:space="preserve">  Continua              M = pL2/14   Mapoyo = pL2/10  R = 0,575 pL</t>
        </is>
      </c>
    </row>
    <row r="19">
      <c r="A19" s="60" t="inlineStr"/>
      <c r="B19" s="61" t="inlineStr">
        <is>
          <t xml:space="preserve">  Empotrada-apoyada     M = 9pL2/128 Mapoyo = pL2/8   R = 0,625 pL</t>
        </is>
      </c>
    </row>
    <row r="20">
      <c r="A20" s="60" t="inlineStr"/>
      <c r="B20" s="61" t="inlineStr">
        <is>
          <t xml:space="preserve">  Biempotrada           M = pL2/24   Mapoyo = pL2/12  R = 0,500 pL</t>
        </is>
      </c>
    </row>
    <row r="21">
      <c r="A21" s="60" t="inlineStr"/>
      <c r="B21" s="61" t="inlineStr">
        <is>
          <t xml:space="preserve">  Voladizo                           Mapoyo = pL2/2   R = 1,000 pL</t>
        </is>
      </c>
    </row>
    <row r="22">
      <c r="A22" s="60" t="inlineStr"/>
      <c r="B22" s="61" t="inlineStr"/>
    </row>
    <row r="23">
      <c r="A23" s="60" t="inlineStr">
        <is>
          <t>3. FLEXION</t>
        </is>
      </c>
      <c r="B23" s="60" t="inlineStr">
        <is>
          <t>k = M / (phi b h2 f'c)      w = 1 - RAIZ(1 - 2k)      As = w b h f'c / fy</t>
        </is>
      </c>
    </row>
    <row r="24">
      <c r="A24" s="60" t="inlineStr"/>
      <c r="B24" s="61" t="inlineStr">
        <is>
          <t>As min = 0,0033 b h       As max = 0,0163 b h (0,75 de la cuantia balanceada)</t>
        </is>
      </c>
    </row>
    <row r="25">
      <c r="A25" s="60" t="inlineStr"/>
      <c r="B25" s="61" t="inlineStr">
        <is>
          <t>Si la armadura no entra en una capa se disponen dos y el recubrimiento pasa a 6 cm.</t>
        </is>
      </c>
    </row>
    <row r="26">
      <c r="A26" s="60" t="inlineStr"/>
      <c r="B26" s="61" t="inlineStr"/>
    </row>
    <row r="27">
      <c r="A27" s="60" t="inlineStr">
        <is>
          <t>4. CORTE</t>
        </is>
      </c>
      <c r="B27" s="60" t="inlineStr">
        <is>
          <t>T = R / (b x 0,85 h)       tension tangencial en el apoyo</t>
        </is>
      </c>
    </row>
    <row r="28">
      <c r="A28" s="60" t="inlineStr"/>
      <c r="B28" s="61" t="inlineStr">
        <is>
          <t>Vc = 0,53 RAIZ(f'c) b h        phi Vn = 0,75 (Vc + Av fy h / s)  &gt;=  R</t>
        </is>
      </c>
    </row>
    <row r="29">
      <c r="A29" s="60" t="inlineStr"/>
      <c r="B29" s="61" t="inlineStr">
        <is>
          <t>Av = 2 ramas. Se aumenta el diametro antes que cerrar la separacion por debajo de 10 cm.</t>
        </is>
      </c>
    </row>
    <row r="30">
      <c r="A30" s="60" t="inlineStr"/>
      <c r="B30" s="61" t="inlineStr"/>
    </row>
    <row r="31">
      <c r="A31" s="60" t="inlineStr">
        <is>
          <t>5. FLECHA</t>
        </is>
      </c>
      <c r="B31" s="60" t="inlineStr">
        <is>
          <t>Altura minima: simplemente apoyada L/16, un extremo continuo L/18,5,</t>
        </is>
      </c>
    </row>
    <row r="32">
      <c r="A32" s="60" t="inlineStr"/>
      <c r="B32" s="61" t="inlineStr">
        <is>
          <t>ambos extremos continuos L/21, voladizo L/8.</t>
        </is>
      </c>
    </row>
    <row r="33">
      <c r="A33" s="60" t="inlineStr"/>
      <c r="B33" s="61" t="inlineStr"/>
    </row>
    <row r="34">
      <c r="A34" s="60" t="inlineStr">
        <is>
          <t>6. VIGAS INVERTIDAS</t>
        </is>
      </c>
      <c r="B34" s="60" t="inlineStr">
        <is>
          <t>Las vigas de BORDE son invertidas: sobresalen 70 cm por encima del fondo de</t>
        </is>
      </c>
    </row>
    <row r="35">
      <c r="A35" s="60" t="inlineStr"/>
      <c r="B35" s="61" t="inlineStr">
        <is>
          <t>losa (cotas N.F.L +3,50 / N.S.V +4,20 y N.F.L +6,80 / N.S.V +7,50 del plano).</t>
        </is>
      </c>
    </row>
    <row r="36">
      <c r="A36" s="60" t="inlineStr"/>
      <c r="B36" s="61" t="inlineStr">
        <is>
          <t>losa. Lo confirman las cotas del plano y el hecho de que el cielorraso sea de</t>
        </is>
      </c>
    </row>
    <row r="37">
      <c r="A37" s="60" t="inlineStr"/>
      <c r="B37" s="61" t="inlineStr">
        <is>
          <t>VI 06 mide 14,00 m en total y es el cuarto borde de L07. Sobre su eje hay cuatro</t>
        </is>
      </c>
    </row>
    <row r="38">
      <c r="A38" s="60" t="inlineStr"/>
      <c r="B38" s="61" t="inlineStr">
        <is>
          <t>columnas, de modo que trabaja como viga continua de tres tramos de 4,10, 4,32 y</t>
        </is>
      </c>
    </row>
    <row r="39">
      <c r="A39" s="60" t="inlineStr"/>
      <c r="B39" s="61" t="inlineStr">
        <is>
          <t>6,53 m. Se calcula con el mayor, 6,53 m, que es el que gobierna.</t>
        </is>
      </c>
    </row>
    <row r="40">
      <c r="A40" s="60" t="inlineStr"/>
      <c r="B40" s="61" t="inlineStr">
        <is>
          <t>hormigon visto: una viga colgante quedaria a la vista. El computo metrico las</t>
        </is>
      </c>
    </row>
    <row r="41">
      <c r="A41" s="60" t="inlineStr"/>
      <c r="B41" s="61" t="inlineStr">
        <is>
          <t>agrupa a las 28 bajo el rubro Vigas invertidas 15x70.</t>
        </is>
      </c>
    </row>
    <row r="42">
      <c r="A42" s="60" t="inlineStr"/>
      <c r="B42" s="61" t="inlineStr">
        <is>
          <t>Esto define donde la losa aporta ala comprimida:</t>
        </is>
      </c>
    </row>
    <row r="43">
      <c r="A43" s="60" t="inlineStr"/>
      <c r="B43" s="61" t="inlineStr">
        <is>
          <t xml:space="preserve">  viga COLGANTE  -&gt; la losa esta arriba  -&gt; ala util en el TRAMO (momento positivo)</t>
        </is>
      </c>
    </row>
    <row r="44">
      <c r="A44" s="60" t="inlineStr"/>
      <c r="B44" s="61" t="inlineStr">
        <is>
          <t xml:space="preserve">  viga INVERTIDA -&gt; la losa esta abajo   -&gt; ala util en el APOYO (momento negativo)</t>
        </is>
      </c>
    </row>
    <row r="45">
      <c r="A45" s="60" t="inlineStr"/>
      <c r="B45" s="61" t="inlineStr">
        <is>
          <t>En la zona con ala se adopta b efectivo = min(L/4 ; b + 16 hf); en la otra, la</t>
        </is>
      </c>
    </row>
    <row r="46">
      <c r="A46" s="60" t="inlineStr"/>
      <c r="B46" s="61" t="inlineStr">
        <is>
          <t>seccion es rectangular de ancho b. Las columnas b ef tramo y b ef apoyo lo muestran.</t>
        </is>
      </c>
    </row>
    <row r="47">
      <c r="A47" s="60" t="inlineStr"/>
      <c r="B47" s="61" t="inlineStr">
        <is>
          <t>PENDIENTE: las invertidas de BORDE (VI 01a, 01b, 07a, 07b, 07c, 11a, 11b, 11c,</t>
        </is>
      </c>
    </row>
    <row r="48">
      <c r="A48" s="60" t="inlineStr"/>
      <c r="B48" s="61" t="inlineStr">
        <is>
          <t>15a y 15b) reciben la reaccion de la losa de un solo lado, excentrica respecto</t>
        </is>
      </c>
    </row>
    <row r="49">
      <c r="A49" s="60" t="inlineStr"/>
      <c r="B49" s="61" t="inlineStr">
        <is>
          <t>de su eje, y quedan sometidas a TORSION. Esta planilla no la verifica.</t>
        </is>
      </c>
    </row>
    <row r="50">
      <c r="A50" s="60" t="inlineStr"/>
      <c r="B50" s="61" t="inlineStr"/>
    </row>
    <row r="51">
      <c r="A51" s="60" t="inlineStr">
        <is>
          <t>7. RESULTADO</t>
        </is>
      </c>
      <c r="B51" s="60" t="inlineStr">
        <is>
          <t>30 vigas: 21 del entrepiso PA y 9 de la losa de techo. 28 verifican.</t>
        </is>
      </c>
    </row>
    <row r="52">
      <c r="A52" s="60" t="inlineStr"/>
      <c r="B52" s="61" t="inlineStr">
        <is>
          <t>VI 02 (15x60, 9,88 m): recibe L02 y L03, B = 2,88 m. La armadura de apoyo</t>
        </is>
      </c>
    </row>
    <row r="53">
      <c r="A53" s="60" t="inlineStr"/>
      <c r="B53" s="61" t="inlineStr">
        <is>
          <t xml:space="preserve">   necesaria ronda los 25 cm2 y supera la cuantia maxima. Los apoyos estan</t>
        </is>
      </c>
    </row>
    <row r="54">
      <c r="A54" s="60" t="inlineStr"/>
      <c r="B54" s="61" t="inlineStr">
        <is>
          <t xml:space="preserve">   confirmados en obra: tabique T07 perpendicular arriba y COL 02 abajo, sin apoyo</t>
        </is>
      </c>
    </row>
    <row r="55">
      <c r="A55" s="60" t="inlineStr"/>
      <c r="B55" s="61" t="inlineStr">
        <is>
          <t xml:space="preserve">   intermedio. Para esta carga la seccion necesaria es 15x75.</t>
        </is>
      </c>
    </row>
    <row r="56">
      <c r="A56" s="60" t="inlineStr"/>
      <c r="B56" s="61" t="inlineStr">
        <is>
          <t>VCH 03a (40x13, 3,83 m). Recibe L03, B = 2,08 m, y no</t>
        </is>
      </c>
    </row>
    <row r="57">
      <c r="A57" s="60" t="inlineStr"/>
      <c r="B57" s="61" t="inlineStr">
        <is>
          <t xml:space="preserve">   verifica: haria falta mas espesor. Tampoco verifica con B = 0,60 m, asi</t>
        </is>
      </c>
    </row>
    <row r="58">
      <c r="A58" s="60" t="inlineStr"/>
      <c r="B58" s="61" t="inlineStr">
        <is>
          <t xml:space="preserve">   que el problema no es la hipotesis de carga sino la relacion luz/espesor. Una viga</t>
        </is>
      </c>
    </row>
    <row r="59">
      <c r="A59" s="60" t="inlineStr"/>
      <c r="B59" s="61" t="inlineStr">
        <is>
          <t xml:space="preserve">   chata del mismo espesor que la losa no puede ser apoyo lineal de un pano de 4,15 m.</t>
        </is>
      </c>
    </row>
    <row r="60">
      <c r="A60" s="60" t="inlineStr"/>
      <c r="B60" s="61" t="inlineStr">
        <is>
          <t xml:space="preserve">   Revisar si tiene un muro debajo que acorte su luz libre.</t>
        </is>
      </c>
    </row>
    <row r="61">
      <c r="A61" s="60" t="inlineStr"/>
      <c r="B61" s="61" t="inlineStr">
        <is>
          <t>VCH 03a (40x13, 3,71 m): excede la cuantia maxima y no llega a la altura minima por</t>
        </is>
      </c>
    </row>
    <row r="62">
      <c r="A62" s="60" t="inlineStr"/>
      <c r="B62" s="61" t="inlineStr">
        <is>
          <t xml:space="preserve">   flecha. Revisar el ancho tributario: si solo recibe el muro y no losa, baja mucho.</t>
        </is>
      </c>
    </row>
    <row r="63">
      <c r="A63" s="60" t="inlineStr"/>
      <c r="B63" s="61" t="inlineStr"/>
    </row>
    <row r="64">
      <c r="A64" s="60" t="inlineStr">
        <is>
          <t>8. ALCANCE</t>
        </is>
      </c>
      <c r="B64" s="61" t="inlineStr">
        <is>
          <t>No se incluyen las 31 vigas de fundacion (VF01 a VF18c): su calculo depende de las</t>
        </is>
      </c>
    </row>
    <row r="65">
      <c r="A65" s="60" t="inlineStr"/>
      <c r="B65" s="61" t="inlineStr">
        <is>
          <t>cargas que bajan por las columnas y corresponde hacerlo despues. Tampoco losas ni columnas.</t>
        </is>
      </c>
    </row>
    <row r="66">
      <c r="A66" s="60" t="inlineStr"/>
      <c r="B66" s="61" t="inlineStr"/>
    </row>
    <row r="67">
      <c r="A67" s="60" t="inlineStr">
        <is>
          <t>LIMITACIONES</t>
        </is>
      </c>
      <c r="B67" s="60" t="inlineStr">
        <is>
          <t>El ancho tributario B esta relevado solo en</t>
        </is>
      </c>
    </row>
    <row r="68">
      <c r="A68" s="60" t="inlineStr"/>
      <c r="B68" s="61" t="inlineStr">
        <is>
          <t>VI 02 (0,80 m) y VCH 03a (2,08 m). En las demas sigue adoptado en 2,00 m, a falta</t>
        </is>
      </c>
    </row>
    <row r="69">
      <c r="A69" s="60" t="inlineStr"/>
      <c r="B69" s="61" t="inlineStr">
        <is>
          <t>hipotesis mas influyente del calculo: ajustarla viga por viga en la columna B trib.</t>
        </is>
      </c>
    </row>
    <row r="70">
      <c r="A70" s="60" t="inlineStr"/>
      <c r="B70" s="61" t="inlineStr">
        <is>
          <t>El esquema se asigno por criterio: continua si integra una serie a-b-c o si supera 5,5 m.</t>
        </is>
      </c>
    </row>
    <row r="71">
      <c r="A71" s="60" t="inlineStr"/>
      <c r="B71" s="61" t="inlineStr">
        <is>
          <t>Trabajo academico. Requiere verificacion y firma de profesional matriculado.</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4"/>
  <sheetViews>
    <sheetView showGridLines="0" workbookViewId="0">
      <selection activeCell="A1" sqref="A1"/>
    </sheetView>
  </sheetViews>
  <sheetFormatPr baseColWidth="8" defaultRowHeight="15"/>
  <cols>
    <col width="24" customWidth="1" min="1" max="1"/>
    <col width="96" customWidth="1" min="2" max="2"/>
  </cols>
  <sheetData>
    <row r="1">
      <c r="A1" s="59" t="inlineStr">
        <is>
          <t>MEMORIA DE CALCULO - LOSAS</t>
        </is>
      </c>
      <c r="B1" s="60" t="inlineStr"/>
    </row>
    <row r="2">
      <c r="A2" s="60" t="inlineStr"/>
      <c r="B2" s="61" t="inlineStr"/>
    </row>
    <row r="3">
      <c r="A3" s="60" t="inlineStr">
        <is>
          <t>METODO</t>
        </is>
      </c>
      <c r="B3" s="60" t="inlineStr">
        <is>
          <t>Tensiones admisibles, igual criterio que la planilla modelo de la catedra.</t>
        </is>
      </c>
    </row>
    <row r="4">
      <c r="A4" s="60" t="inlineStr"/>
      <c r="B4" s="61" t="inlineStr">
        <is>
          <t>Se verifico contra la fila de ejemplo: momentos y reacciones coinciden exactamente.</t>
        </is>
      </c>
    </row>
    <row r="5">
      <c r="A5" s="60" t="inlineStr">
        <is>
          <t>MATERIALES</t>
        </is>
      </c>
      <c r="B5" s="60" t="inlineStr">
        <is>
          <t>H-21 (f'c 210 kg/cm2). Acero 42/50 (fy 4200). Tension admisible 2400 kg/cm2.</t>
        </is>
      </c>
    </row>
    <row r="6">
      <c r="A6" s="60" t="inlineStr">
        <is>
          <t>DIMENSIONES</t>
        </is>
      </c>
      <c r="B6" s="60" t="inlineStr">
        <is>
          <t>h = altura util | d = espesor total. Recubrimiento 1,5 cm.</t>
        </is>
      </c>
    </row>
    <row r="7">
      <c r="A7" s="60" t="inlineStr"/>
      <c r="B7" s="61" t="inlineStr"/>
    </row>
    <row r="8">
      <c r="A8" s="60" t="inlineStr">
        <is>
          <t>1. CARGAS</t>
        </is>
      </c>
      <c r="B8" s="60" t="inlineStr">
        <is>
          <t>p = peso propio + terminaciones + q      (cargas de servicio, sin mayorar)</t>
        </is>
      </c>
    </row>
    <row r="9">
      <c r="A9" s="60" t="inlineStr"/>
      <c r="B9" s="61" t="inlineStr">
        <is>
          <t>Peso propio = 2400 x d / 100, calculado con el espesor propio de cada losa.</t>
        </is>
      </c>
    </row>
    <row r="10">
      <c r="A10" s="60" t="inlineStr">
        <is>
          <t>S/PB</t>
        </is>
      </c>
      <c r="B10" s="61" t="inlineStr">
        <is>
          <t>Terminaciones 242 kg/m2 (contrapiso 130 + carpeta 42 + piso 50 + cielorraso 20)</t>
        </is>
      </c>
    </row>
    <row r="11">
      <c r="A11" s="60" t="inlineStr"/>
      <c r="B11" s="61" t="inlineStr">
        <is>
          <t>q = 200 kg/m2 (vivienda)</t>
        </is>
      </c>
    </row>
    <row r="12">
      <c r="A12" s="60" t="inlineStr">
        <is>
          <t>S/PA</t>
        </is>
      </c>
      <c r="B12" s="61" t="inlineStr">
        <is>
          <t>Terminaciones 252 kg/m2 (contrapiso pendiente 140 + carpeta 42 + aislacion 50 +</t>
        </is>
      </c>
    </row>
    <row r="13">
      <c r="A13" s="60" t="inlineStr"/>
      <c r="B13" s="61" t="inlineStr">
        <is>
          <t>cielorraso 20).  q = 100 kg/m2 (azotea no accesible)</t>
        </is>
      </c>
    </row>
    <row r="14">
      <c r="A14" s="60" t="inlineStr"/>
      <c r="B14" s="61" t="inlineStr"/>
    </row>
    <row r="15">
      <c r="A15" s="60" t="inlineStr">
        <is>
          <t>2. SOLICITACIONES</t>
        </is>
      </c>
      <c r="B15" s="60" t="inlineStr">
        <is>
          <t>M = coeficiente x p x L2, segun el grado de empotramiento:</t>
        </is>
      </c>
    </row>
    <row r="16">
      <c r="A16" s="60" t="inlineStr"/>
      <c r="B16" s="61" t="inlineStr">
        <is>
          <t xml:space="preserve">  1/8 simplemente apoyada    1/10 y 1/14 continua    1/12 biempotrada    1/2 voladizo</t>
        </is>
      </c>
    </row>
    <row r="17">
      <c r="A17" s="60" t="inlineStr"/>
      <c r="B17" s="61" t="inlineStr">
        <is>
          <t>R = coeficiente x p x L. En voladizo Rx = p x L y Ry no corresponde.</t>
        </is>
      </c>
    </row>
    <row r="18">
      <c r="A18" s="60" t="inlineStr"/>
      <c r="B18" s="61" t="inlineStr"/>
    </row>
    <row r="19">
      <c r="A19" s="60" t="inlineStr">
        <is>
          <t>3. ARMADURA</t>
        </is>
      </c>
      <c r="B19" s="60" t="inlineStr">
        <is>
          <t>As = M x 100 / (2400 x 0,9 x h)        [cm2/m]</t>
        </is>
      </c>
    </row>
    <row r="20">
      <c r="A20" s="60" t="inlineStr"/>
      <c r="B20" s="61" t="inlineStr">
        <is>
          <t>separacion = 100 x area de la barra / As, redondeada, con maximo 20 cm</t>
        </is>
      </c>
    </row>
    <row r="21">
      <c r="A21" s="60" t="inlineStr"/>
      <c r="B21" s="61" t="inlineStr">
        <is>
          <t>Armadura de reparticion = As / 5, con un minimo de 0,30 cm2/m</t>
        </is>
      </c>
    </row>
    <row r="22">
      <c r="A22" s="60" t="inlineStr"/>
      <c r="B22" s="61" t="inlineStr"/>
    </row>
    <row r="23">
      <c r="A23" s="60" t="inlineStr">
        <is>
          <t>4. ESPESORES</t>
        </is>
      </c>
      <c r="B23" s="60" t="inlineStr">
        <is>
          <t>Los espesores d se leyeron del plano: estan escritos debajo del rotulo de cada losa.</t>
        </is>
      </c>
    </row>
    <row r="24">
      <c r="A24" s="60" t="inlineStr"/>
      <c r="B24" s="61" t="inlineStr">
        <is>
          <t>S/PB:  L01 11 | L02 9 | L03 13 | L04 11 | L05 11 | L06 8 | L07 12 | L08 10</t>
        </is>
      </c>
    </row>
    <row r="25">
      <c r="A25" s="60" t="inlineStr"/>
      <c r="B25" s="61" t="inlineStr">
        <is>
          <t>S/PA:  L09 13 | L10 12</t>
        </is>
      </c>
    </row>
    <row r="26">
      <c r="A26" s="60" t="inlineStr"/>
      <c r="B26" s="61" t="inlineStr"/>
    </row>
    <row r="27">
      <c r="A27" s="60" t="inlineStr">
        <is>
          <t>5. LUCES</t>
        </is>
      </c>
      <c r="B27" s="60" t="inlineStr">
        <is>
          <t>Relevadas en obra y aportadas por el proyectista. Dos losas son voladizo</t>
        </is>
      </c>
    </row>
    <row r="28">
      <c r="A28" s="60" t="inlineStr"/>
      <c r="B28" s="61" t="inlineStr">
        <is>
          <t>(L02 de 0,80 m y L08 de 0,75 m) y se calculan con M = p L2 / 2.</t>
        </is>
      </c>
    </row>
    <row r="29">
      <c r="A29" s="60" t="inlineStr"/>
      <c r="B29" s="61" t="inlineStr"/>
    </row>
    <row r="30">
      <c r="A30" s="60" t="inlineStr">
        <is>
          <t>6. LOSAS CRUZADAS</t>
        </is>
      </c>
      <c r="B30" s="61" t="inlineStr">
        <is>
          <t>L07 (4,85 x 5,60) y L10 (4,85 x 6,00) apoyan en los cuatro bordes y su relacion</t>
        </is>
      </c>
    </row>
    <row r="31">
      <c r="A31" s="60" t="inlineStr"/>
      <c r="B31" s="61" t="inlineStr">
        <is>
          <t>de lados es menor que 2, por lo que trabajan en las dos direcciones.</t>
        </is>
      </c>
    </row>
    <row r="32">
      <c r="A32" s="60" t="inlineStr"/>
      <c r="B32" s="61" t="inlineStr">
        <is>
          <t>Se reparte la carga por el metodo de Marcus:   kx = ly4 / (lx4 + ly4)</t>
        </is>
      </c>
    </row>
    <row r="33">
      <c r="A33" s="60" t="inlineStr"/>
      <c r="B33" s="61" t="inlineStr">
        <is>
          <t xml:space="preserve">  L07: ly/lx = 1,15  -&gt;  64% en la direccion corta, 36% en la larga</t>
        </is>
      </c>
    </row>
    <row r="34">
      <c r="A34" s="60" t="inlineStr"/>
      <c r="B34" s="61" t="inlineStr">
        <is>
          <t xml:space="preserve">  L10: ly/lx = 1,24  -&gt;  70% en la direccion corta, 30% en la larga</t>
        </is>
      </c>
    </row>
    <row r="35">
      <c r="A35" s="60" t="inlineStr"/>
      <c r="B35" s="61" t="inlineStr">
        <is>
          <t>Cada una ocupa dos renglones, uno por direccion, con la fraccion de carga que</t>
        </is>
      </c>
    </row>
    <row r="36">
      <c r="A36" s="60" t="inlineStr"/>
      <c r="B36" s="61" t="inlineStr">
        <is>
          <t>le toca ya aplicada en la columna CARGAS. Las dos armaduras se cruzan en obra:</t>
        </is>
      </c>
    </row>
    <row r="37">
      <c r="A37" s="60" t="inlineStr"/>
      <c r="B37" s="61" t="inlineStr">
        <is>
          <t>la de la direccion corta va abajo, la de la larga arriba de aquella.</t>
        </is>
      </c>
    </row>
    <row r="38">
      <c r="A38" s="60" t="inlineStr"/>
      <c r="B38" s="61" t="inlineStr">
        <is>
          <t>La columna auxiliar luz transv. es la que dispara el reparto: si se borra, la</t>
        </is>
      </c>
    </row>
    <row r="39">
      <c r="A39" s="60" t="inlineStr"/>
      <c r="B39" s="61" t="inlineStr">
        <is>
          <t>fila vuelve a calcularse como losa armada en una direccion.</t>
        </is>
      </c>
    </row>
    <row r="40">
      <c r="A40" s="60" t="inlineStr"/>
      <c r="B40" s="61" t="inlineStr"/>
    </row>
    <row r="41">
      <c r="A41" s="60" t="inlineStr">
        <is>
          <t>LIMITACIONES</t>
        </is>
      </c>
      <c r="B41" s="60" t="inlineStr">
        <is>
          <t>El grado de empotramiento esta cargado en 1/8 salvo los dos voladizos (1/2). Si</t>
        </is>
      </c>
    </row>
    <row r="42">
      <c r="A42" s="60" t="inlineStr"/>
      <c r="B42" s="61" t="inlineStr">
        <is>
          <t>alguna losa es continua sobre una viga corresponde 1/10 o 1/14: corregir en la columna.</t>
        </is>
      </c>
    </row>
    <row r="43">
      <c r="A43" s="60" t="inlineStr"/>
      <c r="B43" s="61" t="inlineStr">
        <is>
          <t>El diagrama de cargas es una imagen fija: si cambias el grado, cambialo a mano.</t>
        </is>
      </c>
    </row>
    <row r="44">
      <c r="A44" s="60" t="inlineStr"/>
      <c r="B44" s="61" t="inlineStr">
        <is>
          <t>Trabajo academico. Requiere verificacion y firma de profesional matriculado.</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8"/>
  <sheetViews>
    <sheetView showGridLines="0" workbookViewId="0">
      <selection activeCell="A1" sqref="A1"/>
    </sheetView>
  </sheetViews>
  <sheetFormatPr baseColWidth="8" defaultRowHeight="15"/>
  <cols>
    <col width="24" customWidth="1" min="1" max="1"/>
    <col width="98" customWidth="1" min="2" max="2"/>
  </cols>
  <sheetData>
    <row r="1">
      <c r="A1" s="59" t="inlineStr">
        <is>
          <t>MEMORIA DE CALCULO - COLUMNAS</t>
        </is>
      </c>
      <c r="B1" s="60" t="inlineStr"/>
    </row>
    <row r="2">
      <c r="A2" s="60" t="inlineStr"/>
      <c r="B2" s="61" t="inlineStr"/>
    </row>
    <row r="3">
      <c r="A3" s="60" t="inlineStr">
        <is>
          <t>MATERIALES</t>
        </is>
      </c>
      <c r="B3" s="60" t="inlineStr">
        <is>
          <t>H-21 (f'c 210 kg/cm2). Acero 42/50 (fy 4200). phi compresion 0,65.</t>
        </is>
      </c>
    </row>
    <row r="4">
      <c r="A4" s="60" t="inlineStr"/>
      <c r="B4" s="61" t="inlineStr"/>
    </row>
    <row r="5">
      <c r="A5" s="60" t="inlineStr">
        <is>
          <t>1. RELEVAMIENTO</t>
        </is>
      </c>
      <c r="B5" s="60" t="inlineStr">
        <is>
          <t>Las columnas se identificaron en el plano cruzando el rotulo COL con un rectangulo</t>
        </is>
      </c>
    </row>
    <row r="6">
      <c r="A6" s="60" t="inlineStr"/>
      <c r="B6" s="61" t="inlineStr">
        <is>
          <t>de la misma seccion a menos de 26 pt. Resultaron 9 en PB y 4 en PA.</t>
        </is>
      </c>
    </row>
    <row r="7">
      <c r="A7" s="60" t="inlineStr"/>
      <c r="B7" s="61" t="inlineStr">
        <is>
          <t>Las 4 de PA caen exactamente sobre C6, C7, C8 y C9 de PB, y ademas tienen la misma</t>
        </is>
      </c>
    </row>
    <row r="8">
      <c r="A8" s="60" t="inlineStr"/>
      <c r="B8" s="61" t="inlineStr">
        <is>
          <t>seccion, lo que confirma que la correspondencia entre plantas es correcta.</t>
        </is>
      </c>
    </row>
    <row r="9">
      <c r="A9" s="60" t="inlineStr"/>
      <c r="B9" s="61" t="inlineStr">
        <is>
          <t>La C01 de 10x10 esta confirmada por el proyectista aunque el computo metrico no</t>
        </is>
      </c>
    </row>
    <row r="10">
      <c r="A10" s="60" t="inlineStr"/>
      <c r="B10" s="61" t="inlineStr">
        <is>
          <t>la incluya en su item 4.1.3: ese computo esta incompleto en ese punto.</t>
        </is>
      </c>
    </row>
    <row r="11">
      <c r="A11" s="60" t="inlineStr"/>
      <c r="B11" s="61" t="inlineStr"/>
    </row>
    <row r="12">
      <c r="A12" s="60" t="inlineStr">
        <is>
          <t>2. ALTURAS</t>
        </is>
      </c>
      <c r="B12" s="60" t="inlineStr">
        <is>
          <t>PB 3,15 m y PA 3,22 m, los mismos valores de la planilla de la catedra, coherentes</t>
        </is>
      </c>
    </row>
    <row r="13">
      <c r="A13" s="60" t="inlineStr"/>
      <c r="B13" s="61" t="inlineStr">
        <is>
          <t>con los niveles del plano (N.F.L +3,50 del entrepiso y +6,80 del techo).</t>
        </is>
      </c>
    </row>
    <row r="14">
      <c r="A14" s="60" t="inlineStr"/>
      <c r="B14" s="61" t="inlineStr"/>
    </row>
    <row r="15">
      <c r="A15" s="60" t="inlineStr">
        <is>
          <t>3. ARMADURA</t>
        </is>
      </c>
      <c r="B15" s="60" t="inlineStr">
        <is>
          <t>As = 0,008 x area (cuantia minima, el mismo criterio de la planilla modelo).</t>
        </is>
      </c>
    </row>
    <row r="16">
      <c r="A16" s="60" t="inlineStr"/>
      <c r="B16" s="61" t="inlineStr">
        <is>
          <t>Se adoptan 4 barras del 12 en todas: 4,52 cm2, que cubre la minima en toda seccion.</t>
        </is>
      </c>
    </row>
    <row r="17">
      <c r="A17" s="60" t="inlineStr"/>
      <c r="B17" s="61" t="inlineStr">
        <is>
          <t>Separacion de estribos = min(12 x diam. long. ; 48 x diam. estribo ; lado menor),</t>
        </is>
      </c>
    </row>
    <row r="18">
      <c r="A18" s="60" t="inlineStr"/>
      <c r="B18" s="61" t="inlineStr">
        <is>
          <t>redondeada hacia abajo a multiplo de 5. Para 4d12 con estribo d6 da 10 cm.</t>
        </is>
      </c>
    </row>
    <row r="19">
      <c r="A19" s="60" t="inlineStr"/>
      <c r="B19" s="61" t="inlineStr">
        <is>
          <t>La planilla de la catedra adopta 20 cm: ese valor supera el limite reglamentario.</t>
        </is>
      </c>
    </row>
    <row r="20">
      <c r="A20" s="60" t="inlineStr"/>
      <c r="B20" s="61" t="inlineStr"/>
    </row>
    <row r="21">
      <c r="A21" s="60" t="inlineStr">
        <is>
          <t>4. CAPACIDAD</t>
        </is>
      </c>
      <c r="B21" s="60" t="inlineStr">
        <is>
          <t>phi Pn = 0,65 x 0,80 x [0,85 f'c (Ag - As) + fy As]     (columna zunchada con estribos)</t>
        </is>
      </c>
    </row>
    <row r="22">
      <c r="A22" s="60" t="inlineStr"/>
      <c r="B22" s="61" t="inlineStr">
        <is>
          <t xml:space="preserve">  15x30 con 4d12 -&gt; 51,2 t        20x20 con 4d12 -&gt; 46,6 t</t>
        </is>
      </c>
    </row>
    <row r="23">
      <c r="A23" s="60" t="inlineStr"/>
      <c r="B23" s="61" t="inlineStr"/>
    </row>
    <row r="24">
      <c r="A24" s="60" t="inlineStr">
        <is>
          <t>5. CARGAS</t>
        </is>
      </c>
      <c r="B24" s="60" t="inlineStr">
        <is>
          <t>La columna CARGA (t) viene cargada con una bajada automatica: suma de las</t>
        </is>
      </c>
    </row>
    <row r="25">
      <c r="A25" s="60" t="inlineStr"/>
      <c r="B25" s="61" t="inlineStr">
        <is>
          <t>reacciones de las vigas que apoyan en cada columna (tomadas de la planilla de</t>
        </is>
      </c>
    </row>
    <row r="26">
      <c r="A26" s="60" t="inlineStr"/>
      <c r="B26" s="61" t="inlineStr">
        <is>
          <t>vigas), mas el peso propio, mas lo que baja de la columna del nivel superior.</t>
        </is>
      </c>
    </row>
    <row r="27">
      <c r="A27" s="60" t="inlineStr"/>
      <c r="B27" s="61" t="inlineStr">
        <is>
          <t>ES UNA CARGA PROVISORIA Y ES UN PISO, NO EL VALOR REAL: 20 de los 60 extremos</t>
        </is>
      </c>
    </row>
    <row r="28">
      <c r="A28" s="60" t="inlineStr"/>
      <c r="B28" s="61" t="inlineStr">
        <is>
          <t>de viga no pudieron asignarse a ninguna columna porque apoyan en otra viga, en</t>
        </is>
      </c>
    </row>
    <row r="29">
      <c r="A29" s="60" t="inlineStr"/>
      <c r="B29" s="61" t="inlineStr">
        <is>
          <t>un tabique o en la medianera, y esas reacciones no estan sumadas.</t>
        </is>
      </c>
    </row>
    <row r="30">
      <c r="A30" s="60" t="inlineStr"/>
      <c r="B30" s="61" t="inlineStr">
        <is>
          <t>Para cerrarla hay que indicar, para cada uno de esos 20 extremos, en que apoya.</t>
        </is>
      </c>
    </row>
    <row r="31">
      <c r="A31" s="60" t="inlineStr"/>
      <c r="B31" s="61" t="inlineStr">
        <is>
          <t>Mientras tanto la columna es editable: al corregir un valor todo recalcula.</t>
        </is>
      </c>
    </row>
    <row r="32">
      <c r="A32" s="60" t="inlineStr"/>
      <c r="B32" s="61" t="inlineStr">
        <is>
          <t>Ademas son cargas MAYORADAS, coherentes con la planilla de vigas. Si la catedra</t>
        </is>
      </c>
    </row>
    <row r="33">
      <c r="A33" s="60" t="inlineStr"/>
      <c r="B33" s="61" t="inlineStr">
        <is>
          <t>pide cargas de servicio, dividir por el coeficiente que corresponda.</t>
        </is>
      </c>
    </row>
    <row r="34">
      <c r="A34" s="60" t="inlineStr"/>
      <c r="B34" s="61" t="inlineStr"/>
    </row>
    <row r="35">
      <c r="A35" s="60" t="inlineStr">
        <is>
          <t>6. ESBELTEZ</t>
        </is>
      </c>
      <c r="B35" s="60" t="inlineStr">
        <is>
          <t>Todas las columnas son esbeltas: con lado menor de 15 cm y 3,15 m de altura,</t>
        </is>
      </c>
    </row>
    <row r="36">
      <c r="A36" s="60" t="inlineStr"/>
      <c r="B36" s="61" t="inlineStr">
        <is>
          <t>k lu / r = 70, muy por encima del limite de 34 por debajo del cual se puede</t>
        </is>
      </c>
    </row>
    <row r="37">
      <c r="A37" s="60" t="inlineStr"/>
      <c r="B37" s="61" t="inlineStr">
        <is>
          <t>despreciar el pandeo. En la practica el llenado de mamposteria las arriostra, pero</t>
        </is>
      </c>
    </row>
    <row r="38">
      <c r="A38" s="60" t="inlineStr"/>
      <c r="B38" s="61" t="inlineStr">
        <is>
          <t>si la catedra lo pide hay que verificar segundo orden. La planilla lo marca.</t>
        </is>
      </c>
    </row>
    <row r="39">
      <c r="A39" s="60" t="inlineStr"/>
      <c r="B39" s="61" t="inlineStr"/>
    </row>
    <row r="40">
      <c r="A40" s="60" t="inlineStr">
        <is>
          <t>7. LA DE 10x10</t>
        </is>
      </c>
      <c r="B40" s="60" t="inlineStr">
        <is>
          <t>Existe, confirmada por el proyectista, y el computo metrico la omite. Con 10 cm</t>
        </is>
      </c>
    </row>
    <row r="41">
      <c r="A41" s="60" t="inlineStr"/>
      <c r="B41" s="61" t="inlineStr">
        <is>
          <t>de lado y 3,15 m de altura su esbeltez es k lu / r = 105, tres veces el limite</t>
        </is>
      </c>
    </row>
    <row r="42">
      <c r="A42" s="60" t="inlineStr"/>
      <c r="B42" s="61" t="inlineStr">
        <is>
          <t>por debajo del cual se puede despreciar el pandeo, y su capacidad es de 18,7 t</t>
        </is>
      </c>
    </row>
    <row r="43">
      <c r="A43" s="60" t="inlineStr"/>
      <c r="B43" s="61" t="inlineStr">
        <is>
          <t>contra los 51 de una 15x30. Es el punto mas delicado del conjunto: conviene</t>
        </is>
      </c>
    </row>
    <row r="44">
      <c r="A44" s="60" t="inlineStr"/>
      <c r="B44" s="61" t="inlineStr">
        <is>
          <t>verificarla a segundo orden en serio, no con la formula de compresion simple.</t>
        </is>
      </c>
    </row>
    <row r="45">
      <c r="A45" s="60" t="inlineStr"/>
      <c r="B45" s="61" t="inlineStr"/>
    </row>
    <row r="46">
      <c r="A46" s="60" t="inlineStr">
        <is>
          <t>LIMITACIONES</t>
        </is>
      </c>
      <c r="B46" s="60" t="inlineStr">
        <is>
          <t>Trabajo academico. Requiere verificacion y firma de profesional matriculado.</t>
        </is>
      </c>
    </row>
    <row r="47">
      <c r="A47" s="60" t="inlineStr"/>
      <c r="B47" s="61" t="inlineStr">
        <is>
          <t>No se verifica flexion compuesta: las columnas de borde reciben momento de las</t>
        </is>
      </c>
    </row>
    <row r="48">
      <c r="A48" s="60" t="inlineStr"/>
      <c r="B48" s="61" t="inlineStr">
        <is>
          <t>vigas invertidas y trabajan a flexo-compresion, no a compresion simple.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36"/>
  <sheetViews>
    <sheetView showGridLines="0" workbookViewId="0">
      <selection activeCell="A1" sqref="A1"/>
    </sheetView>
  </sheetViews>
  <sheetFormatPr baseColWidth="8" defaultRowHeight="15"/>
  <cols>
    <col width="14" customWidth="1" min="1" max="1"/>
    <col width="9" customWidth="1" min="2" max="2"/>
    <col width="9" customWidth="1" min="3" max="3"/>
    <col width="11" customWidth="1" min="4" max="4"/>
    <col width="48" customWidth="1" min="5" max="5"/>
  </cols>
  <sheetData>
    <row r="1">
      <c r="A1" s="62" t="inlineStr">
        <is>
          <t>VIGAS DE FUNDACION - inventario. Calculo pendiente: va despues de columnas.</t>
        </is>
      </c>
      <c r="B1" s="2" t="n"/>
      <c r="C1" s="2" t="n"/>
      <c r="D1" s="2" t="n"/>
      <c r="E1" s="2" t="n"/>
    </row>
    <row r="2">
      <c r="A2" s="2" t="n"/>
      <c r="B2" s="2" t="n"/>
      <c r="C2" s="2" t="n"/>
      <c r="D2" s="2" t="n"/>
      <c r="E2" s="2" t="n"/>
    </row>
    <row r="3">
      <c r="A3" s="3" t="inlineStr">
        <is>
          <t>POSICION</t>
        </is>
      </c>
      <c r="B3" s="3" t="inlineStr">
        <is>
          <t>b (cm)</t>
        </is>
      </c>
      <c r="C3" s="3" t="inlineStr">
        <is>
          <t>d (cm)</t>
        </is>
      </c>
      <c r="D3" s="3" t="inlineStr">
        <is>
          <t>L (cm)</t>
        </is>
      </c>
      <c r="E3" s="3" t="inlineStr">
        <is>
          <t>OBSERVACIONES</t>
        </is>
      </c>
    </row>
    <row r="4">
      <c r="A4" s="23" t="inlineStr">
        <is>
          <t>VF01 (1)</t>
        </is>
      </c>
      <c r="B4" s="11" t="n">
        <v>20</v>
      </c>
      <c r="C4" s="11" t="n">
        <v>35</v>
      </c>
      <c r="D4" s="11" t="n">
        <v>77</v>
      </c>
      <c r="E4" s="7" t="n"/>
    </row>
    <row r="5">
      <c r="A5" s="23" t="inlineStr">
        <is>
          <t>VF01 (2)</t>
        </is>
      </c>
      <c r="B5" s="11" t="n">
        <v>20</v>
      </c>
      <c r="C5" s="11" t="n">
        <v>35</v>
      </c>
      <c r="D5" s="11" t="n">
        <v>77</v>
      </c>
      <c r="E5" s="7" t="n"/>
    </row>
    <row r="6">
      <c r="A6" s="23" t="inlineStr">
        <is>
          <t>VF01 (3)</t>
        </is>
      </c>
      <c r="B6" s="11" t="n">
        <v>20</v>
      </c>
      <c r="C6" s="11" t="n">
        <v>35</v>
      </c>
      <c r="D6" s="11" t="n">
        <v>77</v>
      </c>
      <c r="E6" s="7" t="n"/>
    </row>
    <row r="7">
      <c r="A7" s="23" t="inlineStr">
        <is>
          <t>VF02</t>
        </is>
      </c>
      <c r="B7" s="11" t="n">
        <v>25</v>
      </c>
      <c r="C7" s="11" t="n">
        <v>35</v>
      </c>
      <c r="D7" s="11" t="n">
        <v>328</v>
      </c>
      <c r="E7" s="7" t="n"/>
    </row>
    <row r="8">
      <c r="A8" s="23" t="inlineStr">
        <is>
          <t>VF03</t>
        </is>
      </c>
      <c r="B8" s="11" t="n">
        <v>22</v>
      </c>
      <c r="C8" s="11" t="n">
        <v>25</v>
      </c>
      <c r="D8" s="11" t="n">
        <v>928</v>
      </c>
      <c r="E8" s="7" t="n"/>
    </row>
    <row r="9">
      <c r="A9" s="23" t="inlineStr">
        <is>
          <t>VF04a</t>
        </is>
      </c>
      <c r="B9" s="11" t="n"/>
      <c r="C9" s="11" t="n">
        <v>35</v>
      </c>
      <c r="D9" s="11" t="n">
        <v>533</v>
      </c>
      <c r="E9" s="63" t="inlineStr">
        <is>
          <t>Ancho cortado en el PDF: confirmar 20 o 22 cm</t>
        </is>
      </c>
    </row>
    <row r="10">
      <c r="A10" s="23" t="inlineStr">
        <is>
          <t>VF04b</t>
        </is>
      </c>
      <c r="B10" s="11" t="n">
        <v>20</v>
      </c>
      <c r="C10" s="11" t="n">
        <v>25</v>
      </c>
      <c r="D10" s="11" t="n">
        <v>330</v>
      </c>
      <c r="E10" s="7" t="n"/>
    </row>
    <row r="11">
      <c r="A11" s="23" t="inlineStr">
        <is>
          <t>VF04c</t>
        </is>
      </c>
      <c r="B11" s="11" t="n">
        <v>20</v>
      </c>
      <c r="C11" s="11" t="n">
        <v>25</v>
      </c>
      <c r="D11" s="11" t="n">
        <v>308</v>
      </c>
      <c r="E11" s="7" t="n"/>
    </row>
    <row r="12">
      <c r="A12" s="23" t="inlineStr">
        <is>
          <t>VF05</t>
        </is>
      </c>
      <c r="B12" s="11" t="n">
        <v>15</v>
      </c>
      <c r="C12" s="11" t="n">
        <v>25</v>
      </c>
      <c r="D12" s="11" t="n">
        <v>226</v>
      </c>
      <c r="E12" s="7" t="n"/>
    </row>
    <row r="13">
      <c r="A13" s="23" t="inlineStr">
        <is>
          <t>VF06a</t>
        </is>
      </c>
      <c r="B13" s="11" t="n"/>
      <c r="C13" s="11" t="n"/>
      <c r="D13" s="11" t="n"/>
      <c r="E13" s="63" t="inlineStr">
        <is>
          <t>Cota no legible: completar</t>
        </is>
      </c>
    </row>
    <row r="14">
      <c r="A14" s="23" t="inlineStr">
        <is>
          <t>VF06b</t>
        </is>
      </c>
      <c r="B14" s="11" t="n"/>
      <c r="C14" s="11" t="n"/>
      <c r="D14" s="11" t="n"/>
      <c r="E14" s="63" t="inlineStr">
        <is>
          <t>Cota no legible: completar</t>
        </is>
      </c>
    </row>
    <row r="15">
      <c r="A15" s="23" t="inlineStr">
        <is>
          <t>VF06c</t>
        </is>
      </c>
      <c r="B15" s="11" t="n">
        <v>20</v>
      </c>
      <c r="C15" s="11" t="n">
        <v>25</v>
      </c>
      <c r="D15" s="11" t="n">
        <v>330</v>
      </c>
      <c r="E15" s="7" t="n"/>
    </row>
    <row r="16">
      <c r="A16" s="23" t="inlineStr">
        <is>
          <t>VF06d</t>
        </is>
      </c>
      <c r="B16" s="11" t="n">
        <v>22</v>
      </c>
      <c r="C16" s="11" t="n">
        <v>25</v>
      </c>
      <c r="D16" s="11" t="n">
        <v>303</v>
      </c>
      <c r="E16" s="7" t="n"/>
    </row>
    <row r="17">
      <c r="A17" s="23" t="inlineStr">
        <is>
          <t>VF07</t>
        </is>
      </c>
      <c r="B17" s="11" t="n">
        <v>20</v>
      </c>
      <c r="C17" s="11" t="n">
        <v>25</v>
      </c>
      <c r="D17" s="11" t="n">
        <v>350</v>
      </c>
      <c r="E17" s="7" t="n"/>
    </row>
    <row r="18">
      <c r="A18" s="23" t="inlineStr">
        <is>
          <t>VF08</t>
        </is>
      </c>
      <c r="B18" s="11" t="n">
        <v>25</v>
      </c>
      <c r="C18" s="11" t="n">
        <v>35</v>
      </c>
      <c r="D18" s="11" t="n">
        <v>350</v>
      </c>
      <c r="E18" s="7" t="n"/>
    </row>
    <row r="19">
      <c r="A19" s="23" t="inlineStr">
        <is>
          <t>VF09 (1)</t>
        </is>
      </c>
      <c r="B19" s="11" t="n">
        <v>20</v>
      </c>
      <c r="C19" s="11" t="n">
        <v>35</v>
      </c>
      <c r="D19" s="11" t="n">
        <v>70</v>
      </c>
      <c r="E19" s="7" t="n"/>
    </row>
    <row r="20">
      <c r="A20" s="23" t="inlineStr">
        <is>
          <t>VF09 (2)</t>
        </is>
      </c>
      <c r="B20" s="11" t="n">
        <v>20</v>
      </c>
      <c r="C20" s="11" t="n">
        <v>35</v>
      </c>
      <c r="D20" s="11" t="n">
        <v>70</v>
      </c>
      <c r="E20" s="7" t="n"/>
    </row>
    <row r="21">
      <c r="A21" s="23" t="inlineStr">
        <is>
          <t>VF10a</t>
        </is>
      </c>
      <c r="B21" s="11" t="n">
        <v>20</v>
      </c>
      <c r="C21" s="11" t="n">
        <v>35</v>
      </c>
      <c r="D21" s="11" t="n">
        <v>336</v>
      </c>
      <c r="E21" s="7" t="n"/>
    </row>
    <row r="22">
      <c r="A22" s="23" t="inlineStr">
        <is>
          <t>VF10b</t>
        </is>
      </c>
      <c r="B22" s="11" t="n">
        <v>22</v>
      </c>
      <c r="C22" s="11" t="n">
        <v>35</v>
      </c>
      <c r="D22" s="11" t="n">
        <v>236</v>
      </c>
      <c r="E22" s="7" t="n"/>
    </row>
    <row r="23">
      <c r="A23" s="23" t="inlineStr">
        <is>
          <t>VF10c</t>
        </is>
      </c>
      <c r="B23" s="11" t="n">
        <v>25</v>
      </c>
      <c r="C23" s="11" t="n">
        <v>35</v>
      </c>
      <c r="D23" s="11" t="n">
        <v>803</v>
      </c>
      <c r="E23" s="7" t="n"/>
    </row>
    <row r="24">
      <c r="A24" s="23" t="inlineStr">
        <is>
          <t>VF11</t>
        </is>
      </c>
      <c r="B24" s="11" t="n">
        <v>20</v>
      </c>
      <c r="C24" s="11" t="n">
        <v>25</v>
      </c>
      <c r="D24" s="11" t="n">
        <v>403</v>
      </c>
      <c r="E24" s="7" t="n"/>
    </row>
    <row r="25">
      <c r="A25" s="23" t="inlineStr">
        <is>
          <t>VF12</t>
        </is>
      </c>
      <c r="B25" s="11" t="n">
        <v>15</v>
      </c>
      <c r="C25" s="11" t="n">
        <v>25</v>
      </c>
      <c r="D25" s="11" t="n">
        <v>149</v>
      </c>
      <c r="E25" s="7" t="n"/>
    </row>
    <row r="26">
      <c r="A26" s="23" t="inlineStr">
        <is>
          <t>VF13</t>
        </is>
      </c>
      <c r="B26" s="11" t="n"/>
      <c r="C26" s="11" t="n"/>
      <c r="D26" s="11" t="n"/>
      <c r="E26" s="63" t="inlineStr">
        <is>
          <t>Cota no legible: completar</t>
        </is>
      </c>
    </row>
    <row r="27">
      <c r="A27" s="23" t="inlineStr">
        <is>
          <t>VF14</t>
        </is>
      </c>
      <c r="B27" s="11" t="n">
        <v>25</v>
      </c>
      <c r="C27" s="11" t="n">
        <v>40</v>
      </c>
      <c r="D27" s="11" t="n">
        <v>875</v>
      </c>
      <c r="E27" s="7" t="n"/>
    </row>
    <row r="28">
      <c r="A28" s="23" t="inlineStr">
        <is>
          <t>VF15</t>
        </is>
      </c>
      <c r="B28" s="11" t="n">
        <v>20</v>
      </c>
      <c r="C28" s="11" t="n">
        <v>25</v>
      </c>
      <c r="D28" s="11" t="n">
        <v>239</v>
      </c>
      <c r="E28" s="7" t="n"/>
    </row>
    <row r="29">
      <c r="A29" s="23" t="inlineStr">
        <is>
          <t>VF16a</t>
        </is>
      </c>
      <c r="B29" s="11" t="n">
        <v>20</v>
      </c>
      <c r="C29" s="11" t="n">
        <v>35</v>
      </c>
      <c r="D29" s="11" t="n">
        <v>696</v>
      </c>
      <c r="E29" s="7" t="n"/>
    </row>
    <row r="30">
      <c r="A30" s="23" t="inlineStr">
        <is>
          <t>VF16b</t>
        </is>
      </c>
      <c r="B30" s="11" t="n">
        <v>20</v>
      </c>
      <c r="C30" s="11" t="n">
        <v>25</v>
      </c>
      <c r="D30" s="11" t="n">
        <v>313</v>
      </c>
      <c r="E30" s="7" t="n"/>
    </row>
    <row r="31">
      <c r="A31" s="23" t="inlineStr">
        <is>
          <t>VF17</t>
        </is>
      </c>
      <c r="B31" s="11" t="n">
        <v>20</v>
      </c>
      <c r="C31" s="11" t="n">
        <v>25</v>
      </c>
      <c r="D31" s="11" t="n">
        <v>353</v>
      </c>
      <c r="E31" s="7" t="n"/>
    </row>
    <row r="32">
      <c r="A32" s="23" t="inlineStr">
        <is>
          <t>VF18a</t>
        </is>
      </c>
      <c r="B32" s="11" t="n">
        <v>25</v>
      </c>
      <c r="C32" s="11" t="n">
        <v>35</v>
      </c>
      <c r="D32" s="11" t="n">
        <v>748</v>
      </c>
      <c r="E32" s="7" t="n"/>
    </row>
    <row r="33">
      <c r="A33" s="23" t="inlineStr">
        <is>
          <t>VF18b</t>
        </is>
      </c>
      <c r="B33" s="11" t="n">
        <v>20</v>
      </c>
      <c r="C33" s="11" t="n">
        <v>25</v>
      </c>
      <c r="D33" s="11" t="n">
        <v>305</v>
      </c>
      <c r="E33" s="7" t="n"/>
    </row>
    <row r="34">
      <c r="A34" s="23" t="inlineStr">
        <is>
          <t>VF18c</t>
        </is>
      </c>
      <c r="B34" s="11" t="n">
        <v>20</v>
      </c>
      <c r="C34" s="11" t="n">
        <v>35</v>
      </c>
      <c r="D34" s="11" t="n">
        <v>482</v>
      </c>
      <c r="E34" s="7" t="n"/>
    </row>
    <row r="35">
      <c r="A35" s="2" t="n"/>
      <c r="B35" s="2" t="n"/>
      <c r="C35" s="2" t="n"/>
      <c r="D35" s="2" t="n"/>
      <c r="E35" s="2" t="n"/>
    </row>
    <row r="36">
      <c r="A36" s="41" t="inlineStr">
        <is>
          <t>Cabezales: CBZ 01 70x70x65   |   CBZ 02 129x70x70   |   CBZ 03 144x70x70</t>
        </is>
      </c>
      <c r="B36" s="2" t="n"/>
      <c r="C36" s="2" t="n"/>
      <c r="D36" s="2" t="n"/>
      <c r="E36"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2026-10-22T21:29:02Z</dcterms:created>
  <dcterms:modified xmlns:dcterms="http://purl.org/dc/terms/" xmlns:xsi="http://www.w3.org/2001/XMLSchema-instance" xsi:type="dcterms:W3CDTF">2026-10-22T21:29:03Z</dcterms:modified>
</cp:coreProperties>
</file>