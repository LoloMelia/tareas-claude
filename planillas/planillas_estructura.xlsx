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termico'!$A$1:$F$397</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8.66</v>
      </c>
      <c r="C8" s="8" t="n">
        <v>4.06</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3.52</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3.38</v>
      </c>
      <c r="C11" s="8" t="n">
        <v>1.72</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4.13</v>
      </c>
      <c r="C16" s="8" t="n">
        <v>4.08</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4"/>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2.80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t>
        </is>
      </c>
      <c r="C105" s="9">
        <f>IF(COUNT(H105,I105)&lt;2,"",TEXT(H105,"0.00")&amp;" x "&amp;TEXT(I105,"0.00"))</f>
        <v/>
      </c>
      <c r="D105" s="8">
        <f>IF(COUNT(H105,I105)&lt;2,"",ROUND(H105*I105,2))</f>
        <v/>
      </c>
      <c r="E105" s="25" t="n">
        <v>20</v>
      </c>
      <c r="F105" s="28">
        <f>IF(D105="","",ROUND(D105*E105,1))</f>
        <v/>
      </c>
      <c r="G105" s="2" t="n"/>
      <c r="H105" s="35" t="n">
        <v>1.7</v>
      </c>
      <c r="I105" s="35" t="n">
        <v>2.8</v>
      </c>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INTERIORES (resto del lado largo)</t>
        </is>
      </c>
      <c r="C107" s="9">
        <f>IF(COUNT(H107,I107)&lt;2,"",TEXT(H107,"0.00")&amp;" x "&amp;TEXT(I107,"0.00"))</f>
        <v/>
      </c>
      <c r="D107" s="8">
        <f>IF(COUNT(H107,I107)&lt;2,"",ROUND(H107*I107,2))</f>
        <v/>
      </c>
      <c r="E107" s="25" t="n">
        <v>25</v>
      </c>
      <c r="F107" s="28">
        <f>IF(D107="","",ROUND(D107*E107,1))</f>
        <v/>
      </c>
      <c r="G107" s="2" t="n"/>
      <c r="H107" s="35" t="n">
        <v>3.17</v>
      </c>
      <c r="I107" s="35" t="n">
        <v>2.8</v>
      </c>
    </row>
    <row r="108" ht="62" customHeight="1">
      <c r="A108" s="9" t="n"/>
      <c r="B108" s="34" t="inlineStr">
        <is>
          <t>INTERIORES (    )</t>
        </is>
      </c>
      <c r="C108" s="9">
        <f>IF(COUNT(H108,I108)&lt;2,"",TEXT(H108,"0.00")&amp;" x "&amp;TEXT(I108,"0.00"))</f>
        <v/>
      </c>
      <c r="D108" s="8">
        <f>IF(COUNT(H108,I108)&lt;2,"",ROUND(H108*I108,2))</f>
        <v/>
      </c>
      <c r="E108" s="25" t="n">
        <v>25</v>
      </c>
      <c r="F108" s="28">
        <f>IF(D108="","",ROUND(D108*E108,1))</f>
        <v/>
      </c>
      <c r="G108" s="2" t="n"/>
      <c r="H108" s="35" t="n">
        <v>3.38</v>
      </c>
      <c r="I108" s="35" t="n">
        <v>2.8</v>
      </c>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1.66</v>
      </c>
      <c r="I109" s="35" t="n">
        <v>2.8</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1.49</v>
      </c>
      <c r="I110" s="35" t="n">
        <v>2.8</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1.09</v>
      </c>
      <c r="I111" s="35" t="n">
        <v>2.8</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2.8</v>
      </c>
    </row>
    <row r="113" ht="39.7" customHeight="1">
      <c r="A113" s="16" t="inlineStr">
        <is>
          <t>3</t>
        </is>
      </c>
      <c r="B113" s="33" t="inlineStr">
        <is>
          <t>TECHOS O CIELORRASOS</t>
        </is>
      </c>
      <c r="C113" s="9" t="n"/>
      <c r="D113" s="9" t="n"/>
      <c r="E113" s="9" t="n"/>
      <c r="F113" s="9" t="n"/>
      <c r="G113" s="2" t="n"/>
      <c r="H113" s="2" t="n"/>
      <c r="I113" s="2" t="n"/>
    </row>
    <row r="114" ht="62" customHeight="1">
      <c r="A114" s="9" t="n"/>
      <c r="B114" s="34" t="inlineStr">
        <is>
          <t>TECHO NO AISLADO</t>
        </is>
      </c>
      <c r="C114" s="9" t="inlineStr"/>
      <c r="D114" s="8">
        <f>IF(COUNT(H114,I114)&lt;2,"",ROUND(H114*I114,2))</f>
        <v/>
      </c>
      <c r="E114" s="25" t="n">
        <v>30</v>
      </c>
      <c r="F114" s="28">
        <f>IF(D114="","",ROUND(D114*E114,1))</f>
        <v/>
      </c>
      <c r="G114" s="2" t="n"/>
      <c r="H114" s="35" t="n"/>
      <c r="I114" s="35" t="n"/>
    </row>
    <row r="115" ht="62" customHeight="1">
      <c r="A115" s="9" t="n"/>
      <c r="B115" s="34" t="inlineStr">
        <is>
          <t>TECHO AISLADO</t>
        </is>
      </c>
      <c r="C115" s="9" t="inlineStr"/>
      <c r="D115" s="8">
        <f>IF(COUNT(H115,I115)&lt;2,"",ROUND(H115*I115,2))</f>
        <v/>
      </c>
      <c r="E115" s="25" t="n">
        <v>20</v>
      </c>
      <c r="F115" s="28">
        <f>IF(D115="","",ROUND(D115*E115,1))</f>
        <v/>
      </c>
      <c r="G115" s="2" t="n"/>
      <c r="H115" s="35" t="n"/>
      <c r="I115" s="35" t="n"/>
    </row>
    <row r="116" ht="39.7" customHeight="1">
      <c r="A116" s="9" t="n"/>
      <c r="B116" s="34" t="inlineStr">
        <is>
          <t>TECHO ENTREPISO</t>
        </is>
      </c>
      <c r="C116" s="9" t="inlineStr">
        <is>
          <t>por croquis</t>
        </is>
      </c>
      <c r="D116" s="8" t="n">
        <v>7.23</v>
      </c>
      <c r="E116" s="25" t="n">
        <v>15</v>
      </c>
      <c r="F116" s="28">
        <f>IF(D116="","",ROUND(D116*E116,1))</f>
        <v/>
      </c>
      <c r="G116" s="2" t="n"/>
      <c r="H116" s="35" t="n"/>
      <c r="I116" s="35" t="n"/>
    </row>
    <row r="117" ht="39.7" customHeight="1">
      <c r="A117" s="16" t="inlineStr">
        <is>
          <t>4</t>
        </is>
      </c>
      <c r="B117" s="33" t="inlineStr">
        <is>
          <t>PISO</t>
        </is>
      </c>
      <c r="C117" s="9" t="n"/>
      <c r="D117" s="9" t="n"/>
      <c r="E117" s="9" t="n"/>
      <c r="F117" s="9" t="n"/>
      <c r="G117" s="2" t="n"/>
      <c r="H117" s="2" t="n"/>
      <c r="I117" s="2" t="n"/>
    </row>
    <row r="118" ht="39.7" customHeight="1">
      <c r="A118" s="9" t="n"/>
      <c r="B118" s="34" t="inlineStr">
        <is>
          <t>SOBRE TIERRA</t>
        </is>
      </c>
      <c r="C118" s="9" t="inlineStr">
        <is>
          <t>por croquis</t>
        </is>
      </c>
      <c r="D118" s="8" t="n">
        <v>7.23</v>
      </c>
      <c r="E118" s="25" t="n">
        <v>10</v>
      </c>
      <c r="F118" s="28">
        <f>IF(D118="","",ROUND(D118*E118,1))</f>
        <v/>
      </c>
      <c r="G118" s="2" t="n"/>
      <c r="H118" s="35" t="n"/>
      <c r="I118" s="35" t="n"/>
    </row>
    <row r="119" ht="62" customHeight="1">
      <c r="A119" s="9" t="n"/>
      <c r="B119" s="34" t="inlineStr">
        <is>
          <t>SOBRE LOCAL OCUPADO</t>
        </is>
      </c>
      <c r="C119" s="9" t="inlineStr"/>
      <c r="D119" s="8">
        <f>IF(COUNT(H119,I119)&lt;2,"",ROUND(H119*I119,2))</f>
        <v/>
      </c>
      <c r="E119" s="25" t="n">
        <v>15</v>
      </c>
      <c r="F119" s="28">
        <f>IF(D119="","",ROUND(D119*E119,1))</f>
        <v/>
      </c>
      <c r="G119" s="2" t="n"/>
      <c r="H119" s="35" t="n"/>
      <c r="I119" s="35" t="n"/>
    </row>
    <row r="120" ht="39.7" customHeight="1">
      <c r="A120" s="16" t="inlineStr">
        <is>
          <t>5</t>
        </is>
      </c>
      <c r="B120" s="33" t="inlineStr">
        <is>
          <t>INFILTRACION</t>
        </is>
      </c>
      <c r="C120" s="9" t="n"/>
      <c r="D120" s="16" t="inlineStr">
        <is>
          <t>VOLUMEN (m3)</t>
        </is>
      </c>
      <c r="E120" s="9" t="n"/>
      <c r="F120" s="9" t="n"/>
      <c r="G120" s="2" t="n"/>
      <c r="H120" s="2" t="n"/>
      <c r="I120" s="2" t="n"/>
    </row>
    <row r="121" ht="39.7" customHeight="1">
      <c r="A121" s="9" t="n"/>
      <c r="B121" s="34" t="inlineStr">
        <is>
          <t>UNA PARED EXTERIOR</t>
        </is>
      </c>
      <c r="C121" s="9" t="inlineStr">
        <is>
          <t>7.23 m2 x 2.80</t>
        </is>
      </c>
      <c r="D121" s="8" t="n">
        <v>20.24</v>
      </c>
      <c r="E121" s="25" t="n">
        <v>6</v>
      </c>
      <c r="F121" s="28">
        <f>IF(D121="","",ROUND(D121*E121,1))</f>
        <v/>
      </c>
      <c r="G121" s="2" t="n"/>
      <c r="H121" s="35" t="n"/>
      <c r="I121" s="35" t="n"/>
    </row>
    <row r="122" ht="62" customHeight="1">
      <c r="A122" s="9" t="n"/>
      <c r="B122" s="34" t="inlineStr">
        <is>
          <t>DOS PAREDES EXTERIORES</t>
        </is>
      </c>
      <c r="C122" s="9" t="inlineStr"/>
      <c r="D122" s="8">
        <f>IF(COUNT(H122,I122)&lt;2,"",ROUND(H122*I122,2))</f>
        <v/>
      </c>
      <c r="E122" s="25" t="n">
        <v>9</v>
      </c>
      <c r="F122" s="28">
        <f>IF(D122="","",ROUND(D122*E122,1))</f>
        <v/>
      </c>
      <c r="G122" s="2" t="n"/>
      <c r="H122" s="35" t="n"/>
      <c r="I122" s="35" t="n"/>
    </row>
    <row r="123" ht="62" customHeight="1">
      <c r="A123" s="9" t="n"/>
      <c r="B123" s="34" t="inlineStr">
        <is>
          <t>TRES O MAS PAREDES EXTERIORES</t>
        </is>
      </c>
      <c r="C123" s="9" t="inlineStr"/>
      <c r="D123" s="8">
        <f>IF(COUNT(H123,I123)&lt;2,"",ROUND(H123*I123,2))</f>
        <v/>
      </c>
      <c r="E123" s="25" t="n">
        <v>12</v>
      </c>
      <c r="F123" s="28">
        <f>IF(D123="","",ROUND(D123*E123,1))</f>
        <v/>
      </c>
      <c r="G123" s="2" t="n"/>
      <c r="H123" s="35" t="n"/>
      <c r="I123" s="35" t="n"/>
    </row>
    <row r="124" ht="70" customHeight="1">
      <c r="A124" s="16" t="inlineStr">
        <is>
          <t>6</t>
        </is>
      </c>
      <c r="B124" s="33" t="inlineStr">
        <is>
          <t>SUBTOTAL</t>
        </is>
      </c>
      <c r="C124" s="9" t="n"/>
      <c r="D124" s="9" t="n"/>
      <c r="E124" s="9" t="n"/>
      <c r="F124" s="36">
        <f>IF(F103="",0,F103)+IF(F105="",0,F105)+IF(F106="",0,F106)+IF(F107="",0,F107)+IF(F108="",0,F108)+IF(F109="",0,F109)+IF(F110="",0,F110)+IF(F111="",0,F111)+IF(F112="",0,F112)+IF(F114="",0,F114)+IF(F115="",0,F115)+IF(F116="",0,F116)+IF(F118="",0,F118)+IF(F119="",0,F119)+IF(F121="",0,F121)+IF(F122="",0,F122)+IF(F123="",0,F123)</f>
        <v/>
      </c>
      <c r="G124" s="2" t="n"/>
      <c r="H124" s="2" t="n"/>
      <c r="I124" s="2" t="n"/>
    </row>
    <row r="125" ht="47" customHeight="1">
      <c r="A125" s="16" t="inlineStr">
        <is>
          <t>7</t>
        </is>
      </c>
      <c r="B125" s="33" t="inlineStr">
        <is>
          <t>PERDIDA TOTAL</t>
        </is>
      </c>
      <c r="C125" s="9">
        <f>TEXT(F124,"0.00")&amp;"  X  "&amp;Datos_balance!$B$4&amp;" (FI)  X  "&amp;Datos_balance!$B$5&amp;" (FO)  X  "&amp;Datos_balance!$B$6&amp;" (FZ)"</f>
        <v/>
      </c>
      <c r="D125" s="2" t="n"/>
      <c r="E125" s="2" t="n"/>
      <c r="F125" s="36">
        <f>ROUND(F124*Datos_balance!$B$4*Datos_balance!$B$5*Datos_balance!$B$6,1)</f>
        <v/>
      </c>
      <c r="G125" s="2" t="n"/>
      <c r="H125" s="2" t="n"/>
      <c r="I125" s="2" t="n"/>
    </row>
    <row r="126" ht="39.7" customHeight="1">
      <c r="A126" s="9" t="n"/>
      <c r="B126" s="10" t="inlineStr">
        <is>
          <t>Carga de locales sin emisor</t>
        </is>
      </c>
      <c r="C126" s="9" t="n"/>
      <c r="D126" s="2" t="n"/>
      <c r="E126" s="2" t="n"/>
      <c r="F126" s="28" t="n"/>
      <c r="G126" s="2" t="n"/>
      <c r="H126" s="2" t="n"/>
      <c r="I126" s="2" t="n"/>
    </row>
    <row r="127" ht="39.7" customHeight="1">
      <c r="A127" s="9" t="n"/>
      <c r="B127" s="33" t="inlineStr">
        <is>
          <t>CARGA TOTAL A CUBRIR</t>
        </is>
      </c>
      <c r="C127" s="9" t="n"/>
      <c r="D127" s="2" t="n"/>
      <c r="E127" s="2" t="n"/>
      <c r="F127" s="36">
        <f>F125+IF(F126="",0,F126)</f>
        <v/>
      </c>
      <c r="G127" s="2" t="n"/>
      <c r="H127" s="2" t="n"/>
      <c r="I127" s="2" t="n"/>
    </row>
    <row r="128">
      <c r="A128" s="2" t="n"/>
      <c r="B128" s="2" t="n"/>
      <c r="C128" s="2" t="n"/>
      <c r="D128" s="2" t="n"/>
      <c r="E128" s="2" t="n"/>
      <c r="F128" s="2" t="n"/>
      <c r="G128" s="2" t="n"/>
      <c r="H128" s="2" t="n"/>
      <c r="I128" s="2" t="n"/>
    </row>
    <row r="129" ht="62" customHeight="1">
      <c r="A129" s="9" t="n"/>
      <c r="B129" s="10" t="inlineStr">
        <is>
          <t>Salto termico:  dt = (te+ts)/2 - ti</t>
        </is>
      </c>
      <c r="C129" s="9">
        <f>TEXT((Datos_balance!$B$9+Datos_balance!$B$10)/2,"0")&amp;" - "&amp;TEXT(Datos_balance!$B$11,"0")&amp;" = "&amp;TEXT((Datos_balance!$B$9+Datos_balance!$B$10)/2-Datos_balance!$B$11,"0")&amp;" C"</f>
        <v/>
      </c>
      <c r="D129" s="2" t="n"/>
      <c r="E129" s="2" t="n"/>
      <c r="F129" s="9" t="n"/>
      <c r="G129" s="2" t="n"/>
      <c r="H129" s="2" t="n"/>
      <c r="I129" s="2" t="n"/>
    </row>
    <row r="130" ht="39.7" customHeight="1">
      <c r="A130" s="9" t="n"/>
      <c r="B130" s="10" t="inlineStr">
        <is>
          <t>Kcal/h por elemento</t>
        </is>
      </c>
      <c r="C130" s="8">
        <f>ROUND(Datos_balance!$B$14*Datos_balance!$B$15,2)</f>
        <v/>
      </c>
      <c r="D130" s="2" t="n"/>
      <c r="E130" s="2" t="n"/>
      <c r="F130" s="9" t="n"/>
      <c r="G130" s="2" t="n"/>
      <c r="H130" s="2" t="n"/>
      <c r="I130" s="2" t="n"/>
    </row>
    <row r="131" ht="39.7" customHeight="1">
      <c r="A131" s="9" t="n"/>
      <c r="B131" s="10" t="inlineStr">
        <is>
          <t>Elementos necesarios</t>
        </is>
      </c>
      <c r="C131" s="25">
        <f>ROUNDUP(F127/(Datos_balance!$B$14*Datos_balance!$B$15),0)</f>
        <v/>
      </c>
      <c r="D131" s="2" t="n"/>
      <c r="E131" s="2" t="n"/>
      <c r="F131" s="9" t="n"/>
      <c r="G131" s="2" t="n"/>
      <c r="H131" s="2" t="n"/>
      <c r="I131" s="2" t="n"/>
    </row>
    <row r="132" ht="39.7" customHeight="1">
      <c r="A132" s="9" t="n"/>
      <c r="B132" s="10" t="inlineStr">
        <is>
          <t>Ancho del radiador (cm)</t>
        </is>
      </c>
      <c r="C132" s="25">
        <f>ROUNDUP(F127/(Datos_balance!$B$14*Datos_balance!$B$15),0)*Datos_balance!$B$16</f>
        <v/>
      </c>
      <c r="D132" s="2" t="n"/>
      <c r="E132" s="2" t="n"/>
      <c r="F132" s="9" t="n"/>
      <c r="G132" s="2" t="n"/>
      <c r="H132" s="2" t="n"/>
      <c r="I132" s="2" t="n"/>
    </row>
    <row r="133" ht="39.7" customHeight="1">
      <c r="A133" s="13" t="n"/>
      <c r="B133" s="14" t="inlineStr">
        <is>
          <t>Radiador adoptado</t>
        </is>
      </c>
      <c r="C133" s="13">
        <f>Datos_balance!$B$13</f>
        <v/>
      </c>
      <c r="D133" s="20" t="n"/>
      <c r="E133" s="20" t="n"/>
      <c r="F133" s="13"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6" t="inlineStr">
        <is>
          <t>1</t>
        </is>
      </c>
      <c r="B138" s="33" t="inlineStr">
        <is>
          <t>VENTANA</t>
        </is>
      </c>
      <c r="C138" s="9" t="n"/>
      <c r="D138" s="9" t="n"/>
      <c r="E138" s="9" t="n"/>
      <c r="F138" s="9" t="n"/>
      <c r="G138" s="2" t="n"/>
      <c r="H138" s="2" t="n"/>
      <c r="I138" s="2" t="n"/>
    </row>
    <row r="139" ht="62" customHeight="1">
      <c r="A139" s="9" t="n"/>
      <c r="B139" s="34" t="inlineStr">
        <is>
          <t>PF05</t>
        </is>
      </c>
      <c r="C139" s="9">
        <f>IF(COUNT(H139,I139)&lt;2,"",TEXT(H139,"0.00")&amp;" x "&amp;TEXT(I139,"0.00"))</f>
        <v/>
      </c>
      <c r="D139" s="8">
        <f>IF(COUNT(H139,I139)&lt;2,"",ROUND(H139*I139,2))</f>
        <v/>
      </c>
      <c r="E139" s="25" t="n">
        <v>60</v>
      </c>
      <c r="F139" s="28">
        <f>IF(D139="","",ROUND(D139*E139,1))</f>
        <v/>
      </c>
      <c r="G139" s="2" t="n"/>
      <c r="H139" s="35" t="n">
        <v>0.75</v>
      </c>
      <c r="I139" s="35" t="n">
        <v>2.52</v>
      </c>
    </row>
    <row r="140" ht="39.7" customHeight="1">
      <c r="A140" s="16" t="inlineStr">
        <is>
          <t>2</t>
        </is>
      </c>
      <c r="B140" s="33" t="inlineStr">
        <is>
          <t>PAREDES EXTERIORES</t>
        </is>
      </c>
      <c r="C140" s="9" t="n"/>
      <c r="D140" s="9" t="n"/>
      <c r="E140" s="9" t="n"/>
      <c r="F140" s="9" t="n"/>
      <c r="G140" s="2" t="n"/>
      <c r="H140" s="2" t="n"/>
      <c r="I140" s="2" t="n"/>
    </row>
    <row r="141" ht="62" customHeight="1">
      <c r="A141" s="9" t="n"/>
      <c r="B141" s="34" t="inlineStr">
        <is>
          <t>AISLADAS ()</t>
        </is>
      </c>
      <c r="C141" s="9">
        <f>IF(COUNT(H141,I141)&lt;2,"",TEXT(H141,"0.00")&amp;" x "&amp;TEXT(I141,"0.00"))</f>
        <v/>
      </c>
      <c r="D141" s="8">
        <f>IF(COUNT(H141,I141)&lt;2,"",ROUND(H141*I141,2))</f>
        <v/>
      </c>
      <c r="E141" s="25" t="n">
        <v>20</v>
      </c>
      <c r="F141" s="28">
        <f>IF(D141="","",ROUND(D141*E141,1))</f>
        <v/>
      </c>
      <c r="G141" s="2" t="n"/>
      <c r="H141" s="35" t="n">
        <v>4.06</v>
      </c>
      <c r="I141" s="35" t="n">
        <v>3</v>
      </c>
    </row>
    <row r="142" ht="62" customHeight="1">
      <c r="A142" s="9" t="n"/>
      <c r="B142" s="34" t="inlineStr">
        <is>
          <t>AISLADAS ()</t>
        </is>
      </c>
      <c r="C142" s="9">
        <f>IF(COUNT(H142,I142)&lt;2,"",TEXT(H142,"0.00")&amp;" x "&amp;TEXT(I142,"0.00"))</f>
        <v/>
      </c>
      <c r="D142" s="8">
        <f>IF(COUNT(H142,I142)&lt;2,"",ROUND(H142*I142,2))</f>
        <v/>
      </c>
      <c r="E142" s="25" t="n">
        <v>20</v>
      </c>
      <c r="F142" s="28">
        <f>IF(D142="","",ROUND(D142*E142,1))</f>
        <v/>
      </c>
      <c r="G142" s="2" t="n"/>
      <c r="H142" s="35" t="n">
        <v>1.73</v>
      </c>
      <c r="I142" s="35" t="n">
        <v>3</v>
      </c>
    </row>
    <row r="143" ht="62" customHeight="1">
      <c r="A143" s="9" t="n"/>
      <c r="B143" s="34" t="inlineStr">
        <is>
          <t>AISLADAS ()</t>
        </is>
      </c>
      <c r="C143" s="9">
        <f>IF(COUNT(H143,I143)&lt;2,"",TEXT(H143,"0.00")&amp;" x "&amp;TEXT(I143,"0.00"))</f>
        <v/>
      </c>
      <c r="D143" s="8">
        <f>IF(COUNT(H143,I143)&lt;2,"",ROUND(H143*I143,2))</f>
        <v/>
      </c>
      <c r="E143" s="25" t="n">
        <v>20</v>
      </c>
      <c r="F143" s="28">
        <f>IF(D143="","",ROUND(D143*E143,1))</f>
        <v/>
      </c>
      <c r="G143" s="2" t="n"/>
      <c r="H143" s="35" t="n">
        <v>1.73</v>
      </c>
      <c r="I143" s="35" t="n">
        <v>3</v>
      </c>
    </row>
    <row r="144" ht="62" customHeight="1">
      <c r="A144" s="9" t="n"/>
      <c r="B144" s="34" t="inlineStr">
        <is>
          <t>INTERIORES (    )</t>
        </is>
      </c>
      <c r="C144" s="9">
        <f>IF(COUNT(H144,I144)&lt;2,"",TEXT(H144,"0.00")&amp;" x "&amp;TEXT(I144,"0.00"))</f>
        <v/>
      </c>
      <c r="D144" s="8">
        <f>IF(COUNT(H144,I144)&lt;2,"",ROUND(H144*I144,2))</f>
        <v/>
      </c>
      <c r="E144" s="25" t="n">
        <v>25</v>
      </c>
      <c r="F144" s="28">
        <f>IF(D144="","",ROUND(D144*E144,1))</f>
        <v/>
      </c>
      <c r="G144" s="2" t="n"/>
      <c r="H144" s="35" t="n">
        <v>4.06</v>
      </c>
      <c r="I144" s="35" t="n">
        <v>3</v>
      </c>
    </row>
    <row r="145" ht="62" customHeight="1">
      <c r="A145" s="9" t="n"/>
      <c r="B145" s="34" t="inlineStr">
        <is>
          <t>INTERIORES (    )</t>
        </is>
      </c>
      <c r="C145" s="9">
        <f>IF(COUNT(H145,I145)&lt;2,"",TEXT(H145,"0.00")&amp;" x "&amp;TEXT(I145,"0.00"))</f>
        <v/>
      </c>
      <c r="D145" s="8">
        <f>IF(COUNT(H145,I145)&lt;2,"",ROUND(H145*I145,2))</f>
        <v/>
      </c>
      <c r="E145" s="25" t="n">
        <v>25</v>
      </c>
      <c r="F145" s="28">
        <f>IF(D145="","",ROUND(D145*E145,1))</f>
        <v/>
      </c>
      <c r="G145" s="2" t="n"/>
      <c r="H145" s="35" t="n"/>
      <c r="I145" s="35" t="n"/>
    </row>
    <row r="146" ht="39.7" customHeight="1">
      <c r="A146" s="16" t="inlineStr">
        <is>
          <t>3</t>
        </is>
      </c>
      <c r="B146" s="33" t="inlineStr">
        <is>
          <t>TECHOS O CIELORRASOS</t>
        </is>
      </c>
      <c r="C146" s="9" t="n"/>
      <c r="D146" s="9" t="n"/>
      <c r="E146" s="9" t="n"/>
      <c r="F146" s="9" t="n"/>
      <c r="G146" s="2" t="n"/>
      <c r="H146" s="2" t="n"/>
      <c r="I146" s="2" t="n"/>
    </row>
    <row r="147" ht="62" customHeight="1">
      <c r="A147" s="9" t="n"/>
      <c r="B147" s="34" t="inlineStr">
        <is>
          <t>TECHO NO AISLADO</t>
        </is>
      </c>
      <c r="C147" s="9" t="inlineStr"/>
      <c r="D147" s="8">
        <f>IF(COUNT(H147,I147)&lt;2,"",ROUND(H147*I147,2))</f>
        <v/>
      </c>
      <c r="E147" s="25" t="n">
        <v>30</v>
      </c>
      <c r="F147" s="28">
        <f>IF(D147="","",ROUND(D147*E147,1))</f>
        <v/>
      </c>
      <c r="G147" s="2" t="n"/>
      <c r="H147" s="35" t="n"/>
      <c r="I147" s="35" t="n"/>
    </row>
    <row r="148" ht="62" customHeight="1">
      <c r="A148" s="9" t="n"/>
      <c r="B148" s="34" t="inlineStr">
        <is>
          <t>TECHO AISLADO</t>
        </is>
      </c>
      <c r="C148" s="9" t="inlineStr"/>
      <c r="D148" s="8">
        <f>IF(COUNT(H148,I148)&lt;2,"",ROUND(H148*I148,2))</f>
        <v/>
      </c>
      <c r="E148" s="25" t="n">
        <v>20</v>
      </c>
      <c r="F148" s="28">
        <f>IF(D148="","",ROUND(D148*E148,1))</f>
        <v/>
      </c>
      <c r="G148" s="2" t="n"/>
      <c r="H148" s="35" t="n"/>
      <c r="I148" s="35" t="n"/>
    </row>
    <row r="149" ht="39.7" customHeight="1">
      <c r="A149" s="9" t="n"/>
      <c r="B149" s="34" t="inlineStr">
        <is>
          <t>TECHO ENTREPISO</t>
        </is>
      </c>
      <c r="C149" s="9" t="inlineStr">
        <is>
          <t>por croquis</t>
        </is>
      </c>
      <c r="D149" s="8" t="n">
        <v>7.02</v>
      </c>
      <c r="E149" s="25" t="n">
        <v>15</v>
      </c>
      <c r="F149" s="28">
        <f>IF(D149="","",ROUND(D149*E149,1))</f>
        <v/>
      </c>
      <c r="G149" s="2" t="n"/>
      <c r="H149" s="35" t="n"/>
      <c r="I149" s="35" t="n"/>
    </row>
    <row r="150" ht="39.7" customHeight="1">
      <c r="A150" s="16" t="inlineStr">
        <is>
          <t>4</t>
        </is>
      </c>
      <c r="B150" s="33" t="inlineStr">
        <is>
          <t>PISO</t>
        </is>
      </c>
      <c r="C150" s="9" t="n"/>
      <c r="D150" s="9" t="n"/>
      <c r="E150" s="9" t="n"/>
      <c r="F150" s="9" t="n"/>
      <c r="G150" s="2" t="n"/>
      <c r="H150" s="2" t="n"/>
      <c r="I150" s="2" t="n"/>
    </row>
    <row r="151" ht="39.7" customHeight="1">
      <c r="A151" s="9" t="n"/>
      <c r="B151" s="34" t="inlineStr">
        <is>
          <t>SOBRE TIERRA</t>
        </is>
      </c>
      <c r="C151" s="9" t="inlineStr">
        <is>
          <t>por croquis</t>
        </is>
      </c>
      <c r="D151" s="8" t="n">
        <v>7.02</v>
      </c>
      <c r="E151" s="25" t="n">
        <v>10</v>
      </c>
      <c r="F151" s="28">
        <f>IF(D151="","",ROUND(D151*E151,1))</f>
        <v/>
      </c>
      <c r="G151" s="2" t="n"/>
      <c r="H151" s="35" t="n"/>
      <c r="I151" s="35" t="n"/>
    </row>
    <row r="152" ht="62" customHeight="1">
      <c r="A152" s="9" t="n"/>
      <c r="B152" s="34" t="inlineStr">
        <is>
          <t>SOBRE LOCAL OCUPADO</t>
        </is>
      </c>
      <c r="C152" s="9" t="inlineStr"/>
      <c r="D152" s="8">
        <f>IF(COUNT(H152,I152)&lt;2,"",ROUND(H152*I152,2))</f>
        <v/>
      </c>
      <c r="E152" s="25" t="n">
        <v>15</v>
      </c>
      <c r="F152" s="28">
        <f>IF(D152="","",ROUND(D152*E152,1))</f>
        <v/>
      </c>
      <c r="G152" s="2" t="n"/>
      <c r="H152" s="35" t="n"/>
      <c r="I152" s="35" t="n"/>
    </row>
    <row r="153" ht="39.7" customHeight="1">
      <c r="A153" s="16" t="inlineStr">
        <is>
          <t>5</t>
        </is>
      </c>
      <c r="B153" s="33" t="inlineStr">
        <is>
          <t>INFILTRACION</t>
        </is>
      </c>
      <c r="C153" s="9" t="n"/>
      <c r="D153" s="16" t="inlineStr">
        <is>
          <t>VOLUMEN (m3)</t>
        </is>
      </c>
      <c r="E153" s="9" t="n"/>
      <c r="F153" s="9" t="n"/>
      <c r="G153" s="2" t="n"/>
      <c r="H153" s="2" t="n"/>
      <c r="I153" s="2" t="n"/>
    </row>
    <row r="154" ht="62" customHeight="1">
      <c r="A154" s="9" t="n"/>
      <c r="B154" s="34" t="inlineStr">
        <is>
          <t>UNA PARED EXTERIOR</t>
        </is>
      </c>
      <c r="C154" s="9" t="inlineStr"/>
      <c r="D154" s="8">
        <f>IF(COUNT(H154,I154)&lt;2,"",ROUND(H154*I154,2))</f>
        <v/>
      </c>
      <c r="E154" s="25" t="n">
        <v>6</v>
      </c>
      <c r="F154" s="28">
        <f>IF(D154="","",ROUND(D154*E154,1))</f>
        <v/>
      </c>
      <c r="G154" s="2" t="n"/>
      <c r="H154" s="35" t="n"/>
      <c r="I154" s="35" t="n"/>
    </row>
    <row r="155" ht="62" customHeight="1">
      <c r="A155" s="9" t="n"/>
      <c r="B155" s="34" t="inlineStr">
        <is>
          <t>DOS PAREDES EXTERIORES</t>
        </is>
      </c>
      <c r="C155" s="9" t="inlineStr"/>
      <c r="D155" s="8">
        <f>IF(COUNT(H155,I155)&lt;2,"",ROUND(H155*I155,2))</f>
        <v/>
      </c>
      <c r="E155" s="25" t="n">
        <v>9</v>
      </c>
      <c r="F155" s="28">
        <f>IF(D155="","",ROUND(D155*E155,1))</f>
        <v/>
      </c>
      <c r="G155" s="2" t="n"/>
      <c r="H155" s="35" t="n"/>
      <c r="I155" s="35" t="n"/>
    </row>
    <row r="156" ht="39.7" customHeight="1">
      <c r="A156" s="9" t="n"/>
      <c r="B156" s="34" t="inlineStr">
        <is>
          <t>TRES O MAS PAREDES EXTERIORES</t>
        </is>
      </c>
      <c r="C156" s="9" t="inlineStr">
        <is>
          <t>7.02 m2 x 3.00</t>
        </is>
      </c>
      <c r="D156" s="8" t="n">
        <v>21.06</v>
      </c>
      <c r="E156" s="25" t="n">
        <v>12</v>
      </c>
      <c r="F156" s="28">
        <f>IF(D156="","",ROUND(D156*E156,1))</f>
        <v/>
      </c>
      <c r="G156" s="2" t="n"/>
      <c r="H156" s="35" t="n"/>
      <c r="I156" s="35" t="n"/>
    </row>
    <row r="157" ht="70" customHeight="1">
      <c r="A157" s="16" t="inlineStr">
        <is>
          <t>6</t>
        </is>
      </c>
      <c r="B157" s="33" t="inlineStr">
        <is>
          <t>SUBTOTAL</t>
        </is>
      </c>
      <c r="C157" s="9" t="n"/>
      <c r="D157" s="9" t="n"/>
      <c r="E157" s="9" t="n"/>
      <c r="F157" s="36">
        <f>IF(F139="",0,F139)+IF(F141="",0,F141)+IF(F142="",0,F142)+IF(F143="",0,F143)+IF(F144="",0,F144)+IF(F145="",0,F145)+IF(F147="",0,F147)+IF(F148="",0,F148)+IF(F149="",0,F149)+IF(F151="",0,F151)+IF(F152="",0,F152)+IF(F154="",0,F154)+IF(F155="",0,F155)+IF(F156="",0,F156)</f>
        <v/>
      </c>
      <c r="G157" s="2" t="n"/>
      <c r="H157" s="2" t="n"/>
      <c r="I157" s="2" t="n"/>
    </row>
    <row r="158" ht="47" customHeight="1">
      <c r="A158" s="16" t="inlineStr">
        <is>
          <t>7</t>
        </is>
      </c>
      <c r="B158" s="33" t="inlineStr">
        <is>
          <t>PERDIDA TOTAL</t>
        </is>
      </c>
      <c r="C158" s="9">
        <f>TEXT(F157,"0.00")&amp;"  X  "&amp;Datos_balance!$B$4&amp;" (FI)  X  "&amp;Datos_balance!$B$5&amp;" (FO)  X  "&amp;Datos_balance!$B$6&amp;" (FZ)"</f>
        <v/>
      </c>
      <c r="D158" s="2" t="n"/>
      <c r="E158" s="2" t="n"/>
      <c r="F158" s="36">
        <f>ROUND(F157*Datos_balance!$B$4*Datos_balance!$B$5*Datos_balance!$B$6,1)</f>
        <v/>
      </c>
      <c r="G158" s="2" t="n"/>
      <c r="H158" s="2" t="n"/>
      <c r="I158" s="2" t="n"/>
    </row>
    <row r="159" ht="39.7" customHeight="1">
      <c r="A159" s="9" t="n"/>
      <c r="B159" s="10" t="inlineStr">
        <is>
          <t>Carga de locales sin emisor</t>
        </is>
      </c>
      <c r="C159" s="9" t="n"/>
      <c r="D159" s="2" t="n"/>
      <c r="E159" s="2" t="n"/>
      <c r="F159" s="28" t="n"/>
      <c r="G159" s="2" t="n"/>
      <c r="H159" s="2" t="n"/>
      <c r="I159" s="2" t="n"/>
    </row>
    <row r="160" ht="39.7" customHeight="1">
      <c r="A160" s="9" t="n"/>
      <c r="B160" s="33" t="inlineStr">
        <is>
          <t>CARGA TOTAL A CUBRIR</t>
        </is>
      </c>
      <c r="C160" s="9" t="n"/>
      <c r="D160" s="2" t="n"/>
      <c r="E160" s="2" t="n"/>
      <c r="F160" s="36">
        <f>F158+IF(F159="",0,F159)</f>
        <v/>
      </c>
      <c r="G160" s="2" t="n"/>
      <c r="H160" s="2" t="n"/>
      <c r="I160" s="2" t="n"/>
    </row>
    <row r="161">
      <c r="A161" s="2" t="n"/>
      <c r="B161" s="2" t="n"/>
      <c r="C161" s="2" t="n"/>
      <c r="D161" s="2" t="n"/>
      <c r="E161" s="2" t="n"/>
      <c r="F161" s="2" t="n"/>
      <c r="G161" s="2" t="n"/>
      <c r="H161" s="2" t="n"/>
      <c r="I161" s="2" t="n"/>
    </row>
    <row r="162" ht="39.7" customHeight="1">
      <c r="A162" s="13" t="n"/>
      <c r="B162" s="37" t="inlineStr">
        <is>
          <t>SIN EMISOR</t>
        </is>
      </c>
      <c r="C162" s="13" t="inlineStr">
        <is>
          <t>la cubre el radiador de 14 - Play room</t>
        </is>
      </c>
      <c r="D162" s="20" t="n"/>
      <c r="E162" s="20" t="n"/>
      <c r="F162" s="13" t="n"/>
      <c r="G162" s="2" t="n"/>
      <c r="H162" s="2" t="n"/>
      <c r="I162" s="2" t="n"/>
    </row>
    <row r="163">
      <c r="A163" s="2" t="n"/>
      <c r="B163" s="2" t="n"/>
      <c r="C163" s="2" t="n"/>
      <c r="D163" s="2" t="n"/>
      <c r="E163" s="2" t="n"/>
      <c r="F163" s="2" t="n"/>
      <c r="G163" s="2" t="n"/>
      <c r="H163" s="2" t="n"/>
      <c r="I163" s="2" t="n"/>
    </row>
    <row r="164">
      <c r="A164" s="2" t="n"/>
      <c r="B164" s="2" t="n"/>
      <c r="C164" s="2" t="n"/>
      <c r="D164" s="2" t="n"/>
      <c r="E164" s="2" t="n"/>
      <c r="F164" s="2" t="n"/>
      <c r="G164" s="2" t="n"/>
      <c r="H164" s="2" t="n"/>
      <c r="I164" s="2" t="n"/>
    </row>
    <row r="165" ht="39.7" customHeight="1">
      <c r="A165" s="5" t="inlineStr">
        <is>
          <t>LOCAL  09 - Dormitorio suite   (PB)   -   altura 2.80 m</t>
        </is>
      </c>
      <c r="B165" s="2" t="n"/>
      <c r="C165" s="2" t="n"/>
      <c r="D165" s="2" t="n"/>
      <c r="E165" s="2" t="n"/>
      <c r="F165" s="2" t="n"/>
      <c r="G165" s="2" t="n"/>
      <c r="H165" s="2" t="n"/>
      <c r="I165" s="2" t="n"/>
    </row>
    <row r="166" ht="39.7" customHeight="1">
      <c r="A166" s="3" t="inlineStr">
        <is>
          <t>Nro</t>
        </is>
      </c>
      <c r="B166" s="3" t="inlineStr">
        <is>
          <t>DESCRIPCION</t>
        </is>
      </c>
      <c r="C166" s="3" t="inlineStr">
        <is>
          <t>DIMENSIONES (m)</t>
        </is>
      </c>
      <c r="D166" s="3" t="inlineStr">
        <is>
          <t>AREA (m2)</t>
        </is>
      </c>
      <c r="E166" s="3" t="inlineStr">
        <is>
          <t>FACTOR</t>
        </is>
      </c>
      <c r="F166" s="3" t="inlineStr">
        <is>
          <t>PERDIDA CALOR (Kcal/h)</t>
        </is>
      </c>
      <c r="G166" s="2" t="n"/>
      <c r="H166" s="2" t="n"/>
      <c r="I166" s="2" t="n"/>
    </row>
    <row r="167" ht="39.7" customHeight="1">
      <c r="A167" s="16" t="inlineStr">
        <is>
          <t>1</t>
        </is>
      </c>
      <c r="B167" s="33" t="inlineStr">
        <is>
          <t>VENTANA</t>
        </is>
      </c>
      <c r="C167" s="9" t="n"/>
      <c r="D167" s="9" t="n"/>
      <c r="E167" s="9" t="n"/>
      <c r="F167" s="9" t="n"/>
      <c r="G167" s="2" t="n"/>
      <c r="H167" s="2" t="n"/>
      <c r="I167" s="2" t="n"/>
    </row>
    <row r="168" ht="62" customHeight="1">
      <c r="A168" s="9" t="n"/>
      <c r="B168" s="34" t="inlineStr">
        <is>
          <t>VA01 (2)</t>
        </is>
      </c>
      <c r="C168" s="9">
        <f>IF(COUNT(H168,I168)&lt;2,"",TEXT(H168,"0.00")&amp;" x "&amp;TEXT(I168,"0.00"))</f>
        <v/>
      </c>
      <c r="D168" s="8">
        <f>IF(COUNT(H168,I168)&lt;2,"",ROUND(H168*I168,2))</f>
        <v/>
      </c>
      <c r="E168" s="25" t="n">
        <v>60</v>
      </c>
      <c r="F168" s="28">
        <f>IF(D168="","",ROUND(D168*E168,1))</f>
        <v/>
      </c>
      <c r="G168" s="2" t="n"/>
      <c r="H168" s="35" t="n">
        <v>0.75</v>
      </c>
      <c r="I168" s="35" t="n">
        <v>3</v>
      </c>
    </row>
    <row r="169" ht="62" customHeight="1">
      <c r="A169" s="9" t="n"/>
      <c r="B169" s="34" t="inlineStr">
        <is>
          <t>PV03</t>
        </is>
      </c>
      <c r="C169" s="9">
        <f>IF(COUNT(H169,I169)&lt;2,"",TEXT(H169,"0.00")&amp;" x "&amp;TEXT(I169,"0.00"))</f>
        <v/>
      </c>
      <c r="D169" s="8">
        <f>IF(COUNT(H169,I169)&lt;2,"",ROUND(H169*I169,2))</f>
        <v/>
      </c>
      <c r="E169" s="25" t="n">
        <v>60</v>
      </c>
      <c r="F169" s="28">
        <f>IF(D169="","",ROUND(D169*E169,1))</f>
        <v/>
      </c>
      <c r="G169" s="2" t="n"/>
      <c r="H169" s="35" t="n">
        <v>1.76</v>
      </c>
      <c r="I169" s="35" t="n">
        <v>3</v>
      </c>
    </row>
    <row r="170" ht="39.7" customHeight="1">
      <c r="A170" s="16" t="inlineStr">
        <is>
          <t>2</t>
        </is>
      </c>
      <c r="B170" s="33" t="inlineStr">
        <is>
          <t>PAREDES EXTERIORES</t>
        </is>
      </c>
      <c r="C170" s="9" t="n"/>
      <c r="D170" s="9" t="n"/>
      <c r="E170" s="9" t="n"/>
      <c r="F170" s="9" t="n"/>
      <c r="G170" s="2" t="n"/>
      <c r="H170" s="2" t="n"/>
      <c r="I170" s="2" t="n"/>
    </row>
    <row r="171" ht="62" customHeight="1">
      <c r="A171" s="9" t="n"/>
      <c r="B171" s="34" t="inlineStr">
        <is>
          <t>AISLADAS ()</t>
        </is>
      </c>
      <c r="C171" s="9">
        <f>IF(COUNT(H171,I171)&lt;2,"",TEXT(H171,"0.00")&amp;" x "&amp;TEXT(I171,"0.00"))</f>
        <v/>
      </c>
      <c r="D171" s="8">
        <f>IF(COUNT(H171,I171)&lt;2,"",ROUND(H171*I171,2))</f>
        <v/>
      </c>
      <c r="E171" s="25" t="n">
        <v>20</v>
      </c>
      <c r="F171" s="28">
        <f>IF(D171="","",ROUND(D171*E171,1))</f>
        <v/>
      </c>
      <c r="G171" s="2" t="n"/>
      <c r="H171" s="35" t="n">
        <v>3.5</v>
      </c>
      <c r="I171" s="35" t="n">
        <v>2.8</v>
      </c>
    </row>
    <row r="172" ht="62" customHeight="1">
      <c r="A172" s="9" t="n"/>
      <c r="B172" s="34" t="inlineStr">
        <is>
          <t>AISLADAS ()</t>
        </is>
      </c>
      <c r="C172" s="9">
        <f>IF(COUNT(H172,I172)&lt;2,"",TEXT(H172,"0.00")&amp;" x "&amp;TEXT(I172,"0.00"))</f>
        <v/>
      </c>
      <c r="D172" s="8">
        <f>IF(COUNT(H172,I172)&lt;2,"",ROUND(H172*I172,2))</f>
        <v/>
      </c>
      <c r="E172" s="25" t="n">
        <v>20</v>
      </c>
      <c r="F172" s="28">
        <f>IF(D172="","",ROUND(D172*E172,1))</f>
        <v/>
      </c>
      <c r="G172" s="2" t="n"/>
      <c r="H172" s="35" t="n">
        <v>3.5</v>
      </c>
      <c r="I172" s="35" t="n">
        <v>2.8</v>
      </c>
    </row>
    <row r="173" ht="62" customHeight="1">
      <c r="A173" s="9" t="n"/>
      <c r="B173" s="34" t="inlineStr">
        <is>
          <t>AISLADAS ()</t>
        </is>
      </c>
      <c r="C173" s="9">
        <f>IF(COUNT(H173,I173)&lt;2,"",TEXT(H173,"0.00")&amp;" x "&amp;TEXT(I173,"0.00"))</f>
        <v/>
      </c>
      <c r="D173" s="8">
        <f>IF(COUNT(H173,I173)&lt;2,"",ROUND(H173*I173,2))</f>
        <v/>
      </c>
      <c r="E173" s="25" t="n">
        <v>20</v>
      </c>
      <c r="F173" s="28">
        <f>IF(D173="","",ROUND(D173*E173,1))</f>
        <v/>
      </c>
      <c r="G173" s="2" t="n"/>
      <c r="H173" s="35" t="n">
        <v>3.5</v>
      </c>
      <c r="I173" s="35" t="n">
        <v>2.8</v>
      </c>
    </row>
    <row r="174" ht="62" customHeight="1">
      <c r="A174" s="9" t="n"/>
      <c r="B174" s="34" t="inlineStr">
        <is>
          <t>INTERIORES (    )</t>
        </is>
      </c>
      <c r="C174" s="9">
        <f>IF(COUNT(H174,I174)&lt;2,"",TEXT(H174,"0.00")&amp;" x "&amp;TEXT(I174,"0.00"))</f>
        <v/>
      </c>
      <c r="D174" s="8">
        <f>IF(COUNT(H174,I174)&lt;2,"",ROUND(H174*I174,2))</f>
        <v/>
      </c>
      <c r="E174" s="25" t="n">
        <v>25</v>
      </c>
      <c r="F174" s="28">
        <f>IF(D174="","",ROUND(D174*E174,1))</f>
        <v/>
      </c>
      <c r="G174" s="2" t="n"/>
      <c r="H174" s="35" t="n">
        <v>3.5</v>
      </c>
      <c r="I174" s="35" t="n">
        <v>2.8</v>
      </c>
    </row>
    <row r="175" ht="62" customHeight="1">
      <c r="A175" s="9" t="n"/>
      <c r="B175" s="34" t="inlineStr">
        <is>
          <t>INTERIORES (    )</t>
        </is>
      </c>
      <c r="C175" s="9">
        <f>IF(COUNT(H175,I175)&lt;2,"",TEXT(H175,"0.00")&amp;" x "&amp;TEXT(I175,"0.00"))</f>
        <v/>
      </c>
      <c r="D175" s="8">
        <f>IF(COUNT(H175,I175)&lt;2,"",ROUND(H175*I175,2))</f>
        <v/>
      </c>
      <c r="E175" s="25" t="n">
        <v>25</v>
      </c>
      <c r="F175" s="28">
        <f>IF(D175="","",ROUND(D175*E175,1))</f>
        <v/>
      </c>
      <c r="G175" s="2" t="n"/>
      <c r="H175" s="35" t="n"/>
      <c r="I175" s="35" t="n"/>
    </row>
    <row r="176" ht="39.7" customHeight="1">
      <c r="A176" s="16" t="inlineStr">
        <is>
          <t>3</t>
        </is>
      </c>
      <c r="B176" s="33" t="inlineStr">
        <is>
          <t>TECHOS O CIELORRASOS</t>
        </is>
      </c>
      <c r="C176" s="9" t="n"/>
      <c r="D176" s="9" t="n"/>
      <c r="E176" s="9" t="n"/>
      <c r="F176" s="9" t="n"/>
      <c r="G176" s="2" t="n"/>
      <c r="H176" s="2" t="n"/>
      <c r="I176" s="2" t="n"/>
    </row>
    <row r="177" ht="62" customHeight="1">
      <c r="A177" s="9" t="n"/>
      <c r="B177" s="34" t="inlineStr">
        <is>
          <t>TECHO NO AISLADO</t>
        </is>
      </c>
      <c r="C177" s="9" t="inlineStr"/>
      <c r="D177" s="8">
        <f>IF(COUNT(H177,I177)&lt;2,"",ROUND(H177*I177,2))</f>
        <v/>
      </c>
      <c r="E177" s="25" t="n">
        <v>30</v>
      </c>
      <c r="F177" s="28">
        <f>IF(D177="","",ROUND(D177*E177,1))</f>
        <v/>
      </c>
      <c r="G177" s="2" t="n"/>
      <c r="H177" s="35" t="n"/>
      <c r="I177" s="35" t="n"/>
    </row>
    <row r="178" ht="62" customHeight="1">
      <c r="A178" s="9" t="n"/>
      <c r="B178" s="34" t="inlineStr">
        <is>
          <t>TECHO AISLADO</t>
        </is>
      </c>
      <c r="C178" s="9" t="inlineStr"/>
      <c r="D178" s="8">
        <f>IF(COUNT(H178,I178)&lt;2,"",ROUND(H178*I178,2))</f>
        <v/>
      </c>
      <c r="E178" s="25" t="n">
        <v>20</v>
      </c>
      <c r="F178" s="28">
        <f>IF(D178="","",ROUND(D178*E178,1))</f>
        <v/>
      </c>
      <c r="G178" s="2" t="n"/>
      <c r="H178" s="35" t="n"/>
      <c r="I178" s="35" t="n"/>
    </row>
    <row r="179" ht="39.7" customHeight="1">
      <c r="A179" s="9" t="n"/>
      <c r="B179" s="34" t="inlineStr">
        <is>
          <t>TECHO ENTREPISO</t>
        </is>
      </c>
      <c r="C179" s="9" t="inlineStr">
        <is>
          <t>por croquis</t>
        </is>
      </c>
      <c r="D179" s="8" t="n">
        <v>12.25</v>
      </c>
      <c r="E179" s="25" t="n">
        <v>15</v>
      </c>
      <c r="F179" s="28">
        <f>IF(D179="","",ROUND(D179*E179,1))</f>
        <v/>
      </c>
      <c r="G179" s="2" t="n"/>
      <c r="H179" s="35" t="n"/>
      <c r="I179" s="35" t="n"/>
    </row>
    <row r="180" ht="39.7" customHeight="1">
      <c r="A180" s="16" t="inlineStr">
        <is>
          <t>4</t>
        </is>
      </c>
      <c r="B180" s="33" t="inlineStr">
        <is>
          <t>PISO</t>
        </is>
      </c>
      <c r="C180" s="9" t="n"/>
      <c r="D180" s="9" t="n"/>
      <c r="E180" s="9" t="n"/>
      <c r="F180" s="9" t="n"/>
      <c r="G180" s="2" t="n"/>
      <c r="H180" s="2" t="n"/>
      <c r="I180" s="2" t="n"/>
    </row>
    <row r="181" ht="39.7" customHeight="1">
      <c r="A181" s="9" t="n"/>
      <c r="B181" s="34" t="inlineStr">
        <is>
          <t>SOBRE TIERRA</t>
        </is>
      </c>
      <c r="C181" s="9" t="inlineStr">
        <is>
          <t>por croquis</t>
        </is>
      </c>
      <c r="D181" s="8" t="n">
        <v>12.25</v>
      </c>
      <c r="E181" s="25" t="n">
        <v>10</v>
      </c>
      <c r="F181" s="28">
        <f>IF(D181="","",ROUND(D181*E181,1))</f>
        <v/>
      </c>
      <c r="G181" s="2" t="n"/>
      <c r="H181" s="35" t="n"/>
      <c r="I181" s="35" t="n"/>
    </row>
    <row r="182" ht="62" customHeight="1">
      <c r="A182" s="9" t="n"/>
      <c r="B182" s="34" t="inlineStr">
        <is>
          <t>SOBRE LOCAL OCUPADO</t>
        </is>
      </c>
      <c r="C182" s="9" t="inlineStr"/>
      <c r="D182" s="8">
        <f>IF(COUNT(H182,I182)&lt;2,"",ROUND(H182*I182,2))</f>
        <v/>
      </c>
      <c r="E182" s="25" t="n">
        <v>15</v>
      </c>
      <c r="F182" s="28">
        <f>IF(D182="","",ROUND(D182*E182,1))</f>
        <v/>
      </c>
      <c r="G182" s="2" t="n"/>
      <c r="H182" s="35" t="n"/>
      <c r="I182" s="35" t="n"/>
    </row>
    <row r="183" ht="39.7" customHeight="1">
      <c r="A183" s="16" t="inlineStr">
        <is>
          <t>5</t>
        </is>
      </c>
      <c r="B183" s="33" t="inlineStr">
        <is>
          <t>INFILTRACION</t>
        </is>
      </c>
      <c r="C183" s="9" t="n"/>
      <c r="D183" s="16" t="inlineStr">
        <is>
          <t>VOLUMEN (m3)</t>
        </is>
      </c>
      <c r="E183" s="9" t="n"/>
      <c r="F183" s="9" t="n"/>
      <c r="G183" s="2" t="n"/>
      <c r="H183" s="2" t="n"/>
      <c r="I183" s="2" t="n"/>
    </row>
    <row r="184" ht="62" customHeight="1">
      <c r="A184" s="9" t="n"/>
      <c r="B184" s="34" t="inlineStr">
        <is>
          <t>UNA PARED EXTERIOR</t>
        </is>
      </c>
      <c r="C184" s="9" t="inlineStr"/>
      <c r="D184" s="8">
        <f>IF(COUNT(H184,I184)&lt;2,"",ROUND(H184*I184,2))</f>
        <v/>
      </c>
      <c r="E184" s="25" t="n">
        <v>6</v>
      </c>
      <c r="F184" s="28">
        <f>IF(D184="","",ROUND(D184*E184,1))</f>
        <v/>
      </c>
      <c r="G184" s="2" t="n"/>
      <c r="H184" s="35" t="n"/>
      <c r="I184" s="35" t="n"/>
    </row>
    <row r="185" ht="62" customHeight="1">
      <c r="A185" s="9" t="n"/>
      <c r="B185" s="34" t="inlineStr">
        <is>
          <t>DOS PAREDES EXTERIORES</t>
        </is>
      </c>
      <c r="C185" s="9" t="inlineStr"/>
      <c r="D185" s="8">
        <f>IF(COUNT(H185,I185)&lt;2,"",ROUND(H185*I185,2))</f>
        <v/>
      </c>
      <c r="E185" s="25" t="n">
        <v>9</v>
      </c>
      <c r="F185" s="28">
        <f>IF(D185="","",ROUND(D185*E185,1))</f>
        <v/>
      </c>
      <c r="G185" s="2" t="n"/>
      <c r="H185" s="35" t="n"/>
      <c r="I185" s="35" t="n"/>
    </row>
    <row r="186" ht="39.7" customHeight="1">
      <c r="A186" s="9" t="n"/>
      <c r="B186" s="34" t="inlineStr">
        <is>
          <t>TRES O MAS PAREDES EXTERIORES</t>
        </is>
      </c>
      <c r="C186" s="9" t="inlineStr">
        <is>
          <t>12.25 m2 x 2.80</t>
        </is>
      </c>
      <c r="D186" s="8" t="n">
        <v>34.3</v>
      </c>
      <c r="E186" s="25" t="n">
        <v>12</v>
      </c>
      <c r="F186" s="28">
        <f>IF(D186="","",ROUND(D186*E186,1))</f>
        <v/>
      </c>
      <c r="G186" s="2" t="n"/>
      <c r="H186" s="35" t="n"/>
      <c r="I186" s="35" t="n"/>
    </row>
    <row r="187" ht="70" customHeight="1">
      <c r="A187" s="16" t="inlineStr">
        <is>
          <t>6</t>
        </is>
      </c>
      <c r="B187" s="33" t="inlineStr">
        <is>
          <t>SUBTOTAL</t>
        </is>
      </c>
      <c r="C187" s="9" t="n"/>
      <c r="D187" s="9" t="n"/>
      <c r="E187" s="9" t="n"/>
      <c r="F187" s="36">
        <f>IF(F168="",0,F168)+IF(F169="",0,F169)+IF(F171="",0,F171)+IF(F172="",0,F172)+IF(F173="",0,F173)+IF(F174="",0,F174)+IF(F175="",0,F175)+IF(F177="",0,F177)+IF(F178="",0,F178)+IF(F179="",0,F179)+IF(F181="",0,F181)+IF(F182="",0,F182)+IF(F184="",0,F184)+IF(F185="",0,F185)+IF(F186="",0,F186)</f>
        <v/>
      </c>
      <c r="G187" s="2" t="n"/>
      <c r="H187" s="2" t="n"/>
      <c r="I187" s="2" t="n"/>
    </row>
    <row r="188" ht="47" customHeight="1">
      <c r="A188" s="16" t="inlineStr">
        <is>
          <t>7</t>
        </is>
      </c>
      <c r="B188" s="33" t="inlineStr">
        <is>
          <t>PERDIDA TOTAL</t>
        </is>
      </c>
      <c r="C188" s="9">
        <f>TEXT(F187,"0.00")&amp;"  X  "&amp;Datos_balance!$B$4&amp;" (FI)  X  "&amp;Datos_balance!$B$5&amp;" (FO)  X  "&amp;Datos_balance!$B$6&amp;" (FZ)"</f>
        <v/>
      </c>
      <c r="D188" s="2" t="n"/>
      <c r="E188" s="2" t="n"/>
      <c r="F188" s="36">
        <f>ROUND(F187*Datos_balance!$B$4*Datos_balance!$B$5*Datos_balance!$B$6,1)</f>
        <v/>
      </c>
      <c r="G188" s="2" t="n"/>
      <c r="H188" s="2" t="n"/>
      <c r="I188" s="2" t="n"/>
    </row>
    <row r="189" ht="39.7" customHeight="1">
      <c r="A189" s="9" t="n"/>
      <c r="B189" s="10" t="inlineStr">
        <is>
          <t>Carga de locales sin emisor</t>
        </is>
      </c>
      <c r="C189" s="9" t="n"/>
      <c r="D189" s="2" t="n"/>
      <c r="E189" s="2" t="n"/>
      <c r="F189" s="28" t="n"/>
      <c r="G189" s="2" t="n"/>
      <c r="H189" s="2" t="n"/>
      <c r="I189" s="2" t="n"/>
    </row>
    <row r="190" ht="39.7" customHeight="1">
      <c r="A190" s="9" t="n"/>
      <c r="B190" s="33" t="inlineStr">
        <is>
          <t>CARGA TOTAL A CUBRIR</t>
        </is>
      </c>
      <c r="C190" s="9" t="n"/>
      <c r="D190" s="2" t="n"/>
      <c r="E190" s="2" t="n"/>
      <c r="F190" s="36">
        <f>F188+IF(F189="",0,F189)</f>
        <v/>
      </c>
      <c r="G190" s="2" t="n"/>
      <c r="H190" s="2" t="n"/>
      <c r="I190" s="2" t="n"/>
    </row>
    <row r="191">
      <c r="A191" s="2" t="n"/>
      <c r="B191" s="2" t="n"/>
      <c r="C191" s="2" t="n"/>
      <c r="D191" s="2" t="n"/>
      <c r="E191" s="2" t="n"/>
      <c r="F191" s="2" t="n"/>
      <c r="G191" s="2" t="n"/>
      <c r="H191" s="2" t="n"/>
      <c r="I191" s="2" t="n"/>
    </row>
    <row r="192" ht="62" customHeight="1">
      <c r="A192" s="9" t="n"/>
      <c r="B192" s="10" t="inlineStr">
        <is>
          <t>Salto termico:  dt = (te+ts)/2 - ti</t>
        </is>
      </c>
      <c r="C192" s="9">
        <f>TEXT((Datos_balance!$B$9+Datos_balance!$B$10)/2,"0")&amp;" - "&amp;TEXT(Datos_balance!$B$11,"0")&amp;" = "&amp;TEXT((Datos_balance!$B$9+Datos_balance!$B$10)/2-Datos_balance!$B$11,"0")&amp;" C"</f>
        <v/>
      </c>
      <c r="D192" s="2" t="n"/>
      <c r="E192" s="2" t="n"/>
      <c r="F192" s="9" t="n"/>
      <c r="G192" s="2" t="n"/>
      <c r="H192" s="2" t="n"/>
      <c r="I192" s="2" t="n"/>
    </row>
    <row r="193" ht="39.7" customHeight="1">
      <c r="A193" s="9" t="n"/>
      <c r="B193" s="10" t="inlineStr">
        <is>
          <t>Kcal/h por elemento</t>
        </is>
      </c>
      <c r="C193" s="8">
        <f>ROUND(Datos_balance!$B$14*Datos_balance!$B$15,2)</f>
        <v/>
      </c>
      <c r="D193" s="2" t="n"/>
      <c r="E193" s="2" t="n"/>
      <c r="F193" s="9" t="n"/>
      <c r="G193" s="2" t="n"/>
      <c r="H193" s="2" t="n"/>
      <c r="I193" s="2" t="n"/>
    </row>
    <row r="194" ht="39.7" customHeight="1">
      <c r="A194" s="9" t="n"/>
      <c r="B194" s="10" t="inlineStr">
        <is>
          <t>Elementos necesarios</t>
        </is>
      </c>
      <c r="C194" s="25">
        <f>ROUNDUP(F190/(Datos_balance!$B$14*Datos_balance!$B$15),0)</f>
        <v/>
      </c>
      <c r="D194" s="2" t="n"/>
      <c r="E194" s="2" t="n"/>
      <c r="F194" s="9" t="n"/>
      <c r="G194" s="2" t="n"/>
      <c r="H194" s="2" t="n"/>
      <c r="I194" s="2" t="n"/>
    </row>
    <row r="195" ht="39.7" customHeight="1">
      <c r="A195" s="9" t="n"/>
      <c r="B195" s="10" t="inlineStr">
        <is>
          <t>Ancho del radiador (cm)</t>
        </is>
      </c>
      <c r="C195" s="25">
        <f>ROUNDUP(F190/(Datos_balance!$B$14*Datos_balance!$B$15),0)*Datos_balance!$B$16</f>
        <v/>
      </c>
      <c r="D195" s="2" t="n"/>
      <c r="E195" s="2" t="n"/>
      <c r="F195" s="9" t="n"/>
      <c r="G195" s="2" t="n"/>
      <c r="H195" s="2" t="n"/>
      <c r="I195" s="2" t="n"/>
    </row>
    <row r="196" ht="39.7" customHeight="1">
      <c r="A196" s="13" t="n"/>
      <c r="B196" s="14" t="inlineStr">
        <is>
          <t>Radiador adoptado</t>
        </is>
      </c>
      <c r="C196" s="13">
        <f>Datos_balance!$B$13</f>
        <v/>
      </c>
      <c r="D196" s="20" t="n"/>
      <c r="E196" s="20" t="n"/>
      <c r="F196" s="13" t="n"/>
      <c r="G196" s="2" t="n"/>
      <c r="H196" s="2" t="n"/>
      <c r="I196" s="2" t="n"/>
    </row>
    <row r="197">
      <c r="A197" s="2" t="n"/>
      <c r="B197" s="2" t="n"/>
      <c r="C197" s="2" t="n"/>
      <c r="D197" s="2" t="n"/>
      <c r="E197" s="2" t="n"/>
      <c r="F197" s="2" t="n"/>
      <c r="G197" s="2" t="n"/>
      <c r="H197" s="2" t="n"/>
      <c r="I197" s="2" t="n"/>
    </row>
    <row r="198">
      <c r="A198" s="2" t="n"/>
      <c r="B198" s="2" t="n"/>
      <c r="C198" s="2" t="n"/>
      <c r="D198" s="2" t="n"/>
      <c r="E198" s="2" t="n"/>
      <c r="F198" s="2" t="n"/>
      <c r="G198" s="2" t="n"/>
      <c r="H198" s="2" t="n"/>
      <c r="I198" s="2" t="n"/>
    </row>
    <row r="199" ht="39.7" customHeight="1">
      <c r="A199" s="5" t="inlineStr">
        <is>
          <t>LOCAL  10 - Bano suite   (PB)   -   altura 2.80 m</t>
        </is>
      </c>
      <c r="B199" s="2" t="n"/>
      <c r="C199" s="2" t="n"/>
      <c r="D199" s="2" t="n"/>
      <c r="E199" s="2" t="n"/>
      <c r="F199" s="2" t="n"/>
      <c r="G199" s="2" t="n"/>
      <c r="H199" s="2" t="n"/>
      <c r="I199" s="2" t="n"/>
    </row>
    <row r="200" ht="39.7" customHeight="1">
      <c r="A200" s="3" t="inlineStr">
        <is>
          <t>Nro</t>
        </is>
      </c>
      <c r="B200" s="3" t="inlineStr">
        <is>
          <t>DESCRIPCION</t>
        </is>
      </c>
      <c r="C200" s="3" t="inlineStr">
        <is>
          <t>DIMENSIONES (m)</t>
        </is>
      </c>
      <c r="D200" s="3" t="inlineStr">
        <is>
          <t>AREA (m2)</t>
        </is>
      </c>
      <c r="E200" s="3" t="inlineStr">
        <is>
          <t>FACTOR</t>
        </is>
      </c>
      <c r="F200" s="3" t="inlineStr">
        <is>
          <t>PERDIDA CALOR (Kcal/h)</t>
        </is>
      </c>
      <c r="G200" s="2" t="n"/>
      <c r="H200" s="2" t="n"/>
      <c r="I200" s="2" t="n"/>
    </row>
    <row r="201" ht="39.7" customHeight="1">
      <c r="A201" s="16" t="inlineStr">
        <is>
          <t>1</t>
        </is>
      </c>
      <c r="B201" s="33" t="inlineStr">
        <is>
          <t>VENTANA</t>
        </is>
      </c>
      <c r="C201" s="9" t="n"/>
      <c r="D201" s="9" t="n"/>
      <c r="E201" s="9" t="n"/>
      <c r="F201" s="9" t="n"/>
      <c r="G201" s="2" t="n"/>
      <c r="H201" s="2" t="n"/>
      <c r="I201" s="2" t="n"/>
    </row>
    <row r="202" ht="62" customHeight="1">
      <c r="A202" s="9" t="n"/>
      <c r="B202" s="34" t="inlineStr">
        <is>
          <t>VA02</t>
        </is>
      </c>
      <c r="C202" s="9">
        <f>IF(COUNT(H202,I202)&lt;2,"",TEXT(H202,"0.00")&amp;" x "&amp;TEXT(I202,"0.00"))</f>
        <v/>
      </c>
      <c r="D202" s="8">
        <f>IF(COUNT(H202,I202)&lt;2,"",ROUND(H202*I202,2))</f>
        <v/>
      </c>
      <c r="E202" s="25" t="n">
        <v>60</v>
      </c>
      <c r="F202" s="28">
        <f>IF(D202="","",ROUND(D202*E202,1))</f>
        <v/>
      </c>
      <c r="G202" s="2" t="n"/>
      <c r="H202" s="35" t="n">
        <v>0.75</v>
      </c>
      <c r="I202" s="35" t="n">
        <v>2.15</v>
      </c>
    </row>
    <row r="203" ht="39.7" customHeight="1">
      <c r="A203" s="16" t="inlineStr">
        <is>
          <t>2</t>
        </is>
      </c>
      <c r="B203" s="33" t="inlineStr">
        <is>
          <t>PAREDES EXTERIORES</t>
        </is>
      </c>
      <c r="C203" s="9" t="n"/>
      <c r="D203" s="9" t="n"/>
      <c r="E203" s="9" t="n"/>
      <c r="F203" s="9" t="n"/>
      <c r="G203" s="2" t="n"/>
      <c r="H203" s="2" t="n"/>
      <c r="I203" s="2" t="n"/>
    </row>
    <row r="204" ht="62" customHeight="1">
      <c r="A204" s="9" t="n"/>
      <c r="B204" s="34" t="inlineStr">
        <is>
          <t>AISLADAS ()</t>
        </is>
      </c>
      <c r="C204" s="9">
        <f>IF(COUNT(H204,I204)&lt;2,"",TEXT(H204,"0.00")&amp;" x "&amp;TEXT(I204,"0.00"))</f>
        <v/>
      </c>
      <c r="D204" s="8">
        <f>IF(COUNT(H204,I204)&lt;2,"",ROUND(H204*I204,2))</f>
        <v/>
      </c>
      <c r="E204" s="25" t="n">
        <v>20</v>
      </c>
      <c r="F204" s="28">
        <f>IF(D204="","",ROUND(D204*E204,1))</f>
        <v/>
      </c>
      <c r="G204" s="2" t="n"/>
      <c r="H204" s="35" t="n">
        <v>3.38</v>
      </c>
      <c r="I204" s="35" t="n">
        <v>2.8</v>
      </c>
    </row>
    <row r="205" ht="62" customHeight="1">
      <c r="A205" s="9" t="n"/>
      <c r="B205" s="34" t="inlineStr">
        <is>
          <t>AISLADAS (    )</t>
        </is>
      </c>
      <c r="C205" s="9">
        <f>IF(COUNT(H205,I205)&lt;2,"",TEXT(H205,"0.00")&amp;" x "&amp;TEXT(I205,"0.00"))</f>
        <v/>
      </c>
      <c r="D205" s="8">
        <f>IF(COUNT(H205,I205)&lt;2,"",ROUND(H205*I205,2))</f>
        <v/>
      </c>
      <c r="E205" s="25" t="n">
        <v>20</v>
      </c>
      <c r="F205" s="28">
        <f>IF(D205="","",ROUND(D205*E205,1))</f>
        <v/>
      </c>
      <c r="G205" s="2" t="n"/>
      <c r="H205" s="35" t="n"/>
      <c r="I205" s="35" t="n"/>
    </row>
    <row r="206" ht="62" customHeight="1">
      <c r="A206" s="9" t="n"/>
      <c r="B206" s="34" t="inlineStr">
        <is>
          <t>INTERIORES (    )</t>
        </is>
      </c>
      <c r="C206" s="9">
        <f>IF(COUNT(H206,I206)&lt;2,"",TEXT(H206,"0.00")&amp;" x "&amp;TEXT(I206,"0.00"))</f>
        <v/>
      </c>
      <c r="D206" s="8">
        <f>IF(COUNT(H206,I206)&lt;2,"",ROUND(H206*I206,2))</f>
        <v/>
      </c>
      <c r="E206" s="25" t="n">
        <v>25</v>
      </c>
      <c r="F206" s="28">
        <f>IF(D206="","",ROUND(D206*E206,1))</f>
        <v/>
      </c>
      <c r="G206" s="2" t="n"/>
      <c r="H206" s="35" t="n">
        <v>1.72</v>
      </c>
      <c r="I206" s="35" t="n">
        <v>2.8</v>
      </c>
    </row>
    <row r="207" ht="62" customHeight="1">
      <c r="A207" s="9" t="n"/>
      <c r="B207" s="34" t="inlineStr">
        <is>
          <t>INTERIORES (    )</t>
        </is>
      </c>
      <c r="C207" s="9">
        <f>IF(COUNT(H207,I207)&lt;2,"",TEXT(H207,"0.00")&amp;" x "&amp;TEXT(I207,"0.00"))</f>
        <v/>
      </c>
      <c r="D207" s="8">
        <f>IF(COUNT(H207,I207)&lt;2,"",ROUND(H207*I207,2))</f>
        <v/>
      </c>
      <c r="E207" s="25" t="n">
        <v>25</v>
      </c>
      <c r="F207" s="28">
        <f>IF(D207="","",ROUND(D207*E207,1))</f>
        <v/>
      </c>
      <c r="G207" s="2" t="n"/>
      <c r="H207" s="35" t="n">
        <v>3.38</v>
      </c>
      <c r="I207" s="35" t="n">
        <v>2.8</v>
      </c>
    </row>
    <row r="208" ht="62" customHeight="1">
      <c r="A208" s="9" t="n"/>
      <c r="B208" s="34" t="inlineStr">
        <is>
          <t>INTERIORES (    )</t>
        </is>
      </c>
      <c r="C208" s="9">
        <f>IF(COUNT(H208,I208)&lt;2,"",TEXT(H208,"0.00")&amp;" x "&amp;TEXT(I208,"0.00"))</f>
        <v/>
      </c>
      <c r="D208" s="8">
        <f>IF(COUNT(H208,I208)&lt;2,"",ROUND(H208*I208,2))</f>
        <v/>
      </c>
      <c r="E208" s="25" t="n">
        <v>25</v>
      </c>
      <c r="F208" s="28">
        <f>IF(D208="","",ROUND(D208*E208,1))</f>
        <v/>
      </c>
      <c r="G208" s="2" t="n"/>
      <c r="H208" s="35" t="n">
        <v>1.72</v>
      </c>
      <c r="I208" s="35" t="n">
        <v>2.8</v>
      </c>
    </row>
    <row r="209" ht="39.7" customHeight="1">
      <c r="A209" s="16" t="inlineStr">
        <is>
          <t>3</t>
        </is>
      </c>
      <c r="B209" s="33" t="inlineStr">
        <is>
          <t>TECHOS O CIELORRASOS</t>
        </is>
      </c>
      <c r="C209" s="9" t="n"/>
      <c r="D209" s="9" t="n"/>
      <c r="E209" s="9" t="n"/>
      <c r="F209" s="9" t="n"/>
      <c r="G209" s="2" t="n"/>
      <c r="H209" s="2" t="n"/>
      <c r="I209" s="2" t="n"/>
    </row>
    <row r="210" ht="62" customHeight="1">
      <c r="A210" s="9" t="n"/>
      <c r="B210" s="34" t="inlineStr">
        <is>
          <t>TECHO NO AISLADO</t>
        </is>
      </c>
      <c r="C210" s="9" t="inlineStr"/>
      <c r="D210" s="8">
        <f>IF(COUNT(H210,I210)&lt;2,"",ROUND(H210*I210,2))</f>
        <v/>
      </c>
      <c r="E210" s="25" t="n">
        <v>30</v>
      </c>
      <c r="F210" s="28">
        <f>IF(D210="","",ROUND(D210*E210,1))</f>
        <v/>
      </c>
      <c r="G210" s="2" t="n"/>
      <c r="H210" s="35" t="n"/>
      <c r="I210" s="35" t="n"/>
    </row>
    <row r="211" ht="62" customHeight="1">
      <c r="A211" s="9" t="n"/>
      <c r="B211" s="34" t="inlineStr">
        <is>
          <t>TECHO AISLADO</t>
        </is>
      </c>
      <c r="C211" s="9" t="inlineStr"/>
      <c r="D211" s="8">
        <f>IF(COUNT(H211,I211)&lt;2,"",ROUND(H211*I211,2))</f>
        <v/>
      </c>
      <c r="E211" s="25" t="n">
        <v>20</v>
      </c>
      <c r="F211" s="28">
        <f>IF(D211="","",ROUND(D211*E211,1))</f>
        <v/>
      </c>
      <c r="G211" s="2" t="n"/>
      <c r="H211" s="35" t="n"/>
      <c r="I211" s="35" t="n"/>
    </row>
    <row r="212" ht="39.7" customHeight="1">
      <c r="A212" s="9" t="n"/>
      <c r="B212" s="34" t="inlineStr">
        <is>
          <t>TECHO ENTREPISO</t>
        </is>
      </c>
      <c r="C212" s="9" t="inlineStr">
        <is>
          <t>por croquis</t>
        </is>
      </c>
      <c r="D212" s="8" t="n">
        <v>5.81</v>
      </c>
      <c r="E212" s="25" t="n">
        <v>15</v>
      </c>
      <c r="F212" s="28">
        <f>IF(D212="","",ROUND(D212*E212,1))</f>
        <v/>
      </c>
      <c r="G212" s="2" t="n"/>
      <c r="H212" s="35" t="n"/>
      <c r="I212" s="35" t="n"/>
    </row>
    <row r="213" ht="39.7" customHeight="1">
      <c r="A213" s="16" t="inlineStr">
        <is>
          <t>4</t>
        </is>
      </c>
      <c r="B213" s="33" t="inlineStr">
        <is>
          <t>PISO</t>
        </is>
      </c>
      <c r="C213" s="9" t="n"/>
      <c r="D213" s="9" t="n"/>
      <c r="E213" s="9" t="n"/>
      <c r="F213" s="9" t="n"/>
      <c r="G213" s="2" t="n"/>
      <c r="H213" s="2" t="n"/>
      <c r="I213" s="2" t="n"/>
    </row>
    <row r="214" ht="39.7" customHeight="1">
      <c r="A214" s="9" t="n"/>
      <c r="B214" s="34" t="inlineStr">
        <is>
          <t>SOBRE TIERRA</t>
        </is>
      </c>
      <c r="C214" s="9" t="inlineStr">
        <is>
          <t>por croquis</t>
        </is>
      </c>
      <c r="D214" s="8" t="n">
        <v>5.81</v>
      </c>
      <c r="E214" s="25" t="n">
        <v>10</v>
      </c>
      <c r="F214" s="28">
        <f>IF(D214="","",ROUND(D214*E214,1))</f>
        <v/>
      </c>
      <c r="G214" s="2" t="n"/>
      <c r="H214" s="35" t="n"/>
      <c r="I214" s="35" t="n"/>
    </row>
    <row r="215" ht="62" customHeight="1">
      <c r="A215" s="9" t="n"/>
      <c r="B215" s="34" t="inlineStr">
        <is>
          <t>SOBRE LOCAL OCUPADO</t>
        </is>
      </c>
      <c r="C215" s="9" t="inlineStr"/>
      <c r="D215" s="8">
        <f>IF(COUNT(H215,I215)&lt;2,"",ROUND(H215*I215,2))</f>
        <v/>
      </c>
      <c r="E215" s="25" t="n">
        <v>15</v>
      </c>
      <c r="F215" s="28">
        <f>IF(D215="","",ROUND(D215*E215,1))</f>
        <v/>
      </c>
      <c r="G215" s="2" t="n"/>
      <c r="H215" s="35" t="n"/>
      <c r="I215" s="35" t="n"/>
    </row>
    <row r="216" ht="39.7" customHeight="1">
      <c r="A216" s="16" t="inlineStr">
        <is>
          <t>5</t>
        </is>
      </c>
      <c r="B216" s="33" t="inlineStr">
        <is>
          <t>INFILTRACION</t>
        </is>
      </c>
      <c r="C216" s="9" t="n"/>
      <c r="D216" s="16" t="inlineStr">
        <is>
          <t>VOLUMEN (m3)</t>
        </is>
      </c>
      <c r="E216" s="9" t="n"/>
      <c r="F216" s="9" t="n"/>
      <c r="G216" s="2" t="n"/>
      <c r="H216" s="2" t="n"/>
      <c r="I216" s="2" t="n"/>
    </row>
    <row r="217" ht="39.7" customHeight="1">
      <c r="A217" s="9" t="n"/>
      <c r="B217" s="34" t="inlineStr">
        <is>
          <t>UNA PARED EXTERIOR</t>
        </is>
      </c>
      <c r="C217" s="9" t="inlineStr">
        <is>
          <t>5.81 m2 x 2.80</t>
        </is>
      </c>
      <c r="D217" s="8" t="n">
        <v>16.27</v>
      </c>
      <c r="E217" s="25" t="n">
        <v>6</v>
      </c>
      <c r="F217" s="28">
        <f>IF(D217="","",ROUND(D217*E217,1))</f>
        <v/>
      </c>
      <c r="G217" s="2" t="n"/>
      <c r="H217" s="35" t="n"/>
      <c r="I217" s="35" t="n"/>
    </row>
    <row r="218" ht="62" customHeight="1">
      <c r="A218" s="9" t="n"/>
      <c r="B218" s="34" t="inlineStr">
        <is>
          <t>DOS PAREDES EXTERIORES</t>
        </is>
      </c>
      <c r="C218" s="9" t="inlineStr"/>
      <c r="D218" s="8">
        <f>IF(COUNT(H218,I218)&lt;2,"",ROUND(H218*I218,2))</f>
        <v/>
      </c>
      <c r="E218" s="25" t="n">
        <v>9</v>
      </c>
      <c r="F218" s="28">
        <f>IF(D218="","",ROUND(D218*E218,1))</f>
        <v/>
      </c>
      <c r="G218" s="2" t="n"/>
      <c r="H218" s="35" t="n"/>
      <c r="I218" s="35" t="n"/>
    </row>
    <row r="219" ht="62" customHeight="1">
      <c r="A219" s="9" t="n"/>
      <c r="B219" s="34" t="inlineStr">
        <is>
          <t>TRES O MAS PAREDES EXTERIORES</t>
        </is>
      </c>
      <c r="C219" s="9" t="inlineStr"/>
      <c r="D219" s="8">
        <f>IF(COUNT(H219,I219)&lt;2,"",ROUND(H219*I219,2))</f>
        <v/>
      </c>
      <c r="E219" s="25" t="n">
        <v>12</v>
      </c>
      <c r="F219" s="28">
        <f>IF(D219="","",ROUND(D219*E219,1))</f>
        <v/>
      </c>
      <c r="G219" s="2" t="n"/>
      <c r="H219" s="35" t="n"/>
      <c r="I219" s="35" t="n"/>
    </row>
    <row r="220" ht="70" customHeight="1">
      <c r="A220" s="16" t="inlineStr">
        <is>
          <t>6</t>
        </is>
      </c>
      <c r="B220" s="33" t="inlineStr">
        <is>
          <t>SUBTOTAL</t>
        </is>
      </c>
      <c r="C220" s="9" t="n"/>
      <c r="D220" s="9" t="n"/>
      <c r="E220" s="9" t="n"/>
      <c r="F220" s="36">
        <f>IF(F202="",0,F202)+IF(F204="",0,F204)+IF(F205="",0,F205)+IF(F206="",0,F206)+IF(F207="",0,F207)+IF(F208="",0,F208)+IF(F210="",0,F210)+IF(F211="",0,F211)+IF(F212="",0,F212)+IF(F214="",0,F214)+IF(F215="",0,F215)+IF(F217="",0,F217)+IF(F218="",0,F218)+IF(F219="",0,F219)</f>
        <v/>
      </c>
      <c r="G220" s="2" t="n"/>
      <c r="H220" s="2" t="n"/>
      <c r="I220" s="2" t="n"/>
    </row>
    <row r="221" ht="47" customHeight="1">
      <c r="A221" s="16" t="inlineStr">
        <is>
          <t>7</t>
        </is>
      </c>
      <c r="B221" s="33" t="inlineStr">
        <is>
          <t>PERDIDA TOTAL</t>
        </is>
      </c>
      <c r="C221" s="9">
        <f>TEXT(F220,"0.00")&amp;"  X  "&amp;Datos_balance!$B$4&amp;" (FI)  X  "&amp;Datos_balance!$B$5&amp;" (FO)  X  "&amp;Datos_balance!$B$6&amp;" (FZ)"</f>
        <v/>
      </c>
      <c r="D221" s="2" t="n"/>
      <c r="E221" s="2" t="n"/>
      <c r="F221" s="36">
        <f>ROUND(F220*Datos_balance!$B$4*Datos_balance!$B$5*Datos_balance!$B$6,1)</f>
        <v/>
      </c>
      <c r="G221" s="2" t="n"/>
      <c r="H221" s="2" t="n"/>
      <c r="I221" s="2" t="n"/>
    </row>
    <row r="222" ht="39.7" customHeight="1">
      <c r="A222" s="9" t="n"/>
      <c r="B222" s="10" t="inlineStr">
        <is>
          <t>Carga de locales sin emisor</t>
        </is>
      </c>
      <c r="C222" s="9" t="n"/>
      <c r="D222" s="2" t="n"/>
      <c r="E222" s="2" t="n"/>
      <c r="F222" s="28" t="n"/>
      <c r="G222" s="2" t="n"/>
      <c r="H222" s="2" t="n"/>
      <c r="I222" s="2" t="n"/>
    </row>
    <row r="223" ht="39.7" customHeight="1">
      <c r="A223" s="9" t="n"/>
      <c r="B223" s="33" t="inlineStr">
        <is>
          <t>CARGA TOTAL A CUBRIR</t>
        </is>
      </c>
      <c r="C223" s="9" t="n"/>
      <c r="D223" s="2" t="n"/>
      <c r="E223" s="2" t="n"/>
      <c r="F223" s="36">
        <f>F221+IF(F222="",0,F222)</f>
        <v/>
      </c>
      <c r="G223" s="2" t="n"/>
      <c r="H223" s="2" t="n"/>
      <c r="I223" s="2" t="n"/>
    </row>
    <row r="224">
      <c r="A224" s="2" t="n"/>
      <c r="B224" s="2" t="n"/>
      <c r="C224" s="2" t="n"/>
      <c r="D224" s="2" t="n"/>
      <c r="E224" s="2" t="n"/>
      <c r="F224" s="2" t="n"/>
      <c r="G224" s="2" t="n"/>
      <c r="H224" s="2" t="n"/>
      <c r="I224" s="2" t="n"/>
    </row>
    <row r="225" ht="62" customHeight="1">
      <c r="A225" s="9" t="n"/>
      <c r="B225" s="10" t="inlineStr">
        <is>
          <t>Salto termico:  dt = (te+ts)/2 - ti</t>
        </is>
      </c>
      <c r="C225" s="9">
        <f>TEXT((Datos_balance!$B$9+Datos_balance!$B$10)/2,"0")&amp;" - "&amp;TEXT(Datos_balance!$B$11,"0")&amp;" = "&amp;TEXT((Datos_balance!$B$9+Datos_balance!$B$10)/2-Datos_balance!$B$11,"0")&amp;" C"</f>
        <v/>
      </c>
      <c r="D225" s="2" t="n"/>
      <c r="E225" s="2" t="n"/>
      <c r="F225" s="9" t="n"/>
      <c r="G225" s="2" t="n"/>
      <c r="H225" s="2" t="n"/>
      <c r="I225" s="2" t="n"/>
    </row>
    <row r="226" ht="39.7" customHeight="1">
      <c r="A226" s="9" t="n"/>
      <c r="B226" s="10" t="inlineStr">
        <is>
          <t>Kcal/h del toallero Scala/Domino 80</t>
        </is>
      </c>
      <c r="C226" s="25">
        <f>ROUND(Datos_balance!$B$18*Datos_balance!$B$15,0)</f>
        <v/>
      </c>
      <c r="D226" s="2" t="n"/>
      <c r="E226" s="2" t="n"/>
      <c r="F226" s="9" t="n"/>
      <c r="G226" s="2" t="n"/>
      <c r="H226" s="2" t="n"/>
      <c r="I226" s="2" t="n"/>
    </row>
    <row r="227" ht="39.7" customHeight="1">
      <c r="A227" s="9" t="n"/>
      <c r="B227" s="10" t="inlineStr">
        <is>
          <t>Kcal/h del toallero Scala/Domino 150</t>
        </is>
      </c>
      <c r="C227" s="25">
        <f>ROUND(Datos_balance!$B$19*Datos_balance!$B$15,0)</f>
        <v/>
      </c>
      <c r="D227" s="2" t="n"/>
      <c r="E227" s="2" t="n"/>
      <c r="F227" s="9" t="n"/>
      <c r="G227" s="2" t="n"/>
      <c r="H227" s="2" t="n"/>
      <c r="I227" s="2" t="n"/>
    </row>
    <row r="228" ht="47" customHeight="1">
      <c r="A228" s="9" t="n"/>
      <c r="B228" s="10" t="inlineStr">
        <is>
          <t>Toalleros necesarios</t>
        </is>
      </c>
      <c r="C228" s="25">
        <f>IF(F223&lt;=Datos_balance!$B$18*Datos_balance!$B$15,1,ROUNDUP(F223/(Datos_balance!$B$19*Datos_balance!$B$15),0))</f>
        <v/>
      </c>
      <c r="D228" s="2" t="n"/>
      <c r="E228" s="2" t="n"/>
      <c r="F228" s="9" t="n"/>
      <c r="G228" s="2" t="n"/>
      <c r="H228" s="2" t="n"/>
      <c r="I228" s="2" t="n"/>
    </row>
    <row r="229" ht="47" customHeight="1">
      <c r="A229" s="13" t="n"/>
      <c r="B229" s="14" t="inlineStr">
        <is>
          <t>Toallero adoptado</t>
        </is>
      </c>
      <c r="C229" s="13">
        <f>IF(F223&lt;=Datos_balance!$B$18*Datos_balance!$B$15,"Peisa Scala / Domino 80  (500 x 800 mm)","Peisa Scala / Domino 150  (500 x 1500 mm)")</f>
        <v/>
      </c>
      <c r="D229" s="20" t="n"/>
      <c r="E229" s="20" t="n"/>
      <c r="F229" s="13" t="n"/>
      <c r="G229" s="2" t="n"/>
      <c r="H229" s="2" t="n"/>
      <c r="I229" s="2" t="n"/>
    </row>
    <row r="230">
      <c r="A230" s="2" t="n"/>
      <c r="B230" s="2" t="n"/>
      <c r="C230" s="2" t="n"/>
      <c r="D230" s="2" t="n"/>
      <c r="E230" s="2" t="n"/>
      <c r="F230" s="2" t="n"/>
      <c r="G230" s="2" t="n"/>
      <c r="H230" s="2" t="n"/>
      <c r="I230" s="2" t="n"/>
    </row>
    <row r="231">
      <c r="A231" s="2" t="n"/>
      <c r="B231" s="2" t="n"/>
      <c r="C231" s="2" t="n"/>
      <c r="D231" s="2" t="n"/>
      <c r="E231" s="2" t="n"/>
      <c r="F231" s="2" t="n"/>
      <c r="G231" s="2" t="n"/>
      <c r="H231" s="2" t="n"/>
      <c r="I231" s="2" t="n"/>
    </row>
    <row r="232" ht="39.7" customHeight="1">
      <c r="A232" s="5" t="inlineStr">
        <is>
          <t>LOCAL  11 - Bano visitas   (PB)   -   altura 2.80 m</t>
        </is>
      </c>
      <c r="B232" s="2" t="n"/>
      <c r="C232" s="2" t="n"/>
      <c r="D232" s="2" t="n"/>
      <c r="E232" s="2" t="n"/>
      <c r="F232" s="2" t="n"/>
      <c r="G232" s="2" t="n"/>
      <c r="H232" s="2" t="n"/>
      <c r="I232" s="2" t="n"/>
    </row>
    <row r="233" ht="39.7" customHeight="1">
      <c r="A233" s="3" t="inlineStr">
        <is>
          <t>Nro</t>
        </is>
      </c>
      <c r="B233" s="3" t="inlineStr">
        <is>
          <t>DESCRIPCION</t>
        </is>
      </c>
      <c r="C233" s="3" t="inlineStr">
        <is>
          <t>DIMENSIONES (m)</t>
        </is>
      </c>
      <c r="D233" s="3" t="inlineStr">
        <is>
          <t>AREA (m2)</t>
        </is>
      </c>
      <c r="E233" s="3" t="inlineStr">
        <is>
          <t>FACTOR</t>
        </is>
      </c>
      <c r="F233" s="3" t="inlineStr">
        <is>
          <t>PERDIDA CALOR (Kcal/h)</t>
        </is>
      </c>
      <c r="G233" s="2" t="n"/>
      <c r="H233" s="2" t="n"/>
      <c r="I233" s="2" t="n"/>
    </row>
    <row r="234" ht="39.7" customHeight="1">
      <c r="A234" s="16" t="inlineStr">
        <is>
          <t>1</t>
        </is>
      </c>
      <c r="B234" s="33" t="inlineStr">
        <is>
          <t>VENTANA</t>
        </is>
      </c>
      <c r="C234" s="9" t="n"/>
      <c r="D234" s="9" t="n"/>
      <c r="E234" s="9" t="n"/>
      <c r="F234" s="9" t="n"/>
      <c r="G234" s="2" t="n"/>
      <c r="H234" s="2" t="n"/>
      <c r="I234" s="2" t="n"/>
    </row>
    <row r="235" ht="62" customHeight="1">
      <c r="A235" s="9" t="n"/>
      <c r="B235" s="34" t="inlineStr">
        <is>
          <t>(sin aberturas)</t>
        </is>
      </c>
      <c r="C235" s="9">
        <f>IF(COUNT(H235,I235)&lt;2,"",TEXT(H235,"0.00")&amp;" x "&amp;TEXT(I235,"0.00"))</f>
        <v/>
      </c>
      <c r="D235" s="8">
        <f>IF(COUNT(H235,I235)&lt;2,"",ROUND(H235*I235,2))</f>
        <v/>
      </c>
      <c r="E235" s="25" t="n">
        <v>60</v>
      </c>
      <c r="F235" s="28">
        <f>IF(D235="","",ROUND(D235*E235,1))</f>
        <v/>
      </c>
      <c r="G235" s="2" t="n"/>
      <c r="H235" s="35" t="n"/>
      <c r="I235" s="35" t="n"/>
    </row>
    <row r="236" ht="39.7" customHeight="1">
      <c r="A236" s="16" t="inlineStr">
        <is>
          <t>2</t>
        </is>
      </c>
      <c r="B236" s="33" t="inlineStr">
        <is>
          <t>PAREDES EXTERIORES</t>
        </is>
      </c>
      <c r="C236" s="9" t="n"/>
      <c r="D236" s="9" t="n"/>
      <c r="E236" s="9" t="n"/>
      <c r="F236" s="9" t="n"/>
      <c r="G236" s="2" t="n"/>
      <c r="H236" s="2" t="n"/>
      <c r="I236" s="2" t="n"/>
    </row>
    <row r="237" ht="62" customHeight="1">
      <c r="A237" s="9" t="n"/>
      <c r="B237" s="34" t="inlineStr">
        <is>
          <t>AISLADAS ()</t>
        </is>
      </c>
      <c r="C237" s="9">
        <f>IF(COUNT(H237,I237)&lt;2,"",TEXT(H237,"0.00")&amp;" x "&amp;TEXT(I237,"0.00"))</f>
        <v/>
      </c>
      <c r="D237" s="8">
        <f>IF(COUNT(H237,I237)&lt;2,"",ROUND(H237*I237,2))</f>
        <v/>
      </c>
      <c r="E237" s="25" t="n">
        <v>20</v>
      </c>
      <c r="F237" s="28">
        <f>IF(D237="","",ROUND(D237*E237,1))</f>
        <v/>
      </c>
      <c r="G237" s="2" t="n"/>
      <c r="H237" s="35" t="n">
        <v>1.3</v>
      </c>
      <c r="I237" s="35" t="n">
        <v>2.8</v>
      </c>
    </row>
    <row r="238" ht="62" customHeight="1">
      <c r="A238" s="9" t="n"/>
      <c r="B238" s="34" t="inlineStr">
        <is>
          <t>AISLADAS (    )</t>
        </is>
      </c>
      <c r="C238" s="9">
        <f>IF(COUNT(H238,I238)&lt;2,"",TEXT(H238,"0.00")&amp;" x "&amp;TEXT(I238,"0.00"))</f>
        <v/>
      </c>
      <c r="D238" s="8">
        <f>IF(COUNT(H238,I238)&lt;2,"",ROUND(H238*I238,2))</f>
        <v/>
      </c>
      <c r="E238" s="25" t="n">
        <v>20</v>
      </c>
      <c r="F238" s="28">
        <f>IF(D238="","",ROUND(D238*E238,1))</f>
        <v/>
      </c>
      <c r="G238" s="2" t="n"/>
      <c r="H238" s="35" t="n"/>
      <c r="I238" s="35" t="n"/>
    </row>
    <row r="239" ht="62" customHeight="1">
      <c r="A239" s="9" t="n"/>
      <c r="B239" s="34" t="inlineStr">
        <is>
          <t>INTERIORES (    )</t>
        </is>
      </c>
      <c r="C239" s="9">
        <f>IF(COUNT(H239,I239)&lt;2,"",TEXT(H239,"0.00")&amp;" x "&amp;TEXT(I239,"0.00"))</f>
        <v/>
      </c>
      <c r="D239" s="8">
        <f>IF(COUNT(H239,I239)&lt;2,"",ROUND(H239*I239,2))</f>
        <v/>
      </c>
      <c r="E239" s="25" t="n">
        <v>25</v>
      </c>
      <c r="F239" s="28">
        <f>IF(D239="","",ROUND(D239*E239,1))</f>
        <v/>
      </c>
      <c r="G239" s="2" t="n"/>
      <c r="H239" s="35" t="n">
        <v>2.4</v>
      </c>
      <c r="I239" s="35" t="n">
        <v>2.8</v>
      </c>
    </row>
    <row r="240" ht="62" customHeight="1">
      <c r="A240" s="9" t="n"/>
      <c r="B240" s="34" t="inlineStr">
        <is>
          <t>INTERIORES (    )</t>
        </is>
      </c>
      <c r="C240" s="9">
        <f>IF(COUNT(H240,I240)&lt;2,"",TEXT(H240,"0.00")&amp;" x "&amp;TEXT(I240,"0.00"))</f>
        <v/>
      </c>
      <c r="D240" s="8">
        <f>IF(COUNT(H240,I240)&lt;2,"",ROUND(H240*I240,2))</f>
        <v/>
      </c>
      <c r="E240" s="25" t="n">
        <v>25</v>
      </c>
      <c r="F240" s="28">
        <f>IF(D240="","",ROUND(D240*E240,1))</f>
        <v/>
      </c>
      <c r="G240" s="2" t="n"/>
      <c r="H240" s="35" t="n">
        <v>2.4</v>
      </c>
      <c r="I240" s="35" t="n">
        <v>2.8</v>
      </c>
    </row>
    <row r="241" ht="62" customHeight="1">
      <c r="A241" s="9" t="n"/>
      <c r="B241" s="34" t="inlineStr">
        <is>
          <t>INTERIORES (    )</t>
        </is>
      </c>
      <c r="C241" s="9">
        <f>IF(COUNT(H241,I241)&lt;2,"",TEXT(H241,"0.00")&amp;" x "&amp;TEXT(I241,"0.00"))</f>
        <v/>
      </c>
      <c r="D241" s="8">
        <f>IF(COUNT(H241,I241)&lt;2,"",ROUND(H241*I241,2))</f>
        <v/>
      </c>
      <c r="E241" s="25" t="n">
        <v>25</v>
      </c>
      <c r="F241" s="28">
        <f>IF(D241="","",ROUND(D241*E241,1))</f>
        <v/>
      </c>
      <c r="G241" s="2" t="n"/>
      <c r="H241" s="35" t="n">
        <v>1.3</v>
      </c>
      <c r="I241" s="35" t="n">
        <v>2.8</v>
      </c>
    </row>
    <row r="242" ht="39.7" customHeight="1">
      <c r="A242" s="16" t="inlineStr">
        <is>
          <t>3</t>
        </is>
      </c>
      <c r="B242" s="33" t="inlineStr">
        <is>
          <t>TECHOS O CIELORRASOS</t>
        </is>
      </c>
      <c r="C242" s="9" t="n"/>
      <c r="D242" s="9" t="n"/>
      <c r="E242" s="9" t="n"/>
      <c r="F242" s="9" t="n"/>
      <c r="G242" s="2" t="n"/>
      <c r="H242" s="2" t="n"/>
      <c r="I242" s="2" t="n"/>
    </row>
    <row r="243" ht="62" customHeight="1">
      <c r="A243" s="9" t="n"/>
      <c r="B243" s="34" t="inlineStr">
        <is>
          <t>TECHO NO AISLADO</t>
        </is>
      </c>
      <c r="C243" s="9" t="inlineStr"/>
      <c r="D243" s="8">
        <f>IF(COUNT(H243,I243)&lt;2,"",ROUND(H243*I243,2))</f>
        <v/>
      </c>
      <c r="E243" s="25" t="n">
        <v>30</v>
      </c>
      <c r="F243" s="28">
        <f>IF(D243="","",ROUND(D243*E243,1))</f>
        <v/>
      </c>
      <c r="G243" s="2" t="n"/>
      <c r="H243" s="35" t="n"/>
      <c r="I243" s="35" t="n"/>
    </row>
    <row r="244" ht="62" customHeight="1">
      <c r="A244" s="9" t="n"/>
      <c r="B244" s="34" t="inlineStr">
        <is>
          <t>TECHO AISLADO</t>
        </is>
      </c>
      <c r="C244" s="9" t="inlineStr"/>
      <c r="D244" s="8">
        <f>IF(COUNT(H244,I244)&lt;2,"",ROUND(H244*I244,2))</f>
        <v/>
      </c>
      <c r="E244" s="25" t="n">
        <v>20</v>
      </c>
      <c r="F244" s="28">
        <f>IF(D244="","",ROUND(D244*E244,1))</f>
        <v/>
      </c>
      <c r="G244" s="2" t="n"/>
      <c r="H244" s="35" t="n"/>
      <c r="I244" s="35" t="n"/>
    </row>
    <row r="245" ht="39.7" customHeight="1">
      <c r="A245" s="9" t="n"/>
      <c r="B245" s="34" t="inlineStr">
        <is>
          <t>TECHO ENTREPISO</t>
        </is>
      </c>
      <c r="C245" s="9" t="inlineStr">
        <is>
          <t>por croquis</t>
        </is>
      </c>
      <c r="D245" s="8" t="n">
        <v>3.12</v>
      </c>
      <c r="E245" s="25" t="n">
        <v>15</v>
      </c>
      <c r="F245" s="28">
        <f>IF(D245="","",ROUND(D245*E245,1))</f>
        <v/>
      </c>
      <c r="G245" s="2" t="n"/>
      <c r="H245" s="35" t="n"/>
      <c r="I245" s="35" t="n"/>
    </row>
    <row r="246" ht="39.7" customHeight="1">
      <c r="A246" s="16" t="inlineStr">
        <is>
          <t>4</t>
        </is>
      </c>
      <c r="B246" s="33" t="inlineStr">
        <is>
          <t>PISO</t>
        </is>
      </c>
      <c r="C246" s="9" t="n"/>
      <c r="D246" s="9" t="n"/>
      <c r="E246" s="9" t="n"/>
      <c r="F246" s="9" t="n"/>
      <c r="G246" s="2" t="n"/>
      <c r="H246" s="2" t="n"/>
      <c r="I246" s="2" t="n"/>
    </row>
    <row r="247" ht="39.7" customHeight="1">
      <c r="A247" s="9" t="n"/>
      <c r="B247" s="34" t="inlineStr">
        <is>
          <t>SOBRE TIERRA</t>
        </is>
      </c>
      <c r="C247" s="9" t="inlineStr">
        <is>
          <t>por croquis</t>
        </is>
      </c>
      <c r="D247" s="8" t="n">
        <v>3.12</v>
      </c>
      <c r="E247" s="25" t="n">
        <v>10</v>
      </c>
      <c r="F247" s="28">
        <f>IF(D247="","",ROUND(D247*E247,1))</f>
        <v/>
      </c>
      <c r="G247" s="2" t="n"/>
      <c r="H247" s="35" t="n"/>
      <c r="I247" s="35" t="n"/>
    </row>
    <row r="248" ht="62" customHeight="1">
      <c r="A248" s="9" t="n"/>
      <c r="B248" s="34" t="inlineStr">
        <is>
          <t>SOBRE LOCAL OCUPADO</t>
        </is>
      </c>
      <c r="C248" s="9" t="inlineStr"/>
      <c r="D248" s="8">
        <f>IF(COUNT(H248,I248)&lt;2,"",ROUND(H248*I248,2))</f>
        <v/>
      </c>
      <c r="E248" s="25" t="n">
        <v>15</v>
      </c>
      <c r="F248" s="28">
        <f>IF(D248="","",ROUND(D248*E248,1))</f>
        <v/>
      </c>
      <c r="G248" s="2" t="n"/>
      <c r="H248" s="35" t="n"/>
      <c r="I248" s="35" t="n"/>
    </row>
    <row r="249" ht="39.7" customHeight="1">
      <c r="A249" s="16" t="inlineStr">
        <is>
          <t>5</t>
        </is>
      </c>
      <c r="B249" s="33" t="inlineStr">
        <is>
          <t>INFILTRACION</t>
        </is>
      </c>
      <c r="C249" s="9" t="n"/>
      <c r="D249" s="16" t="inlineStr">
        <is>
          <t>VOLUMEN (m3)</t>
        </is>
      </c>
      <c r="E249" s="9" t="n"/>
      <c r="F249" s="9" t="n"/>
      <c r="G249" s="2" t="n"/>
      <c r="H249" s="2" t="n"/>
      <c r="I249" s="2" t="n"/>
    </row>
    <row r="250" ht="39.7" customHeight="1">
      <c r="A250" s="9" t="n"/>
      <c r="B250" s="34" t="inlineStr">
        <is>
          <t>UNA PARED EXTERIOR</t>
        </is>
      </c>
      <c r="C250" s="9" t="inlineStr">
        <is>
          <t>3.12 m2 x 2.80</t>
        </is>
      </c>
      <c r="D250" s="8" t="n">
        <v>8.74</v>
      </c>
      <c r="E250" s="25" t="n">
        <v>6</v>
      </c>
      <c r="F250" s="28">
        <f>IF(D250="","",ROUND(D250*E250,1))</f>
        <v/>
      </c>
      <c r="G250" s="2" t="n"/>
      <c r="H250" s="35" t="n"/>
      <c r="I250" s="35" t="n"/>
    </row>
    <row r="251" ht="62" customHeight="1">
      <c r="A251" s="9" t="n"/>
      <c r="B251" s="34" t="inlineStr">
        <is>
          <t>DOS PAREDES EXTERIORES</t>
        </is>
      </c>
      <c r="C251" s="9" t="inlineStr"/>
      <c r="D251" s="8">
        <f>IF(COUNT(H251,I251)&lt;2,"",ROUND(H251*I251,2))</f>
        <v/>
      </c>
      <c r="E251" s="25" t="n">
        <v>9</v>
      </c>
      <c r="F251" s="28">
        <f>IF(D251="","",ROUND(D251*E251,1))</f>
        <v/>
      </c>
      <c r="G251" s="2" t="n"/>
      <c r="H251" s="35" t="n"/>
      <c r="I251" s="35" t="n"/>
    </row>
    <row r="252" ht="62" customHeight="1">
      <c r="A252" s="9" t="n"/>
      <c r="B252" s="34" t="inlineStr">
        <is>
          <t>TRES O MAS PAREDES EXTERIORES</t>
        </is>
      </c>
      <c r="C252" s="9" t="inlineStr"/>
      <c r="D252" s="8">
        <f>IF(COUNT(H252,I252)&lt;2,"",ROUND(H252*I252,2))</f>
        <v/>
      </c>
      <c r="E252" s="25" t="n">
        <v>12</v>
      </c>
      <c r="F252" s="28">
        <f>IF(D252="","",ROUND(D252*E252,1))</f>
        <v/>
      </c>
      <c r="G252" s="2" t="n"/>
      <c r="H252" s="35" t="n"/>
      <c r="I252" s="35" t="n"/>
    </row>
    <row r="253" ht="70" customHeight="1">
      <c r="A253" s="16" t="inlineStr">
        <is>
          <t>6</t>
        </is>
      </c>
      <c r="B253" s="33" t="inlineStr">
        <is>
          <t>SUBTOTAL</t>
        </is>
      </c>
      <c r="C253" s="9" t="n"/>
      <c r="D253" s="9" t="n"/>
      <c r="E253" s="9" t="n"/>
      <c r="F253" s="36">
        <f>IF(F235="",0,F235)+IF(F237="",0,F237)+IF(F238="",0,F238)+IF(F239="",0,F239)+IF(F240="",0,F240)+IF(F241="",0,F241)+IF(F243="",0,F243)+IF(F244="",0,F244)+IF(F245="",0,F245)+IF(F247="",0,F247)+IF(F248="",0,F248)+IF(F250="",0,F250)+IF(F251="",0,F251)+IF(F252="",0,F252)</f>
        <v/>
      </c>
      <c r="G253" s="2" t="n"/>
      <c r="H253" s="2" t="n"/>
      <c r="I253" s="2" t="n"/>
    </row>
    <row r="254" ht="47" customHeight="1">
      <c r="A254" s="16" t="inlineStr">
        <is>
          <t>7</t>
        </is>
      </c>
      <c r="B254" s="33" t="inlineStr">
        <is>
          <t>PERDIDA TOTAL</t>
        </is>
      </c>
      <c r="C254" s="9">
        <f>TEXT(F253,"0.00")&amp;"  X  "&amp;Datos_balance!$B$4&amp;" (FI)  X  "&amp;Datos_balance!$B$5&amp;" (FO)  X  "&amp;Datos_balance!$B$6&amp;" (FZ)"</f>
        <v/>
      </c>
      <c r="D254" s="2" t="n"/>
      <c r="E254" s="2" t="n"/>
      <c r="F254" s="36">
        <f>ROUND(F253*Datos_balance!$B$4*Datos_balance!$B$5*Datos_balance!$B$6,1)</f>
        <v/>
      </c>
      <c r="G254" s="2" t="n"/>
      <c r="H254" s="2" t="n"/>
      <c r="I254" s="2" t="n"/>
    </row>
    <row r="255" ht="39.7" customHeight="1">
      <c r="A255" s="9" t="n"/>
      <c r="B255" s="10" t="inlineStr">
        <is>
          <t>Carga de locales sin emisor</t>
        </is>
      </c>
      <c r="C255" s="9" t="n"/>
      <c r="D255" s="2" t="n"/>
      <c r="E255" s="2" t="n"/>
      <c r="F255" s="28" t="n"/>
      <c r="G255" s="2" t="n"/>
      <c r="H255" s="2" t="n"/>
      <c r="I255" s="2" t="n"/>
    </row>
    <row r="256" ht="39.7" customHeight="1">
      <c r="A256" s="9" t="n"/>
      <c r="B256" s="33" t="inlineStr">
        <is>
          <t>CARGA TOTAL A CUBRIR</t>
        </is>
      </c>
      <c r="C256" s="9" t="n"/>
      <c r="D256" s="2" t="n"/>
      <c r="E256" s="2" t="n"/>
      <c r="F256" s="36">
        <f>F254+IF(F255="",0,F255)</f>
        <v/>
      </c>
      <c r="G256" s="2" t="n"/>
      <c r="H256" s="2" t="n"/>
      <c r="I256" s="2" t="n"/>
    </row>
    <row r="257">
      <c r="A257" s="2" t="n"/>
      <c r="B257" s="2" t="n"/>
      <c r="C257" s="2" t="n"/>
      <c r="D257" s="2" t="n"/>
      <c r="E257" s="2" t="n"/>
      <c r="F257" s="2" t="n"/>
      <c r="G257" s="2" t="n"/>
      <c r="H257" s="2" t="n"/>
      <c r="I257" s="2" t="n"/>
    </row>
    <row r="258" ht="62" customHeight="1">
      <c r="A258" s="9" t="n"/>
      <c r="B258" s="10" t="inlineStr">
        <is>
          <t>Salto termico:  dt = (te+ts)/2 - ti</t>
        </is>
      </c>
      <c r="C258" s="9">
        <f>TEXT((Datos_balance!$B$9+Datos_balance!$B$10)/2,"0")&amp;" - "&amp;TEXT(Datos_balance!$B$11,"0")&amp;" = "&amp;TEXT((Datos_balance!$B$9+Datos_balance!$B$10)/2-Datos_balance!$B$11,"0")&amp;" C"</f>
        <v/>
      </c>
      <c r="D258" s="2" t="n"/>
      <c r="E258" s="2" t="n"/>
      <c r="F258" s="9" t="n"/>
      <c r="G258" s="2" t="n"/>
      <c r="H258" s="2" t="n"/>
      <c r="I258" s="2" t="n"/>
    </row>
    <row r="259" ht="39.7" customHeight="1">
      <c r="A259" s="9" t="n"/>
      <c r="B259" s="10" t="inlineStr">
        <is>
          <t>Kcal/h del toallero Scala/Domino 80</t>
        </is>
      </c>
      <c r="C259" s="25">
        <f>ROUND(Datos_balance!$B$18*Datos_balance!$B$15,0)</f>
        <v/>
      </c>
      <c r="D259" s="2" t="n"/>
      <c r="E259" s="2" t="n"/>
      <c r="F259" s="9" t="n"/>
      <c r="G259" s="2" t="n"/>
      <c r="H259" s="2" t="n"/>
      <c r="I259" s="2" t="n"/>
    </row>
    <row r="260" ht="39.7" customHeight="1">
      <c r="A260" s="9" t="n"/>
      <c r="B260" s="10" t="inlineStr">
        <is>
          <t>Kcal/h del toallero Scala/Domino 150</t>
        </is>
      </c>
      <c r="C260" s="25">
        <f>ROUND(Datos_balance!$B$19*Datos_balance!$B$15,0)</f>
        <v/>
      </c>
      <c r="D260" s="2" t="n"/>
      <c r="E260" s="2" t="n"/>
      <c r="F260" s="9" t="n"/>
      <c r="G260" s="2" t="n"/>
      <c r="H260" s="2" t="n"/>
      <c r="I260" s="2" t="n"/>
    </row>
    <row r="261" ht="47" customHeight="1">
      <c r="A261" s="9" t="n"/>
      <c r="B261" s="10" t="inlineStr">
        <is>
          <t>Toalleros necesarios</t>
        </is>
      </c>
      <c r="C261" s="25">
        <f>IF(F256&lt;=Datos_balance!$B$18*Datos_balance!$B$15,1,ROUNDUP(F256/(Datos_balance!$B$19*Datos_balance!$B$15),0))</f>
        <v/>
      </c>
      <c r="D261" s="2" t="n"/>
      <c r="E261" s="2" t="n"/>
      <c r="F261" s="9" t="n"/>
      <c r="G261" s="2" t="n"/>
      <c r="H261" s="2" t="n"/>
      <c r="I261" s="2" t="n"/>
    </row>
    <row r="262" ht="47" customHeight="1">
      <c r="A262" s="13" t="n"/>
      <c r="B262" s="14" t="inlineStr">
        <is>
          <t>Toallero adoptado</t>
        </is>
      </c>
      <c r="C262" s="13">
        <f>IF(F256&lt;=Datos_balance!$B$18*Datos_balance!$B$15,"Peisa Scala / Domino 80  (500 x 800 mm)","Peisa Scala / Domino 150  (500 x 1500 mm)")</f>
        <v/>
      </c>
      <c r="D262" s="20" t="n"/>
      <c r="E262" s="20" t="n"/>
      <c r="F262" s="13" t="n"/>
      <c r="G262" s="2" t="n"/>
      <c r="H262" s="2" t="n"/>
      <c r="I262" s="2" t="n"/>
    </row>
    <row r="263">
      <c r="A263" s="2" t="n"/>
      <c r="B263" s="2" t="n"/>
      <c r="C263" s="2" t="n"/>
      <c r="D263" s="2" t="n"/>
      <c r="E263" s="2" t="n"/>
      <c r="F263" s="2" t="n"/>
      <c r="G263" s="2" t="n"/>
      <c r="H263" s="2" t="n"/>
      <c r="I263" s="2" t="n"/>
    </row>
    <row r="264">
      <c r="A264" s="2" t="n"/>
      <c r="B264" s="2" t="n"/>
      <c r="C264" s="2" t="n"/>
      <c r="D264" s="2" t="n"/>
      <c r="E264" s="2" t="n"/>
      <c r="F264" s="2" t="n"/>
      <c r="G264" s="2" t="n"/>
      <c r="H264" s="2" t="n"/>
      <c r="I264" s="2" t="n"/>
    </row>
    <row r="265" ht="39.7" customHeight="1">
      <c r="A265" s="5" t="inlineStr">
        <is>
          <t>LOCAL  13 - Dormitorio Norte   (PA)   -   altura 2.80 m</t>
        </is>
      </c>
      <c r="B265" s="2" t="n"/>
      <c r="C265" s="2" t="n"/>
      <c r="D265" s="2" t="n"/>
      <c r="E265" s="2" t="n"/>
      <c r="F265" s="2" t="n"/>
      <c r="G265" s="2" t="n"/>
      <c r="H265" s="2" t="n"/>
      <c r="I265" s="2" t="n"/>
    </row>
    <row r="266" ht="39.7" customHeight="1">
      <c r="A266" s="3" t="inlineStr">
        <is>
          <t>Nro</t>
        </is>
      </c>
      <c r="B266" s="3" t="inlineStr">
        <is>
          <t>DESCRIPCION</t>
        </is>
      </c>
      <c r="C266" s="3" t="inlineStr">
        <is>
          <t>DIMENSIONES (m)</t>
        </is>
      </c>
      <c r="D266" s="3" t="inlineStr">
        <is>
          <t>AREA (m2)</t>
        </is>
      </c>
      <c r="E266" s="3" t="inlineStr">
        <is>
          <t>FACTOR</t>
        </is>
      </c>
      <c r="F266" s="3" t="inlineStr">
        <is>
          <t>PERDIDA CALOR (Kcal/h)</t>
        </is>
      </c>
      <c r="G266" s="2" t="n"/>
      <c r="H266" s="2" t="n"/>
      <c r="I266" s="2" t="n"/>
    </row>
    <row r="267" ht="39.7" customHeight="1">
      <c r="A267" s="16" t="inlineStr">
        <is>
          <t>1</t>
        </is>
      </c>
      <c r="B267" s="33" t="inlineStr">
        <is>
          <t>VENTANA</t>
        </is>
      </c>
      <c r="C267" s="9" t="n"/>
      <c r="D267" s="9" t="n"/>
      <c r="E267" s="9" t="n"/>
      <c r="F267" s="9" t="n"/>
      <c r="G267" s="2" t="n"/>
      <c r="H267" s="2" t="n"/>
      <c r="I267" s="2" t="n"/>
    </row>
    <row r="268" ht="62" customHeight="1">
      <c r="A268" s="9" t="n"/>
      <c r="B268" s="34" t="inlineStr">
        <is>
          <t>VA04</t>
        </is>
      </c>
      <c r="C268" s="9">
        <f>IF(COUNT(H268,I268)&lt;2,"",TEXT(H268,"0.00")&amp;" x "&amp;TEXT(I268,"0.00"))</f>
        <v/>
      </c>
      <c r="D268" s="8">
        <f>IF(COUNT(H268,I268)&lt;2,"",ROUND(H268*I268,2))</f>
        <v/>
      </c>
      <c r="E268" s="25" t="n">
        <v>60</v>
      </c>
      <c r="F268" s="28">
        <f>IF(D268="","",ROUND(D268*E268,1))</f>
        <v/>
      </c>
      <c r="G268" s="2" t="n"/>
      <c r="H268" s="35" t="n">
        <v>2</v>
      </c>
      <c r="I268" s="35" t="n">
        <v>2.52</v>
      </c>
    </row>
    <row r="269" ht="62" customHeight="1">
      <c r="A269" s="9" t="n"/>
      <c r="B269" s="34" t="inlineStr">
        <is>
          <t>VA05</t>
        </is>
      </c>
      <c r="C269" s="9">
        <f>IF(COUNT(H269,I269)&lt;2,"",TEXT(H269,"0.00")&amp;" x "&amp;TEXT(I269,"0.00"))</f>
        <v/>
      </c>
      <c r="D269" s="8">
        <f>IF(COUNT(H269,I269)&lt;2,"",ROUND(H269*I269,2))</f>
        <v/>
      </c>
      <c r="E269" s="25" t="n">
        <v>60</v>
      </c>
      <c r="F269" s="28">
        <f>IF(D269="","",ROUND(D269*E269,1))</f>
        <v/>
      </c>
      <c r="G269" s="2" t="n"/>
      <c r="H269" s="35" t="n">
        <v>1.4</v>
      </c>
      <c r="I269" s="35" t="n">
        <v>2.52</v>
      </c>
    </row>
    <row r="270" ht="39.7" customHeight="1">
      <c r="A270" s="16" t="inlineStr">
        <is>
          <t>2</t>
        </is>
      </c>
      <c r="B270" s="33" t="inlineStr">
        <is>
          <t>PAREDES EXTERIORES</t>
        </is>
      </c>
      <c r="C270" s="9" t="n"/>
      <c r="D270" s="9" t="n"/>
      <c r="E270" s="9" t="n"/>
      <c r="F270" s="9" t="n"/>
      <c r="G270" s="2" t="n"/>
      <c r="H270" s="2" t="n"/>
      <c r="I270" s="2" t="n"/>
    </row>
    <row r="271" ht="62" customHeight="1">
      <c r="A271" s="9" t="n"/>
      <c r="B271" s="34" t="inlineStr">
        <is>
          <t>AISLADAS ()</t>
        </is>
      </c>
      <c r="C271" s="9">
        <f>IF(COUNT(H271,I271)&lt;2,"",TEXT(H271,"0.00")&amp;" x "&amp;TEXT(I271,"0.00"))</f>
        <v/>
      </c>
      <c r="D271" s="8">
        <f>IF(COUNT(H271,I271)&lt;2,"",ROUND(H271*I271,2))</f>
        <v/>
      </c>
      <c r="E271" s="25" t="n">
        <v>20</v>
      </c>
      <c r="F271" s="28">
        <f>IF(D271="","",ROUND(D271*E271,1))</f>
        <v/>
      </c>
      <c r="G271" s="2" t="n"/>
      <c r="H271" s="35" t="n">
        <v>4.25</v>
      </c>
      <c r="I271" s="35" t="n">
        <v>2.8</v>
      </c>
    </row>
    <row r="272" ht="62" customHeight="1">
      <c r="A272" s="9" t="n"/>
      <c r="B272" s="34" t="inlineStr">
        <is>
          <t>AISLADAS ()</t>
        </is>
      </c>
      <c r="C272" s="9">
        <f>IF(COUNT(H272,I272)&lt;2,"",TEXT(H272,"0.00")&amp;" x "&amp;TEXT(I272,"0.00"))</f>
        <v/>
      </c>
      <c r="D272" s="8">
        <f>IF(COUNT(H272,I272)&lt;2,"",ROUND(H272*I272,2))</f>
        <v/>
      </c>
      <c r="E272" s="25" t="n">
        <v>20</v>
      </c>
      <c r="F272" s="28">
        <f>IF(D272="","",ROUND(D272*E272,1))</f>
        <v/>
      </c>
      <c r="G272" s="2" t="n"/>
      <c r="H272" s="35" t="n">
        <v>4</v>
      </c>
      <c r="I272" s="35" t="n">
        <v>2.8</v>
      </c>
    </row>
    <row r="273" ht="62" customHeight="1">
      <c r="A273" s="9" t="n"/>
      <c r="B273" s="34" t="inlineStr">
        <is>
          <t>AISLADAS ()</t>
        </is>
      </c>
      <c r="C273" s="9">
        <f>IF(COUNT(H273,I273)&lt;2,"",TEXT(H273,"0.00")&amp;" x "&amp;TEXT(I273,"0.00"))</f>
        <v/>
      </c>
      <c r="D273" s="8">
        <f>IF(COUNT(H273,I273)&lt;2,"",ROUND(H273*I273,2))</f>
        <v/>
      </c>
      <c r="E273" s="25" t="n">
        <v>20</v>
      </c>
      <c r="F273" s="28">
        <f>IF(D273="","",ROUND(D273*E273,1))</f>
        <v/>
      </c>
      <c r="G273" s="2" t="n"/>
      <c r="H273" s="35" t="n">
        <v>4.25</v>
      </c>
      <c r="I273" s="35" t="n">
        <v>2.8</v>
      </c>
    </row>
    <row r="274" ht="62" customHeight="1">
      <c r="A274" s="9" t="n"/>
      <c r="B274" s="34" t="inlineStr">
        <is>
          <t>INTERIORES (    )</t>
        </is>
      </c>
      <c r="C274" s="9">
        <f>IF(COUNT(H274,I274)&lt;2,"",TEXT(H274,"0.00")&amp;" x "&amp;TEXT(I274,"0.00"))</f>
        <v/>
      </c>
      <c r="D274" s="8">
        <f>IF(COUNT(H274,I274)&lt;2,"",ROUND(H274*I274,2))</f>
        <v/>
      </c>
      <c r="E274" s="25" t="n">
        <v>25</v>
      </c>
      <c r="F274" s="28">
        <f>IF(D274="","",ROUND(D274*E274,1))</f>
        <v/>
      </c>
      <c r="G274" s="2" t="n"/>
      <c r="H274" s="35" t="n">
        <v>4</v>
      </c>
      <c r="I274" s="35" t="n">
        <v>2.8</v>
      </c>
    </row>
    <row r="275" ht="62" customHeight="1">
      <c r="A275" s="9" t="n"/>
      <c r="B275" s="34" t="inlineStr">
        <is>
          <t>INTERIORES (    )</t>
        </is>
      </c>
      <c r="C275" s="9">
        <f>IF(COUNT(H275,I275)&lt;2,"",TEXT(H275,"0.00")&amp;" x "&amp;TEXT(I275,"0.00"))</f>
        <v/>
      </c>
      <c r="D275" s="8">
        <f>IF(COUNT(H275,I275)&lt;2,"",ROUND(H275*I275,2))</f>
        <v/>
      </c>
      <c r="E275" s="25" t="n">
        <v>25</v>
      </c>
      <c r="F275" s="28">
        <f>IF(D275="","",ROUND(D275*E275,1))</f>
        <v/>
      </c>
      <c r="G275" s="2" t="n"/>
      <c r="H275" s="35" t="n"/>
      <c r="I275" s="35" t="n"/>
    </row>
    <row r="276" ht="39.7" customHeight="1">
      <c r="A276" s="16" t="inlineStr">
        <is>
          <t>3</t>
        </is>
      </c>
      <c r="B276" s="33" t="inlineStr">
        <is>
          <t>TECHOS O CIELORRASOS</t>
        </is>
      </c>
      <c r="C276" s="9" t="n"/>
      <c r="D276" s="9" t="n"/>
      <c r="E276" s="9" t="n"/>
      <c r="F276" s="9" t="n"/>
      <c r="G276" s="2" t="n"/>
      <c r="H276" s="2" t="n"/>
      <c r="I276" s="2" t="n"/>
    </row>
    <row r="277" ht="62" customHeight="1">
      <c r="A277" s="9" t="n"/>
      <c r="B277" s="34" t="inlineStr">
        <is>
          <t>TECHO NO AISLADO</t>
        </is>
      </c>
      <c r="C277" s="9" t="inlineStr"/>
      <c r="D277" s="8">
        <f>IF(COUNT(H277,I277)&lt;2,"",ROUND(H277*I277,2))</f>
        <v/>
      </c>
      <c r="E277" s="25" t="n">
        <v>30</v>
      </c>
      <c r="F277" s="28">
        <f>IF(D277="","",ROUND(D277*E277,1))</f>
        <v/>
      </c>
      <c r="G277" s="2" t="n"/>
      <c r="H277" s="35" t="n"/>
      <c r="I277" s="35" t="n"/>
    </row>
    <row r="278" ht="39.7" customHeight="1">
      <c r="A278" s="9" t="n"/>
      <c r="B278" s="34" t="inlineStr">
        <is>
          <t>TECHO AISLADO</t>
        </is>
      </c>
      <c r="C278" s="9" t="inlineStr">
        <is>
          <t>por croquis</t>
        </is>
      </c>
      <c r="D278" s="8" t="n">
        <v>17</v>
      </c>
      <c r="E278" s="25" t="n">
        <v>20</v>
      </c>
      <c r="F278" s="28">
        <f>IF(D278="","",ROUND(D278*E278,1))</f>
        <v/>
      </c>
      <c r="G278" s="2" t="n"/>
      <c r="H278" s="35" t="n"/>
      <c r="I278" s="35" t="n"/>
    </row>
    <row r="279" ht="62" customHeight="1">
      <c r="A279" s="9" t="n"/>
      <c r="B279" s="34" t="inlineStr">
        <is>
          <t>TECHO ENTREPISO</t>
        </is>
      </c>
      <c r="C279" s="9" t="inlineStr"/>
      <c r="D279" s="8">
        <f>IF(COUNT(H279,I279)&lt;2,"",ROUND(H279*I279,2))</f>
        <v/>
      </c>
      <c r="E279" s="25" t="n">
        <v>15</v>
      </c>
      <c r="F279" s="28">
        <f>IF(D279="","",ROUND(D279*E279,1))</f>
        <v/>
      </c>
      <c r="G279" s="2" t="n"/>
      <c r="H279" s="35" t="n"/>
      <c r="I279" s="35" t="n"/>
    </row>
    <row r="280" ht="39.7" customHeight="1">
      <c r="A280" s="16" t="inlineStr">
        <is>
          <t>4</t>
        </is>
      </c>
      <c r="B280" s="33" t="inlineStr">
        <is>
          <t>PISO</t>
        </is>
      </c>
      <c r="C280" s="9" t="n"/>
      <c r="D280" s="9" t="n"/>
      <c r="E280" s="9" t="n"/>
      <c r="F280" s="9" t="n"/>
      <c r="G280" s="2" t="n"/>
      <c r="H280" s="2" t="n"/>
      <c r="I280" s="2" t="n"/>
    </row>
    <row r="281" ht="62" customHeight="1">
      <c r="A281" s="9" t="n"/>
      <c r="B281" s="34" t="inlineStr">
        <is>
          <t>SOBRE TIERRA</t>
        </is>
      </c>
      <c r="C281" s="9" t="inlineStr"/>
      <c r="D281" s="8">
        <f>IF(COUNT(H281,I281)&lt;2,"",ROUND(H281*I281,2))</f>
        <v/>
      </c>
      <c r="E281" s="25" t="n">
        <v>10</v>
      </c>
      <c r="F281" s="28">
        <f>IF(D281="","",ROUND(D281*E281,1))</f>
        <v/>
      </c>
      <c r="G281" s="2" t="n"/>
      <c r="H281" s="35" t="n"/>
      <c r="I281" s="35" t="n"/>
    </row>
    <row r="282" ht="39.7" customHeight="1">
      <c r="A282" s="9" t="n"/>
      <c r="B282" s="34" t="inlineStr">
        <is>
          <t>SOBRE LOCAL OCUPADO</t>
        </is>
      </c>
      <c r="C282" s="9" t="inlineStr">
        <is>
          <t>por croquis</t>
        </is>
      </c>
      <c r="D282" s="8" t="n">
        <v>17</v>
      </c>
      <c r="E282" s="25" t="n">
        <v>15</v>
      </c>
      <c r="F282" s="28">
        <f>IF(D282="","",ROUND(D282*E282,1))</f>
        <v/>
      </c>
      <c r="G282" s="2" t="n"/>
      <c r="H282" s="35" t="n"/>
      <c r="I282" s="35" t="n"/>
    </row>
    <row r="283" ht="39.7" customHeight="1">
      <c r="A283" s="16" t="inlineStr">
        <is>
          <t>5</t>
        </is>
      </c>
      <c r="B283" s="33" t="inlineStr">
        <is>
          <t>INFILTRACION</t>
        </is>
      </c>
      <c r="C283" s="9" t="n"/>
      <c r="D283" s="16" t="inlineStr">
        <is>
          <t>VOLUMEN (m3)</t>
        </is>
      </c>
      <c r="E283" s="9" t="n"/>
      <c r="F283" s="9" t="n"/>
      <c r="G283" s="2" t="n"/>
      <c r="H283" s="2" t="n"/>
      <c r="I283" s="2" t="n"/>
    </row>
    <row r="284" ht="62" customHeight="1">
      <c r="A284" s="9" t="n"/>
      <c r="B284" s="34" t="inlineStr">
        <is>
          <t>UNA PARED EXTERIOR</t>
        </is>
      </c>
      <c r="C284" s="9" t="inlineStr"/>
      <c r="D284" s="8">
        <f>IF(COUNT(H284,I284)&lt;2,"",ROUND(H284*I284,2))</f>
        <v/>
      </c>
      <c r="E284" s="25" t="n">
        <v>6</v>
      </c>
      <c r="F284" s="28">
        <f>IF(D284="","",ROUND(D284*E284,1))</f>
        <v/>
      </c>
      <c r="G284" s="2" t="n"/>
      <c r="H284" s="35" t="n"/>
      <c r="I284" s="35" t="n"/>
    </row>
    <row r="285" ht="62" customHeight="1">
      <c r="A285" s="9" t="n"/>
      <c r="B285" s="34" t="inlineStr">
        <is>
          <t>DOS PAREDES EXTERIORES</t>
        </is>
      </c>
      <c r="C285" s="9" t="inlineStr"/>
      <c r="D285" s="8">
        <f>IF(COUNT(H285,I285)&lt;2,"",ROUND(H285*I285,2))</f>
        <v/>
      </c>
      <c r="E285" s="25" t="n">
        <v>9</v>
      </c>
      <c r="F285" s="28">
        <f>IF(D285="","",ROUND(D285*E285,1))</f>
        <v/>
      </c>
      <c r="G285" s="2" t="n"/>
      <c r="H285" s="35" t="n"/>
      <c r="I285" s="35" t="n"/>
    </row>
    <row r="286" ht="39.7" customHeight="1">
      <c r="A286" s="9" t="n"/>
      <c r="B286" s="34" t="inlineStr">
        <is>
          <t>TRES O MAS PAREDES EXTERIORES</t>
        </is>
      </c>
      <c r="C286" s="9" t="inlineStr">
        <is>
          <t>17.00 m2 x 2.80</t>
        </is>
      </c>
      <c r="D286" s="8" t="n">
        <v>47.6</v>
      </c>
      <c r="E286" s="25" t="n">
        <v>12</v>
      </c>
      <c r="F286" s="28">
        <f>IF(D286="","",ROUND(D286*E286,1))</f>
        <v/>
      </c>
      <c r="G286" s="2" t="n"/>
      <c r="H286" s="35" t="n"/>
      <c r="I286" s="35" t="n"/>
    </row>
    <row r="287" ht="70" customHeight="1">
      <c r="A287" s="16" t="inlineStr">
        <is>
          <t>6</t>
        </is>
      </c>
      <c r="B287" s="33" t="inlineStr">
        <is>
          <t>SUBTOTAL</t>
        </is>
      </c>
      <c r="C287" s="9" t="n"/>
      <c r="D287" s="9" t="n"/>
      <c r="E287" s="9" t="n"/>
      <c r="F287" s="36">
        <f>IF(F268="",0,F268)+IF(F269="",0,F269)+IF(F271="",0,F271)+IF(F272="",0,F272)+IF(F273="",0,F273)+IF(F274="",0,F274)+IF(F275="",0,F275)+IF(F277="",0,F277)+IF(F278="",0,F278)+IF(F279="",0,F279)+IF(F281="",0,F281)+IF(F282="",0,F282)+IF(F284="",0,F284)+IF(F285="",0,F285)+IF(F286="",0,F286)</f>
        <v/>
      </c>
      <c r="G287" s="2" t="n"/>
      <c r="H287" s="2" t="n"/>
      <c r="I287" s="2" t="n"/>
    </row>
    <row r="288" ht="47" customHeight="1">
      <c r="A288" s="16" t="inlineStr">
        <is>
          <t>7</t>
        </is>
      </c>
      <c r="B288" s="33" t="inlineStr">
        <is>
          <t>PERDIDA TOTAL</t>
        </is>
      </c>
      <c r="C288" s="9">
        <f>TEXT(F287,"0.00")&amp;"  X  "&amp;Datos_balance!$B$4&amp;" (FI)  X  "&amp;Datos_balance!$B$5&amp;" (FO)  X  "&amp;Datos_balance!$B$6&amp;" (FZ)"</f>
        <v/>
      </c>
      <c r="D288" s="2" t="n"/>
      <c r="E288" s="2" t="n"/>
      <c r="F288" s="36">
        <f>ROUND(F287*Datos_balance!$B$4*Datos_balance!$B$5*Datos_balance!$B$6,1)</f>
        <v/>
      </c>
      <c r="G288" s="2" t="n"/>
      <c r="H288" s="2" t="n"/>
      <c r="I288" s="2" t="n"/>
    </row>
    <row r="289" ht="39.7" customHeight="1">
      <c r="A289" s="9" t="n"/>
      <c r="B289" s="10" t="inlineStr">
        <is>
          <t>Carga de locales sin emisor</t>
        </is>
      </c>
      <c r="C289" s="9" t="n"/>
      <c r="D289" s="2" t="n"/>
      <c r="E289" s="2" t="n"/>
      <c r="F289" s="28" t="n"/>
      <c r="G289" s="2" t="n"/>
      <c r="H289" s="2" t="n"/>
      <c r="I289" s="2" t="n"/>
    </row>
    <row r="290" ht="39.7" customHeight="1">
      <c r="A290" s="9" t="n"/>
      <c r="B290" s="33" t="inlineStr">
        <is>
          <t>CARGA TOTAL A CUBRIR</t>
        </is>
      </c>
      <c r="C290" s="9" t="n"/>
      <c r="D290" s="2" t="n"/>
      <c r="E290" s="2" t="n"/>
      <c r="F290" s="36">
        <f>F288+IF(F289="",0,F289)</f>
        <v/>
      </c>
      <c r="G290" s="2" t="n"/>
      <c r="H290" s="2" t="n"/>
      <c r="I290" s="2" t="n"/>
    </row>
    <row r="291">
      <c r="A291" s="2" t="n"/>
      <c r="B291" s="2" t="n"/>
      <c r="C291" s="2" t="n"/>
      <c r="D291" s="2" t="n"/>
      <c r="E291" s="2" t="n"/>
      <c r="F291" s="2" t="n"/>
      <c r="G291" s="2" t="n"/>
      <c r="H291" s="2" t="n"/>
      <c r="I291" s="2" t="n"/>
    </row>
    <row r="292" ht="62" customHeight="1">
      <c r="A292" s="9" t="n"/>
      <c r="B292" s="10" t="inlineStr">
        <is>
          <t>Salto termico:  dt = (te+ts)/2 - ti</t>
        </is>
      </c>
      <c r="C292" s="9">
        <f>TEXT((Datos_balance!$B$9+Datos_balance!$B$10)/2,"0")&amp;" - "&amp;TEXT(Datos_balance!$B$11,"0")&amp;" = "&amp;TEXT((Datos_balance!$B$9+Datos_balance!$B$10)/2-Datos_balance!$B$11,"0")&amp;" C"</f>
        <v/>
      </c>
      <c r="D292" s="2" t="n"/>
      <c r="E292" s="2" t="n"/>
      <c r="F292" s="9" t="n"/>
      <c r="G292" s="2" t="n"/>
      <c r="H292" s="2" t="n"/>
      <c r="I292" s="2" t="n"/>
    </row>
    <row r="293" ht="39.7" customHeight="1">
      <c r="A293" s="9" t="n"/>
      <c r="B293" s="10" t="inlineStr">
        <is>
          <t>Kcal/h por elemento</t>
        </is>
      </c>
      <c r="C293" s="8">
        <f>ROUND(Datos_balance!$B$14*Datos_balance!$B$15,2)</f>
        <v/>
      </c>
      <c r="D293" s="2" t="n"/>
      <c r="E293" s="2" t="n"/>
      <c r="F293" s="9" t="n"/>
      <c r="G293" s="2" t="n"/>
      <c r="H293" s="2" t="n"/>
      <c r="I293" s="2" t="n"/>
    </row>
    <row r="294" ht="39.7" customHeight="1">
      <c r="A294" s="9" t="n"/>
      <c r="B294" s="10" t="inlineStr">
        <is>
          <t>Elementos necesarios</t>
        </is>
      </c>
      <c r="C294" s="25">
        <f>ROUNDUP(F290/(Datos_balance!$B$14*Datos_balance!$B$15),0)</f>
        <v/>
      </c>
      <c r="D294" s="2" t="n"/>
      <c r="E294" s="2" t="n"/>
      <c r="F294" s="9" t="n"/>
      <c r="G294" s="2" t="n"/>
      <c r="H294" s="2" t="n"/>
      <c r="I294" s="2" t="n"/>
    </row>
    <row r="295" ht="39.7" customHeight="1">
      <c r="A295" s="9" t="n"/>
      <c r="B295" s="10" t="inlineStr">
        <is>
          <t>Ancho del radiador (cm)</t>
        </is>
      </c>
      <c r="C295" s="25">
        <f>ROUNDUP(F290/(Datos_balance!$B$14*Datos_balance!$B$15),0)*Datos_balance!$B$16</f>
        <v/>
      </c>
      <c r="D295" s="2" t="n"/>
      <c r="E295" s="2" t="n"/>
      <c r="F295" s="9" t="n"/>
      <c r="G295" s="2" t="n"/>
      <c r="H295" s="2" t="n"/>
      <c r="I295" s="2" t="n"/>
    </row>
    <row r="296" ht="39.7" customHeight="1">
      <c r="A296" s="13" t="n"/>
      <c r="B296" s="14" t="inlineStr">
        <is>
          <t>Radiador adoptado</t>
        </is>
      </c>
      <c r="C296" s="13">
        <f>Datos_balance!$B$13</f>
        <v/>
      </c>
      <c r="D296" s="20" t="n"/>
      <c r="E296" s="20" t="n"/>
      <c r="F296" s="13" t="n"/>
      <c r="G296" s="2" t="n"/>
      <c r="H296" s="2" t="n"/>
      <c r="I296" s="2" t="n"/>
    </row>
    <row r="297">
      <c r="A297" s="2" t="n"/>
      <c r="B297" s="2" t="n"/>
      <c r="C297" s="2" t="n"/>
      <c r="D297" s="2" t="n"/>
      <c r="E297" s="2" t="n"/>
      <c r="F297" s="2" t="n"/>
      <c r="G297" s="2" t="n"/>
      <c r="H297" s="2" t="n"/>
      <c r="I297" s="2" t="n"/>
    </row>
    <row r="298">
      <c r="A298" s="2" t="n"/>
      <c r="B298" s="2" t="n"/>
      <c r="C298" s="2" t="n"/>
      <c r="D298" s="2" t="n"/>
      <c r="E298" s="2" t="n"/>
      <c r="F298" s="2" t="n"/>
      <c r="G298" s="2" t="n"/>
      <c r="H298" s="2" t="n"/>
      <c r="I298" s="2" t="n"/>
    </row>
    <row r="299" ht="39.7" customHeight="1">
      <c r="A299" s="5" t="inlineStr">
        <is>
          <t>LOCAL  14 - Play room   (PA)   -   altura 3.00 m</t>
        </is>
      </c>
      <c r="B299" s="2" t="n"/>
      <c r="C299" s="2" t="n"/>
      <c r="D299" s="2" t="n"/>
      <c r="E299" s="2" t="n"/>
      <c r="F299" s="2" t="n"/>
      <c r="G299" s="2" t="n"/>
      <c r="H299" s="2" t="n"/>
      <c r="I299" s="2" t="n"/>
    </row>
    <row r="300" ht="39.7" customHeight="1">
      <c r="A300" s="3" t="inlineStr">
        <is>
          <t>Nro</t>
        </is>
      </c>
      <c r="B300" s="3" t="inlineStr">
        <is>
          <t>DESCRIPCION</t>
        </is>
      </c>
      <c r="C300" s="3" t="inlineStr">
        <is>
          <t>DIMENSIONES (m)</t>
        </is>
      </c>
      <c r="D300" s="3" t="inlineStr">
        <is>
          <t>AREA (m2)</t>
        </is>
      </c>
      <c r="E300" s="3" t="inlineStr">
        <is>
          <t>FACTOR</t>
        </is>
      </c>
      <c r="F300" s="3" t="inlineStr">
        <is>
          <t>PERDIDA CALOR (Kcal/h)</t>
        </is>
      </c>
      <c r="G300" s="2" t="n"/>
      <c r="H300" s="2" t="n"/>
      <c r="I300" s="2" t="n"/>
    </row>
    <row r="301" ht="39.7" customHeight="1">
      <c r="A301" s="16" t="inlineStr">
        <is>
          <t>1</t>
        </is>
      </c>
      <c r="B301" s="33" t="inlineStr">
        <is>
          <t>VENTANA</t>
        </is>
      </c>
      <c r="C301" s="9" t="n"/>
      <c r="D301" s="9" t="n"/>
      <c r="E301" s="9" t="n"/>
      <c r="F301" s="9" t="n"/>
      <c r="G301" s="2" t="n"/>
      <c r="H301" s="2" t="n"/>
      <c r="I301" s="2" t="n"/>
    </row>
    <row r="302" ht="62" customHeight="1">
      <c r="A302" s="9" t="n"/>
      <c r="B302" s="34" t="inlineStr">
        <is>
          <t>VA04 (2)</t>
        </is>
      </c>
      <c r="C302" s="9">
        <f>IF(COUNT(H302,I302)&lt;2,"",TEXT(H302,"0.00")&amp;" x "&amp;TEXT(I302,"0.00"))</f>
        <v/>
      </c>
      <c r="D302" s="8">
        <f>IF(COUNT(H302,I302)&lt;2,"",ROUND(H302*I302,2))</f>
        <v/>
      </c>
      <c r="E302" s="25" t="n">
        <v>60</v>
      </c>
      <c r="F302" s="28">
        <f>IF(D302="","",ROUND(D302*E302,1))</f>
        <v/>
      </c>
      <c r="G302" s="2" t="n"/>
      <c r="H302" s="35" t="n">
        <v>2</v>
      </c>
      <c r="I302" s="35" t="n">
        <v>2.52</v>
      </c>
    </row>
    <row r="303" ht="39.7" customHeight="1">
      <c r="A303" s="16" t="inlineStr">
        <is>
          <t>2</t>
        </is>
      </c>
      <c r="B303" s="33" t="inlineStr">
        <is>
          <t>PAREDES EXTERIORES</t>
        </is>
      </c>
      <c r="C303" s="9" t="n"/>
      <c r="D303" s="9" t="n"/>
      <c r="E303" s="9" t="n"/>
      <c r="F303" s="9" t="n"/>
      <c r="G303" s="2" t="n"/>
      <c r="H303" s="2" t="n"/>
      <c r="I303" s="2" t="n"/>
    </row>
    <row r="304" ht="62" customHeight="1">
      <c r="A304" s="9" t="n"/>
      <c r="B304" s="34" t="inlineStr">
        <is>
          <t>AISLADAS ()</t>
        </is>
      </c>
      <c r="C304" s="9">
        <f>IF(COUNT(H304,I304)&lt;2,"",TEXT(H304,"0.00")&amp;" x "&amp;TEXT(I304,"0.00"))</f>
        <v/>
      </c>
      <c r="D304" s="8">
        <f>IF(COUNT(H304,I304)&lt;2,"",ROUND(H304*I304,2))</f>
        <v/>
      </c>
      <c r="E304" s="25" t="n">
        <v>20</v>
      </c>
      <c r="F304" s="28">
        <f>IF(D304="","",ROUND(D304*E304,1))</f>
        <v/>
      </c>
      <c r="G304" s="2" t="n"/>
      <c r="H304" s="35" t="n">
        <v>4.13</v>
      </c>
      <c r="I304" s="35" t="n">
        <v>3</v>
      </c>
    </row>
    <row r="305" ht="62" customHeight="1">
      <c r="A305" s="9" t="n"/>
      <c r="B305" s="34" t="inlineStr">
        <is>
          <t>AISLADAS (    )</t>
        </is>
      </c>
      <c r="C305" s="9">
        <f>IF(COUNT(H305,I305)&lt;2,"",TEXT(H305,"0.00")&amp;" x "&amp;TEXT(I305,"0.00"))</f>
        <v/>
      </c>
      <c r="D305" s="8">
        <f>IF(COUNT(H305,I305)&lt;2,"",ROUND(H305*I305,2))</f>
        <v/>
      </c>
      <c r="E305" s="25" t="n">
        <v>20</v>
      </c>
      <c r="F305" s="28">
        <f>IF(D305="","",ROUND(D305*E305,1))</f>
        <v/>
      </c>
      <c r="G305" s="2" t="n"/>
      <c r="H305" s="35" t="n"/>
      <c r="I305" s="35" t="n"/>
    </row>
    <row r="306" ht="62" customHeight="1">
      <c r="A306" s="9" t="n"/>
      <c r="B306" s="34" t="inlineStr">
        <is>
          <t>INTERIORES (    )</t>
        </is>
      </c>
      <c r="C306" s="9">
        <f>IF(COUNT(H306,I306)&lt;2,"",TEXT(H306,"0.00")&amp;" x "&amp;TEXT(I306,"0.00"))</f>
        <v/>
      </c>
      <c r="D306" s="8">
        <f>IF(COUNT(H306,I306)&lt;2,"",ROUND(H306*I306,2))</f>
        <v/>
      </c>
      <c r="E306" s="25" t="n">
        <v>25</v>
      </c>
      <c r="F306" s="28">
        <f>IF(D306="","",ROUND(D306*E306,1))</f>
        <v/>
      </c>
      <c r="G306" s="2" t="n"/>
      <c r="H306" s="35" t="n">
        <v>4.08</v>
      </c>
      <c r="I306" s="35" t="n">
        <v>3</v>
      </c>
    </row>
    <row r="307" ht="62" customHeight="1">
      <c r="A307" s="9" t="n"/>
      <c r="B307" s="34" t="inlineStr">
        <is>
          <t>INTERIORES (    )</t>
        </is>
      </c>
      <c r="C307" s="9">
        <f>IF(COUNT(H307,I307)&lt;2,"",TEXT(H307,"0.00")&amp;" x "&amp;TEXT(I307,"0.00"))</f>
        <v/>
      </c>
      <c r="D307" s="8">
        <f>IF(COUNT(H307,I307)&lt;2,"",ROUND(H307*I307,2))</f>
        <v/>
      </c>
      <c r="E307" s="25" t="n">
        <v>25</v>
      </c>
      <c r="F307" s="28">
        <f>IF(D307="","",ROUND(D307*E307,1))</f>
        <v/>
      </c>
      <c r="G307" s="2" t="n"/>
      <c r="H307" s="35" t="n">
        <v>4.13</v>
      </c>
      <c r="I307" s="35" t="n">
        <v>3</v>
      </c>
    </row>
    <row r="308" ht="62" customHeight="1">
      <c r="A308" s="9" t="n"/>
      <c r="B308" s="34" t="inlineStr">
        <is>
          <t>INTERIORES (    )</t>
        </is>
      </c>
      <c r="C308" s="9">
        <f>IF(COUNT(H308,I308)&lt;2,"",TEXT(H308,"0.00")&amp;" x "&amp;TEXT(I308,"0.00"))</f>
        <v/>
      </c>
      <c r="D308" s="8">
        <f>IF(COUNT(H308,I308)&lt;2,"",ROUND(H308*I308,2))</f>
        <v/>
      </c>
      <c r="E308" s="25" t="n">
        <v>25</v>
      </c>
      <c r="F308" s="28">
        <f>IF(D308="","",ROUND(D308*E308,1))</f>
        <v/>
      </c>
      <c r="G308" s="2" t="n"/>
      <c r="H308" s="35" t="n">
        <v>4.08</v>
      </c>
      <c r="I308" s="35" t="n">
        <v>3</v>
      </c>
    </row>
    <row r="309" ht="39.7" customHeight="1">
      <c r="A309" s="16" t="inlineStr">
        <is>
          <t>3</t>
        </is>
      </c>
      <c r="B309" s="33" t="inlineStr">
        <is>
          <t>TECHOS O CIELORRASOS</t>
        </is>
      </c>
      <c r="C309" s="9" t="n"/>
      <c r="D309" s="9" t="n"/>
      <c r="E309" s="9" t="n"/>
      <c r="F309" s="9" t="n"/>
      <c r="G309" s="2" t="n"/>
      <c r="H309" s="2" t="n"/>
      <c r="I309" s="2" t="n"/>
    </row>
    <row r="310" ht="62" customHeight="1">
      <c r="A310" s="9" t="n"/>
      <c r="B310" s="34" t="inlineStr">
        <is>
          <t>TECHO NO AISLADO</t>
        </is>
      </c>
      <c r="C310" s="9" t="inlineStr"/>
      <c r="D310" s="8">
        <f>IF(COUNT(H310,I310)&lt;2,"",ROUND(H310*I310,2))</f>
        <v/>
      </c>
      <c r="E310" s="25" t="n">
        <v>30</v>
      </c>
      <c r="F310" s="28">
        <f>IF(D310="","",ROUND(D310*E310,1))</f>
        <v/>
      </c>
      <c r="G310" s="2" t="n"/>
      <c r="H310" s="35" t="n"/>
      <c r="I310" s="35" t="n"/>
    </row>
    <row r="311" ht="39.7" customHeight="1">
      <c r="A311" s="9" t="n"/>
      <c r="B311" s="34" t="inlineStr">
        <is>
          <t>TECHO AISLADO</t>
        </is>
      </c>
      <c r="C311" s="9" t="inlineStr">
        <is>
          <t>por croquis</t>
        </is>
      </c>
      <c r="D311" s="8" t="n">
        <v>16.85</v>
      </c>
      <c r="E311" s="25" t="n">
        <v>20</v>
      </c>
      <c r="F311" s="28">
        <f>IF(D311="","",ROUND(D311*E311,1))</f>
        <v/>
      </c>
      <c r="G311" s="2" t="n"/>
      <c r="H311" s="35" t="n"/>
      <c r="I311" s="35" t="n"/>
    </row>
    <row r="312" ht="62" customHeight="1">
      <c r="A312" s="9" t="n"/>
      <c r="B312" s="34" t="inlineStr">
        <is>
          <t>TECHO ENTREPISO</t>
        </is>
      </c>
      <c r="C312" s="9" t="inlineStr"/>
      <c r="D312" s="8">
        <f>IF(COUNT(H312,I312)&lt;2,"",ROUND(H312*I312,2))</f>
        <v/>
      </c>
      <c r="E312" s="25" t="n">
        <v>15</v>
      </c>
      <c r="F312" s="28">
        <f>IF(D312="","",ROUND(D312*E312,1))</f>
        <v/>
      </c>
      <c r="G312" s="2" t="n"/>
      <c r="H312" s="35" t="n"/>
      <c r="I312" s="35" t="n"/>
    </row>
    <row r="313" ht="39.7" customHeight="1">
      <c r="A313" s="16" t="inlineStr">
        <is>
          <t>4</t>
        </is>
      </c>
      <c r="B313" s="33" t="inlineStr">
        <is>
          <t>PISO</t>
        </is>
      </c>
      <c r="C313" s="9" t="n"/>
      <c r="D313" s="9" t="n"/>
      <c r="E313" s="9" t="n"/>
      <c r="F313" s="9" t="n"/>
      <c r="G313" s="2" t="n"/>
      <c r="H313" s="2" t="n"/>
      <c r="I313" s="2" t="n"/>
    </row>
    <row r="314" ht="62" customHeight="1">
      <c r="A314" s="9" t="n"/>
      <c r="B314" s="34" t="inlineStr">
        <is>
          <t>SOBRE TIERRA</t>
        </is>
      </c>
      <c r="C314" s="9" t="inlineStr"/>
      <c r="D314" s="8">
        <f>IF(COUNT(H314,I314)&lt;2,"",ROUND(H314*I314,2))</f>
        <v/>
      </c>
      <c r="E314" s="25" t="n">
        <v>10</v>
      </c>
      <c r="F314" s="28">
        <f>IF(D314="","",ROUND(D314*E314,1))</f>
        <v/>
      </c>
      <c r="G314" s="2" t="n"/>
      <c r="H314" s="35" t="n"/>
      <c r="I314" s="35" t="n"/>
    </row>
    <row r="315" ht="39.7" customHeight="1">
      <c r="A315" s="9" t="n"/>
      <c r="B315" s="34" t="inlineStr">
        <is>
          <t>SOBRE LOCAL OCUPADO</t>
        </is>
      </c>
      <c r="C315" s="9" t="inlineStr">
        <is>
          <t>por croquis</t>
        </is>
      </c>
      <c r="D315" s="8" t="n">
        <v>16.85</v>
      </c>
      <c r="E315" s="25" t="n">
        <v>15</v>
      </c>
      <c r="F315" s="28">
        <f>IF(D315="","",ROUND(D315*E315,1))</f>
        <v/>
      </c>
      <c r="G315" s="2" t="n"/>
      <c r="H315" s="35" t="n"/>
      <c r="I315" s="35" t="n"/>
    </row>
    <row r="316" ht="39.7" customHeight="1">
      <c r="A316" s="16" t="inlineStr">
        <is>
          <t>5</t>
        </is>
      </c>
      <c r="B316" s="33" t="inlineStr">
        <is>
          <t>INFILTRACION</t>
        </is>
      </c>
      <c r="C316" s="9" t="n"/>
      <c r="D316" s="16" t="inlineStr">
        <is>
          <t>VOLUMEN (m3)</t>
        </is>
      </c>
      <c r="E316" s="9" t="n"/>
      <c r="F316" s="9" t="n"/>
      <c r="G316" s="2" t="n"/>
      <c r="H316" s="2" t="n"/>
      <c r="I316" s="2" t="n"/>
    </row>
    <row r="317" ht="39.7" customHeight="1">
      <c r="A317" s="9" t="n"/>
      <c r="B317" s="34" t="inlineStr">
        <is>
          <t>UNA PARED EXTERIOR</t>
        </is>
      </c>
      <c r="C317" s="9" t="inlineStr">
        <is>
          <t>16.85 m2 x 3.00</t>
        </is>
      </c>
      <c r="D317" s="8" t="n">
        <v>50.55</v>
      </c>
      <c r="E317" s="25" t="n">
        <v>6</v>
      </c>
      <c r="F317" s="28">
        <f>IF(D317="","",ROUND(D317*E317,1))</f>
        <v/>
      </c>
      <c r="G317" s="2" t="n"/>
      <c r="H317" s="35" t="n"/>
      <c r="I317" s="35" t="n"/>
    </row>
    <row r="318" ht="62" customHeight="1">
      <c r="A318" s="9" t="n"/>
      <c r="B318" s="34" t="inlineStr">
        <is>
          <t>DOS PAREDES EXTERIORES</t>
        </is>
      </c>
      <c r="C318" s="9" t="inlineStr"/>
      <c r="D318" s="8">
        <f>IF(COUNT(H318,I318)&lt;2,"",ROUND(H318*I318,2))</f>
        <v/>
      </c>
      <c r="E318" s="25" t="n">
        <v>9</v>
      </c>
      <c r="F318" s="28">
        <f>IF(D318="","",ROUND(D318*E318,1))</f>
        <v/>
      </c>
      <c r="G318" s="2" t="n"/>
      <c r="H318" s="35" t="n"/>
      <c r="I318" s="35" t="n"/>
    </row>
    <row r="319" ht="62" customHeight="1">
      <c r="A319" s="9" t="n"/>
      <c r="B319" s="34" t="inlineStr">
        <is>
          <t>TRES O MAS PAREDES EXTERIORES</t>
        </is>
      </c>
      <c r="C319" s="9" t="inlineStr"/>
      <c r="D319" s="8">
        <f>IF(COUNT(H319,I319)&lt;2,"",ROUND(H319*I319,2))</f>
        <v/>
      </c>
      <c r="E319" s="25" t="n">
        <v>12</v>
      </c>
      <c r="F319" s="28">
        <f>IF(D319="","",ROUND(D319*E319,1))</f>
        <v/>
      </c>
      <c r="G319" s="2" t="n"/>
      <c r="H319" s="35" t="n"/>
      <c r="I319" s="35" t="n"/>
    </row>
    <row r="320" ht="70" customHeight="1">
      <c r="A320" s="16" t="inlineStr">
        <is>
          <t>6</t>
        </is>
      </c>
      <c r="B320" s="33" t="inlineStr">
        <is>
          <t>SUBTOTAL</t>
        </is>
      </c>
      <c r="C320" s="9" t="n"/>
      <c r="D320" s="9" t="n"/>
      <c r="E320" s="9" t="n"/>
      <c r="F320" s="36">
        <f>IF(F302="",0,F302)+IF(F304="",0,F304)+IF(F305="",0,F305)+IF(F306="",0,F306)+IF(F307="",0,F307)+IF(F308="",0,F308)+IF(F310="",0,F310)+IF(F311="",0,F311)+IF(F312="",0,F312)+IF(F314="",0,F314)+IF(F315="",0,F315)+IF(F317="",0,F317)+IF(F318="",0,F318)+IF(F319="",0,F319)</f>
        <v/>
      </c>
      <c r="G320" s="2" t="n"/>
      <c r="H320" s="2" t="n"/>
      <c r="I320" s="2" t="n"/>
    </row>
    <row r="321" ht="47" customHeight="1">
      <c r="A321" s="16" t="inlineStr">
        <is>
          <t>7</t>
        </is>
      </c>
      <c r="B321" s="33" t="inlineStr">
        <is>
          <t>PERDIDA TOTAL</t>
        </is>
      </c>
      <c r="C321" s="9">
        <f>TEXT(F320,"0.00")&amp;"  X  "&amp;Datos_balance!$B$4&amp;" (FI)  X  "&amp;Datos_balance!$B$5&amp;" (FO)  X  "&amp;Datos_balance!$B$6&amp;" (FZ)"</f>
        <v/>
      </c>
      <c r="D321" s="2" t="n"/>
      <c r="E321" s="2" t="n"/>
      <c r="F321" s="36">
        <f>ROUND(F320*Datos_balance!$B$4*Datos_balance!$B$5*Datos_balance!$B$6,1)</f>
        <v/>
      </c>
      <c r="G321" s="2" t="n"/>
      <c r="H321" s="2" t="n"/>
      <c r="I321" s="2" t="n"/>
    </row>
    <row r="322" ht="39.7" customHeight="1">
      <c r="A322" s="9" t="n"/>
      <c r="B322" s="10" t="inlineStr">
        <is>
          <t>Carga de locales sin emisor</t>
        </is>
      </c>
      <c r="C322" s="9" t="inlineStr">
        <is>
          <t>Escalera</t>
        </is>
      </c>
      <c r="D322" s="2" t="n"/>
      <c r="E322" s="2" t="n"/>
      <c r="F322" s="28">
        <f>F158</f>
        <v/>
      </c>
      <c r="G322" s="2" t="n"/>
      <c r="H322" s="2" t="n"/>
      <c r="I322" s="2" t="n"/>
    </row>
    <row r="323" ht="39.7" customHeight="1">
      <c r="A323" s="9" t="n"/>
      <c r="B323" s="33" t="inlineStr">
        <is>
          <t>CARGA TOTAL A CUBRIR</t>
        </is>
      </c>
      <c r="C323" s="9" t="n"/>
      <c r="D323" s="2" t="n"/>
      <c r="E323" s="2" t="n"/>
      <c r="F323" s="36">
        <f>F321+IF(F322="",0,F322)</f>
        <v/>
      </c>
      <c r="G323" s="2" t="n"/>
      <c r="H323" s="2" t="n"/>
      <c r="I323" s="2" t="n"/>
    </row>
    <row r="324">
      <c r="A324" s="2" t="n"/>
      <c r="B324" s="2" t="n"/>
      <c r="C324" s="2" t="n"/>
      <c r="D324" s="2" t="n"/>
      <c r="E324" s="2" t="n"/>
      <c r="F324" s="2" t="n"/>
      <c r="G324" s="2" t="n"/>
      <c r="H324" s="2" t="n"/>
      <c r="I324" s="2" t="n"/>
    </row>
    <row r="325" ht="62" customHeight="1">
      <c r="A325" s="9" t="n"/>
      <c r="B325" s="10" t="inlineStr">
        <is>
          <t>Salto termico:  dt = (te+ts)/2 - ti</t>
        </is>
      </c>
      <c r="C325" s="9">
        <f>TEXT((Datos_balance!$B$9+Datos_balance!$B$10)/2,"0")&amp;" - "&amp;TEXT(Datos_balance!$B$11,"0")&amp;" = "&amp;TEXT((Datos_balance!$B$9+Datos_balance!$B$10)/2-Datos_balance!$B$11,"0")&amp;" C"</f>
        <v/>
      </c>
      <c r="D325" s="2" t="n"/>
      <c r="E325" s="2" t="n"/>
      <c r="F325" s="9" t="n"/>
      <c r="G325" s="2" t="n"/>
      <c r="H325" s="2" t="n"/>
      <c r="I325" s="2" t="n"/>
    </row>
    <row r="326" ht="39.7" customHeight="1">
      <c r="A326" s="9" t="n"/>
      <c r="B326" s="10" t="inlineStr">
        <is>
          <t>Kcal/h por elemento</t>
        </is>
      </c>
      <c r="C326" s="8">
        <f>ROUND(Datos_balance!$B$14*Datos_balance!$B$15,2)</f>
        <v/>
      </c>
      <c r="D326" s="2" t="n"/>
      <c r="E326" s="2" t="n"/>
      <c r="F326" s="9" t="n"/>
      <c r="G326" s="2" t="n"/>
      <c r="H326" s="2" t="n"/>
      <c r="I326" s="2" t="n"/>
    </row>
    <row r="327" ht="39.7" customHeight="1">
      <c r="A327" s="9" t="n"/>
      <c r="B327" s="10" t="inlineStr">
        <is>
          <t>Elementos necesarios</t>
        </is>
      </c>
      <c r="C327" s="25">
        <f>ROUNDUP(F323/(Datos_balance!$B$14*Datos_balance!$B$15),0)</f>
        <v/>
      </c>
      <c r="D327" s="2" t="n"/>
      <c r="E327" s="2" t="n"/>
      <c r="F327" s="9" t="n"/>
      <c r="G327" s="2" t="n"/>
      <c r="H327" s="2" t="n"/>
      <c r="I327" s="2" t="n"/>
    </row>
    <row r="328" ht="39.7" customHeight="1">
      <c r="A328" s="9" t="n"/>
      <c r="B328" s="10" t="inlineStr">
        <is>
          <t>Ancho del radiador (cm)</t>
        </is>
      </c>
      <c r="C328" s="25">
        <f>ROUNDUP(F323/(Datos_balance!$B$14*Datos_balance!$B$15),0)*Datos_balance!$B$16</f>
        <v/>
      </c>
      <c r="D328" s="2" t="n"/>
      <c r="E328" s="2" t="n"/>
      <c r="F328" s="9" t="n"/>
      <c r="G328" s="2" t="n"/>
      <c r="H328" s="2" t="n"/>
      <c r="I328" s="2" t="n"/>
    </row>
    <row r="329" ht="39.7" customHeight="1">
      <c r="A329" s="13" t="n"/>
      <c r="B329" s="14" t="inlineStr">
        <is>
          <t>Radiador adoptado</t>
        </is>
      </c>
      <c r="C329" s="13">
        <f>Datos_balance!$B$13</f>
        <v/>
      </c>
      <c r="D329" s="20" t="n"/>
      <c r="E329" s="20" t="n"/>
      <c r="F329" s="13" t="n"/>
      <c r="G329" s="2" t="n"/>
      <c r="H329" s="2" t="n"/>
      <c r="I329" s="2" t="n"/>
    </row>
    <row r="330">
      <c r="A330" s="2" t="n"/>
      <c r="B330" s="2" t="n"/>
      <c r="C330" s="2" t="n"/>
      <c r="D330" s="2" t="n"/>
      <c r="E330" s="2" t="n"/>
      <c r="F330" s="2" t="n"/>
      <c r="G330" s="2" t="n"/>
      <c r="H330" s="2" t="n"/>
      <c r="I330" s="2" t="n"/>
    </row>
    <row r="331">
      <c r="A331" s="2" t="n"/>
      <c r="B331" s="2" t="n"/>
      <c r="C331" s="2" t="n"/>
      <c r="D331" s="2" t="n"/>
      <c r="E331" s="2" t="n"/>
      <c r="F331" s="2" t="n"/>
      <c r="G331" s="2" t="n"/>
      <c r="H331" s="2" t="n"/>
      <c r="I331" s="2" t="n"/>
    </row>
    <row r="332" ht="39.7" customHeight="1">
      <c r="A332" s="5" t="inlineStr">
        <is>
          <t>LOCAL  15 - Dormitorio Sur   (PA)   -   altura 2.80 m</t>
        </is>
      </c>
      <c r="B332" s="2" t="n"/>
      <c r="C332" s="2" t="n"/>
      <c r="D332" s="2" t="n"/>
      <c r="E332" s="2" t="n"/>
      <c r="F332" s="2" t="n"/>
      <c r="G332" s="2" t="n"/>
      <c r="H332" s="2" t="n"/>
      <c r="I332" s="2" t="n"/>
    </row>
    <row r="333" ht="39.7" customHeight="1">
      <c r="A333" s="3" t="inlineStr">
        <is>
          <t>Nro</t>
        </is>
      </c>
      <c r="B333" s="3" t="inlineStr">
        <is>
          <t>DESCRIPCION</t>
        </is>
      </c>
      <c r="C333" s="3" t="inlineStr">
        <is>
          <t>DIMENSIONES (m)</t>
        </is>
      </c>
      <c r="D333" s="3" t="inlineStr">
        <is>
          <t>AREA (m2)</t>
        </is>
      </c>
      <c r="E333" s="3" t="inlineStr">
        <is>
          <t>FACTOR</t>
        </is>
      </c>
      <c r="F333" s="3" t="inlineStr">
        <is>
          <t>PERDIDA CALOR (Kcal/h)</t>
        </is>
      </c>
      <c r="G333" s="2" t="n"/>
      <c r="H333" s="2" t="n"/>
      <c r="I333" s="2" t="n"/>
    </row>
    <row r="334" ht="39.7" customHeight="1">
      <c r="A334" s="16" t="inlineStr">
        <is>
          <t>1</t>
        </is>
      </c>
      <c r="B334" s="33" t="inlineStr">
        <is>
          <t>VENTANA</t>
        </is>
      </c>
      <c r="C334" s="9" t="n"/>
      <c r="D334" s="9" t="n"/>
      <c r="E334" s="9" t="n"/>
      <c r="F334" s="9" t="n"/>
      <c r="G334" s="2" t="n"/>
      <c r="H334" s="2" t="n"/>
      <c r="I334" s="2" t="n"/>
    </row>
    <row r="335" ht="62" customHeight="1">
      <c r="A335" s="9" t="n"/>
      <c r="B335" s="34" t="inlineStr">
        <is>
          <t>PV04</t>
        </is>
      </c>
      <c r="C335" s="9">
        <f>IF(COUNT(H335,I335)&lt;2,"",TEXT(H335,"0.00")&amp;" x "&amp;TEXT(I335,"0.00"))</f>
        <v/>
      </c>
      <c r="D335" s="8">
        <f>IF(COUNT(H335,I335)&lt;2,"",ROUND(H335*I335,2))</f>
        <v/>
      </c>
      <c r="E335" s="25" t="n">
        <v>60</v>
      </c>
      <c r="F335" s="28">
        <f>IF(D335="","",ROUND(D335*E335,1))</f>
        <v/>
      </c>
      <c r="G335" s="2" t="n"/>
      <c r="H335" s="35" t="n">
        <v>2.06</v>
      </c>
      <c r="I335" s="35" t="n">
        <v>3</v>
      </c>
    </row>
    <row r="336" ht="62" customHeight="1">
      <c r="A336" s="9" t="n"/>
      <c r="B336" s="34" t="inlineStr">
        <is>
          <t>PV04 (2)</t>
        </is>
      </c>
      <c r="C336" s="9">
        <f>IF(COUNT(H336,I336)&lt;2,"",TEXT(H336,"0.00")&amp;" x "&amp;TEXT(I336,"0.00"))</f>
        <v/>
      </c>
      <c r="D336" s="8">
        <f>IF(COUNT(H336,I336)&lt;2,"",ROUND(H336*I336,2))</f>
        <v/>
      </c>
      <c r="E336" s="25" t="n">
        <v>60</v>
      </c>
      <c r="F336" s="28">
        <f>IF(D336="","",ROUND(D336*E336,1))</f>
        <v/>
      </c>
      <c r="G336" s="2" t="n"/>
      <c r="H336" s="35" t="n">
        <v>1.5</v>
      </c>
      <c r="I336" s="35" t="n">
        <v>2.95</v>
      </c>
    </row>
    <row r="337" ht="39.7" customHeight="1">
      <c r="A337" s="16" t="inlineStr">
        <is>
          <t>2</t>
        </is>
      </c>
      <c r="B337" s="33" t="inlineStr">
        <is>
          <t>PAREDES EXTERIORES</t>
        </is>
      </c>
      <c r="C337" s="9" t="n"/>
      <c r="D337" s="9" t="n"/>
      <c r="E337" s="9" t="n"/>
      <c r="F337" s="9" t="n"/>
      <c r="G337" s="2" t="n"/>
      <c r="H337" s="2" t="n"/>
      <c r="I337" s="2" t="n"/>
    </row>
    <row r="338" ht="62" customHeight="1">
      <c r="A338" s="9" t="n"/>
      <c r="B338" s="34" t="inlineStr">
        <is>
          <t>AISLADAS ()</t>
        </is>
      </c>
      <c r="C338" s="9">
        <f>IF(COUNT(H338,I338)&lt;2,"",TEXT(H338,"0.00")&amp;" x "&amp;TEXT(I338,"0.00"))</f>
        <v/>
      </c>
      <c r="D338" s="8">
        <f>IF(COUNT(H338,I338)&lt;2,"",ROUND(H338*I338,2))</f>
        <v/>
      </c>
      <c r="E338" s="25" t="n">
        <v>20</v>
      </c>
      <c r="F338" s="28">
        <f>IF(D338="","",ROUND(D338*E338,1))</f>
        <v/>
      </c>
      <c r="G338" s="2" t="n"/>
      <c r="H338" s="35" t="n">
        <v>4.05</v>
      </c>
      <c r="I338" s="35" t="n">
        <v>2.8</v>
      </c>
    </row>
    <row r="339" ht="62" customHeight="1">
      <c r="A339" s="9" t="n"/>
      <c r="B339" s="34" t="inlineStr">
        <is>
          <t>AISLADAS ()</t>
        </is>
      </c>
      <c r="C339" s="9">
        <f>IF(COUNT(H339,I339)&lt;2,"",TEXT(H339,"0.00")&amp;" x "&amp;TEXT(I339,"0.00"))</f>
        <v/>
      </c>
      <c r="D339" s="8">
        <f>IF(COUNT(H339,I339)&lt;2,"",ROUND(H339*I339,2))</f>
        <v/>
      </c>
      <c r="E339" s="25" t="n">
        <v>20</v>
      </c>
      <c r="F339" s="28">
        <f>IF(D339="","",ROUND(D339*E339,1))</f>
        <v/>
      </c>
      <c r="G339" s="2" t="n"/>
      <c r="H339" s="35" t="n">
        <v>3.5</v>
      </c>
      <c r="I339" s="35" t="n">
        <v>2.8</v>
      </c>
    </row>
    <row r="340" ht="62" customHeight="1">
      <c r="A340" s="9" t="n"/>
      <c r="B340" s="34" t="inlineStr">
        <is>
          <t>INTERIORES (    )</t>
        </is>
      </c>
      <c r="C340" s="9">
        <f>IF(COUNT(H340,I340)&lt;2,"",TEXT(H340,"0.00")&amp;" x "&amp;TEXT(I340,"0.00"))</f>
        <v/>
      </c>
      <c r="D340" s="8">
        <f>IF(COUNT(H340,I340)&lt;2,"",ROUND(H340*I340,2))</f>
        <v/>
      </c>
      <c r="E340" s="25" t="n">
        <v>25</v>
      </c>
      <c r="F340" s="28">
        <f>IF(D340="","",ROUND(D340*E340,1))</f>
        <v/>
      </c>
      <c r="G340" s="2" t="n"/>
      <c r="H340" s="35" t="n">
        <v>4.05</v>
      </c>
      <c r="I340" s="35" t="n">
        <v>2.8</v>
      </c>
    </row>
    <row r="341" ht="62" customHeight="1">
      <c r="A341" s="9" t="n"/>
      <c r="B341" s="34" t="inlineStr">
        <is>
          <t>INTERIORES (    )</t>
        </is>
      </c>
      <c r="C341" s="9">
        <f>IF(COUNT(H341,I341)&lt;2,"",TEXT(H341,"0.00")&amp;" x "&amp;TEXT(I341,"0.00"))</f>
        <v/>
      </c>
      <c r="D341" s="8">
        <f>IF(COUNT(H341,I341)&lt;2,"",ROUND(H341*I341,2))</f>
        <v/>
      </c>
      <c r="E341" s="25" t="n">
        <v>25</v>
      </c>
      <c r="F341" s="28">
        <f>IF(D341="","",ROUND(D341*E341,1))</f>
        <v/>
      </c>
      <c r="G341" s="2" t="n"/>
      <c r="H341" s="35" t="n">
        <v>3.5</v>
      </c>
      <c r="I341" s="35" t="n">
        <v>2.8</v>
      </c>
    </row>
    <row r="342" ht="39.7" customHeight="1">
      <c r="A342" s="16" t="inlineStr">
        <is>
          <t>3</t>
        </is>
      </c>
      <c r="B342" s="33" t="inlineStr">
        <is>
          <t>TECHOS O CIELORRASOS</t>
        </is>
      </c>
      <c r="C342" s="9" t="n"/>
      <c r="D342" s="9" t="n"/>
      <c r="E342" s="9" t="n"/>
      <c r="F342" s="9" t="n"/>
      <c r="G342" s="2" t="n"/>
      <c r="H342" s="2" t="n"/>
      <c r="I342" s="2" t="n"/>
    </row>
    <row r="343" ht="62" customHeight="1">
      <c r="A343" s="9" t="n"/>
      <c r="B343" s="34" t="inlineStr">
        <is>
          <t>TECHO NO AISLADO</t>
        </is>
      </c>
      <c r="C343" s="9" t="inlineStr"/>
      <c r="D343" s="8">
        <f>IF(COUNT(H343,I343)&lt;2,"",ROUND(H343*I343,2))</f>
        <v/>
      </c>
      <c r="E343" s="25" t="n">
        <v>30</v>
      </c>
      <c r="F343" s="28">
        <f>IF(D343="","",ROUND(D343*E343,1))</f>
        <v/>
      </c>
      <c r="G343" s="2" t="n"/>
      <c r="H343" s="35" t="n"/>
      <c r="I343" s="35" t="n"/>
    </row>
    <row r="344" ht="39.7" customHeight="1">
      <c r="A344" s="9" t="n"/>
      <c r="B344" s="34" t="inlineStr">
        <is>
          <t>TECHO AISLADO</t>
        </is>
      </c>
      <c r="C344" s="9" t="inlineStr">
        <is>
          <t>por croquis</t>
        </is>
      </c>
      <c r="D344" s="8" t="n">
        <v>14.17</v>
      </c>
      <c r="E344" s="25" t="n">
        <v>20</v>
      </c>
      <c r="F344" s="28">
        <f>IF(D344="","",ROUND(D344*E344,1))</f>
        <v/>
      </c>
      <c r="G344" s="2" t="n"/>
      <c r="H344" s="35" t="n"/>
      <c r="I344" s="35" t="n"/>
    </row>
    <row r="345" ht="62" customHeight="1">
      <c r="A345" s="9" t="n"/>
      <c r="B345" s="34" t="inlineStr">
        <is>
          <t>TECHO ENTREPISO</t>
        </is>
      </c>
      <c r="C345" s="9" t="inlineStr"/>
      <c r="D345" s="8">
        <f>IF(COUNT(H345,I345)&lt;2,"",ROUND(H345*I345,2))</f>
        <v/>
      </c>
      <c r="E345" s="25" t="n">
        <v>15</v>
      </c>
      <c r="F345" s="28">
        <f>IF(D345="","",ROUND(D345*E345,1))</f>
        <v/>
      </c>
      <c r="G345" s="2" t="n"/>
      <c r="H345" s="35" t="n"/>
      <c r="I345" s="35" t="n"/>
    </row>
    <row r="346" ht="39.7" customHeight="1">
      <c r="A346" s="16" t="inlineStr">
        <is>
          <t>4</t>
        </is>
      </c>
      <c r="B346" s="33" t="inlineStr">
        <is>
          <t>PISO</t>
        </is>
      </c>
      <c r="C346" s="9" t="n"/>
      <c r="D346" s="9" t="n"/>
      <c r="E346" s="9" t="n"/>
      <c r="F346" s="9" t="n"/>
      <c r="G346" s="2" t="n"/>
      <c r="H346" s="2" t="n"/>
      <c r="I346" s="2" t="n"/>
    </row>
    <row r="347" ht="62" customHeight="1">
      <c r="A347" s="9" t="n"/>
      <c r="B347" s="34" t="inlineStr">
        <is>
          <t>SOBRE TIERRA</t>
        </is>
      </c>
      <c r="C347" s="9" t="inlineStr"/>
      <c r="D347" s="8">
        <f>IF(COUNT(H347,I347)&lt;2,"",ROUND(H347*I347,2))</f>
        <v/>
      </c>
      <c r="E347" s="25" t="n">
        <v>10</v>
      </c>
      <c r="F347" s="28">
        <f>IF(D347="","",ROUND(D347*E347,1))</f>
        <v/>
      </c>
      <c r="G347" s="2" t="n"/>
      <c r="H347" s="35" t="n"/>
      <c r="I347" s="35" t="n"/>
    </row>
    <row r="348" ht="39.7" customHeight="1">
      <c r="A348" s="9" t="n"/>
      <c r="B348" s="34" t="inlineStr">
        <is>
          <t>SOBRE LOCAL OCUPADO</t>
        </is>
      </c>
      <c r="C348" s="9" t="inlineStr">
        <is>
          <t>por croquis</t>
        </is>
      </c>
      <c r="D348" s="8" t="n">
        <v>14.17</v>
      </c>
      <c r="E348" s="25" t="n">
        <v>15</v>
      </c>
      <c r="F348" s="28">
        <f>IF(D348="","",ROUND(D348*E348,1))</f>
        <v/>
      </c>
      <c r="G348" s="2" t="n"/>
      <c r="H348" s="35" t="n"/>
      <c r="I348" s="35" t="n"/>
    </row>
    <row r="349" ht="39.7" customHeight="1">
      <c r="A349" s="16" t="inlineStr">
        <is>
          <t>5</t>
        </is>
      </c>
      <c r="B349" s="33" t="inlineStr">
        <is>
          <t>INFILTRACION</t>
        </is>
      </c>
      <c r="C349" s="9" t="n"/>
      <c r="D349" s="16" t="inlineStr">
        <is>
          <t>VOLUMEN (m3)</t>
        </is>
      </c>
      <c r="E349" s="9" t="n"/>
      <c r="F349" s="9" t="n"/>
      <c r="G349" s="2" t="n"/>
      <c r="H349" s="2" t="n"/>
      <c r="I349" s="2" t="n"/>
    </row>
    <row r="350" ht="62" customHeight="1">
      <c r="A350" s="9" t="n"/>
      <c r="B350" s="34" t="inlineStr">
        <is>
          <t>UNA PARED EXTERIOR</t>
        </is>
      </c>
      <c r="C350" s="9" t="inlineStr"/>
      <c r="D350" s="8">
        <f>IF(COUNT(H350,I350)&lt;2,"",ROUND(H350*I350,2))</f>
        <v/>
      </c>
      <c r="E350" s="25" t="n">
        <v>6</v>
      </c>
      <c r="F350" s="28">
        <f>IF(D350="","",ROUND(D350*E350,1))</f>
        <v/>
      </c>
      <c r="G350" s="2" t="n"/>
      <c r="H350" s="35" t="n"/>
      <c r="I350" s="35" t="n"/>
    </row>
    <row r="351" ht="39.7" customHeight="1">
      <c r="A351" s="9" t="n"/>
      <c r="B351" s="34" t="inlineStr">
        <is>
          <t>DOS PAREDES EXTERIORES</t>
        </is>
      </c>
      <c r="C351" s="9" t="inlineStr">
        <is>
          <t>14.17 m2 x 2.80</t>
        </is>
      </c>
      <c r="D351" s="8" t="n">
        <v>39.68</v>
      </c>
      <c r="E351" s="25" t="n">
        <v>9</v>
      </c>
      <c r="F351" s="28">
        <f>IF(D351="","",ROUND(D351*E351,1))</f>
        <v/>
      </c>
      <c r="G351" s="2" t="n"/>
      <c r="H351" s="35" t="n"/>
      <c r="I351" s="35" t="n"/>
    </row>
    <row r="352" ht="62" customHeight="1">
      <c r="A352" s="9" t="n"/>
      <c r="B352" s="34" t="inlineStr">
        <is>
          <t>TRES O MAS PAREDES EXTERIORES</t>
        </is>
      </c>
      <c r="C352" s="9" t="inlineStr"/>
      <c r="D352" s="8">
        <f>IF(COUNT(H352,I352)&lt;2,"",ROUND(H352*I352,2))</f>
        <v/>
      </c>
      <c r="E352" s="25" t="n">
        <v>12</v>
      </c>
      <c r="F352" s="28">
        <f>IF(D352="","",ROUND(D352*E352,1))</f>
        <v/>
      </c>
      <c r="G352" s="2" t="n"/>
      <c r="H352" s="35" t="n"/>
      <c r="I352" s="35" t="n"/>
    </row>
    <row r="353" ht="70" customHeight="1">
      <c r="A353" s="16" t="inlineStr">
        <is>
          <t>6</t>
        </is>
      </c>
      <c r="B353" s="33" t="inlineStr">
        <is>
          <t>SUBTOTAL</t>
        </is>
      </c>
      <c r="C353" s="9" t="n"/>
      <c r="D353" s="9" t="n"/>
      <c r="E353" s="9" t="n"/>
      <c r="F353" s="36">
        <f>IF(F335="",0,F335)+IF(F336="",0,F336)+IF(F338="",0,F338)+IF(F339="",0,F339)+IF(F340="",0,F340)+IF(F341="",0,F341)+IF(F343="",0,F343)+IF(F344="",0,F344)+IF(F345="",0,F345)+IF(F347="",0,F347)+IF(F348="",0,F348)+IF(F350="",0,F350)+IF(F351="",0,F351)+IF(F352="",0,F352)</f>
        <v/>
      </c>
      <c r="G353" s="2" t="n"/>
      <c r="H353" s="2" t="n"/>
      <c r="I353" s="2" t="n"/>
    </row>
    <row r="354" ht="47" customHeight="1">
      <c r="A354" s="16" t="inlineStr">
        <is>
          <t>7</t>
        </is>
      </c>
      <c r="B354" s="33" t="inlineStr">
        <is>
          <t>PERDIDA TOTAL</t>
        </is>
      </c>
      <c r="C354" s="9">
        <f>TEXT(F353,"0.00")&amp;"  X  "&amp;Datos_balance!$B$4&amp;" (FI)  X  "&amp;Datos_balance!$B$5&amp;" (FO)  X  "&amp;Datos_balance!$B$6&amp;" (FZ)"</f>
        <v/>
      </c>
      <c r="D354" s="2" t="n"/>
      <c r="E354" s="2" t="n"/>
      <c r="F354" s="36">
        <f>ROUND(F353*Datos_balance!$B$4*Datos_balance!$B$5*Datos_balance!$B$6,1)</f>
        <v/>
      </c>
      <c r="G354" s="2" t="n"/>
      <c r="H354" s="2" t="n"/>
      <c r="I354" s="2" t="n"/>
    </row>
    <row r="355" ht="39.7" customHeight="1">
      <c r="A355" s="9" t="n"/>
      <c r="B355" s="10" t="inlineStr">
        <is>
          <t>Carga de locales sin emisor</t>
        </is>
      </c>
      <c r="C355" s="9" t="n"/>
      <c r="D355" s="2" t="n"/>
      <c r="E355" s="2" t="n"/>
      <c r="F355" s="28" t="n"/>
      <c r="G355" s="2" t="n"/>
      <c r="H355" s="2" t="n"/>
      <c r="I355" s="2" t="n"/>
    </row>
    <row r="356" ht="39.7" customHeight="1">
      <c r="A356" s="9" t="n"/>
      <c r="B356" s="33" t="inlineStr">
        <is>
          <t>CARGA TOTAL A CUBRIR</t>
        </is>
      </c>
      <c r="C356" s="9" t="n"/>
      <c r="D356" s="2" t="n"/>
      <c r="E356" s="2" t="n"/>
      <c r="F356" s="36">
        <f>F354+IF(F355="",0,F355)</f>
        <v/>
      </c>
      <c r="G356" s="2" t="n"/>
      <c r="H356" s="2" t="n"/>
      <c r="I356" s="2" t="n"/>
    </row>
    <row r="357">
      <c r="A357" s="2" t="n"/>
      <c r="B357" s="2" t="n"/>
      <c r="C357" s="2" t="n"/>
      <c r="D357" s="2" t="n"/>
      <c r="E357" s="2" t="n"/>
      <c r="F357" s="2" t="n"/>
      <c r="G357" s="2" t="n"/>
      <c r="H357" s="2" t="n"/>
      <c r="I357" s="2" t="n"/>
    </row>
    <row r="358" ht="62" customHeight="1">
      <c r="A358" s="9" t="n"/>
      <c r="B358" s="10" t="inlineStr">
        <is>
          <t>Salto termico:  dt = (te+ts)/2 - ti</t>
        </is>
      </c>
      <c r="C358" s="9">
        <f>TEXT((Datos_balance!$B$9+Datos_balance!$B$10)/2,"0")&amp;" - "&amp;TEXT(Datos_balance!$B$11,"0")&amp;" = "&amp;TEXT((Datos_balance!$B$9+Datos_balance!$B$10)/2-Datos_balance!$B$11,"0")&amp;" C"</f>
        <v/>
      </c>
      <c r="D358" s="2" t="n"/>
      <c r="E358" s="2" t="n"/>
      <c r="F358" s="9" t="n"/>
      <c r="G358" s="2" t="n"/>
      <c r="H358" s="2" t="n"/>
      <c r="I358" s="2" t="n"/>
    </row>
    <row r="359" ht="39.7" customHeight="1">
      <c r="A359" s="9" t="n"/>
      <c r="B359" s="10" t="inlineStr">
        <is>
          <t>Kcal/h por elemento</t>
        </is>
      </c>
      <c r="C359" s="8">
        <f>ROUND(Datos_balance!$B$14*Datos_balance!$B$15,2)</f>
        <v/>
      </c>
      <c r="D359" s="2" t="n"/>
      <c r="E359" s="2" t="n"/>
      <c r="F359" s="9" t="n"/>
      <c r="G359" s="2" t="n"/>
      <c r="H359" s="2" t="n"/>
      <c r="I359" s="2" t="n"/>
    </row>
    <row r="360" ht="39.7" customHeight="1">
      <c r="A360" s="9" t="n"/>
      <c r="B360" s="10" t="inlineStr">
        <is>
          <t>Elementos necesarios</t>
        </is>
      </c>
      <c r="C360" s="25">
        <f>ROUNDUP(F356/(Datos_balance!$B$14*Datos_balance!$B$15),0)</f>
        <v/>
      </c>
      <c r="D360" s="2" t="n"/>
      <c r="E360" s="2" t="n"/>
      <c r="F360" s="9" t="n"/>
      <c r="G360" s="2" t="n"/>
      <c r="H360" s="2" t="n"/>
      <c r="I360" s="2" t="n"/>
    </row>
    <row r="361" ht="39.7" customHeight="1">
      <c r="A361" s="9" t="n"/>
      <c r="B361" s="10" t="inlineStr">
        <is>
          <t>Ancho del radiador (cm)</t>
        </is>
      </c>
      <c r="C361" s="25">
        <f>ROUNDUP(F356/(Datos_balance!$B$14*Datos_balance!$B$15),0)*Datos_balance!$B$16</f>
        <v/>
      </c>
      <c r="D361" s="2" t="n"/>
      <c r="E361" s="2" t="n"/>
      <c r="F361" s="9" t="n"/>
      <c r="G361" s="2" t="n"/>
      <c r="H361" s="2" t="n"/>
      <c r="I361" s="2" t="n"/>
    </row>
    <row r="362" ht="39.7" customHeight="1">
      <c r="A362" s="13" t="n"/>
      <c r="B362" s="14" t="inlineStr">
        <is>
          <t>Radiador adoptado</t>
        </is>
      </c>
      <c r="C362" s="13">
        <f>Datos_balance!$B$13</f>
        <v/>
      </c>
      <c r="D362" s="20" t="n"/>
      <c r="E362" s="20" t="n"/>
      <c r="F362" s="13" t="n"/>
      <c r="G362" s="2" t="n"/>
      <c r="H362" s="2" t="n"/>
      <c r="I362" s="2" t="n"/>
    </row>
    <row r="363">
      <c r="A363" s="2" t="n"/>
      <c r="B363" s="2" t="n"/>
      <c r="C363" s="2" t="n"/>
      <c r="D363" s="2" t="n"/>
      <c r="E363" s="2" t="n"/>
      <c r="F363" s="2" t="n"/>
      <c r="G363" s="2" t="n"/>
      <c r="H363" s="2" t="n"/>
      <c r="I363" s="2" t="n"/>
    </row>
    <row r="364">
      <c r="A364" s="2" t="n"/>
      <c r="B364" s="2" t="n"/>
      <c r="C364" s="2" t="n"/>
      <c r="D364" s="2" t="n"/>
      <c r="E364" s="2" t="n"/>
      <c r="F364" s="2" t="n"/>
      <c r="G364" s="2" t="n"/>
      <c r="H364" s="2" t="n"/>
      <c r="I364" s="2" t="n"/>
    </row>
    <row r="365" ht="39.7" customHeight="1">
      <c r="A365" s="5" t="inlineStr">
        <is>
          <t>LOCAL  17 - Bano   (PA)   -   altura 2.80 m</t>
        </is>
      </c>
      <c r="B365" s="2" t="n"/>
      <c r="C365" s="2" t="n"/>
      <c r="D365" s="2" t="n"/>
      <c r="E365" s="2" t="n"/>
      <c r="F365" s="2" t="n"/>
      <c r="G365" s="2" t="n"/>
      <c r="H365" s="2" t="n"/>
      <c r="I365" s="2" t="n"/>
    </row>
    <row r="366" ht="39.7" customHeight="1">
      <c r="A366" s="3" t="inlineStr">
        <is>
          <t>Nro</t>
        </is>
      </c>
      <c r="B366" s="3" t="inlineStr">
        <is>
          <t>DESCRIPCION</t>
        </is>
      </c>
      <c r="C366" s="3" t="inlineStr">
        <is>
          <t>DIMENSIONES (m)</t>
        </is>
      </c>
      <c r="D366" s="3" t="inlineStr">
        <is>
          <t>AREA (m2)</t>
        </is>
      </c>
      <c r="E366" s="3" t="inlineStr">
        <is>
          <t>FACTOR</t>
        </is>
      </c>
      <c r="F366" s="3" t="inlineStr">
        <is>
          <t>PERDIDA CALOR (Kcal/h)</t>
        </is>
      </c>
      <c r="G366" s="2" t="n"/>
      <c r="H366" s="2" t="n"/>
      <c r="I366" s="2" t="n"/>
    </row>
    <row r="367" ht="39.7" customHeight="1">
      <c r="A367" s="16" t="inlineStr">
        <is>
          <t>1</t>
        </is>
      </c>
      <c r="B367" s="33" t="inlineStr">
        <is>
          <t>VENTANA</t>
        </is>
      </c>
      <c r="C367" s="9" t="n"/>
      <c r="D367" s="9" t="n"/>
      <c r="E367" s="9" t="n"/>
      <c r="F367" s="9" t="n"/>
      <c r="G367" s="2" t="n"/>
      <c r="H367" s="2" t="n"/>
      <c r="I367" s="2" t="n"/>
    </row>
    <row r="368" ht="62" customHeight="1">
      <c r="A368" s="9" t="n"/>
      <c r="B368" s="34" t="inlineStr">
        <is>
          <t>VA03</t>
        </is>
      </c>
      <c r="C368" s="9">
        <f>IF(COUNT(H368,I368)&lt;2,"",TEXT(H368,"0.00")&amp;" x "&amp;TEXT(I368,"0.00"))</f>
        <v/>
      </c>
      <c r="D368" s="8">
        <f>IF(COUNT(H368,I368)&lt;2,"",ROUND(H368*I368,2))</f>
        <v/>
      </c>
      <c r="E368" s="25" t="n">
        <v>60</v>
      </c>
      <c r="F368" s="28">
        <f>IF(D368="","",ROUND(D368*E368,1))</f>
        <v/>
      </c>
      <c r="G368" s="2" t="n"/>
      <c r="H368" s="35" t="n">
        <v>0.75</v>
      </c>
      <c r="I368" s="35" t="n">
        <v>2.52</v>
      </c>
    </row>
    <row r="369" ht="39.7" customHeight="1">
      <c r="A369" s="16" t="inlineStr">
        <is>
          <t>2</t>
        </is>
      </c>
      <c r="B369" s="33" t="inlineStr">
        <is>
          <t>PAREDES EXTERIORES</t>
        </is>
      </c>
      <c r="C369" s="9" t="n"/>
      <c r="D369" s="9" t="n"/>
      <c r="E369" s="9" t="n"/>
      <c r="F369" s="9" t="n"/>
      <c r="G369" s="2" t="n"/>
      <c r="H369" s="2" t="n"/>
      <c r="I369" s="2" t="n"/>
    </row>
    <row r="370" ht="62" customHeight="1">
      <c r="A370" s="9" t="n"/>
      <c r="B370" s="34" t="inlineStr">
        <is>
          <t>AISLADAS ()</t>
        </is>
      </c>
      <c r="C370" s="9">
        <f>IF(COUNT(H370,I370)&lt;2,"",TEXT(H370,"0.00")&amp;" x "&amp;TEXT(I370,"0.00"))</f>
        <v/>
      </c>
      <c r="D370" s="8">
        <f>IF(COUNT(H370,I370)&lt;2,"",ROUND(H370*I370,2))</f>
        <v/>
      </c>
      <c r="E370" s="25" t="n">
        <v>20</v>
      </c>
      <c r="F370" s="28">
        <f>IF(D370="","",ROUND(D370*E370,1))</f>
        <v/>
      </c>
      <c r="G370" s="2" t="n"/>
      <c r="H370" s="35" t="n">
        <v>2.2</v>
      </c>
      <c r="I370" s="35" t="n">
        <v>2.8</v>
      </c>
    </row>
    <row r="371" ht="62" customHeight="1">
      <c r="A371" s="9" t="n"/>
      <c r="B371" s="34" t="inlineStr">
        <is>
          <t>AISLADAS ()</t>
        </is>
      </c>
      <c r="C371" s="9">
        <f>IF(COUNT(H371,I371)&lt;2,"",TEXT(H371,"0.00")&amp;" x "&amp;TEXT(I371,"0.00"))</f>
        <v/>
      </c>
      <c r="D371" s="8">
        <f>IF(COUNT(H371,I371)&lt;2,"",ROUND(H371*I371,2))</f>
        <v/>
      </c>
      <c r="E371" s="25" t="n">
        <v>20</v>
      </c>
      <c r="F371" s="28">
        <f>IF(D371="","",ROUND(D371*E371,1))</f>
        <v/>
      </c>
      <c r="G371" s="2" t="n"/>
      <c r="H371" s="35" t="n">
        <v>1.6</v>
      </c>
      <c r="I371" s="35" t="n">
        <v>2.8</v>
      </c>
    </row>
    <row r="372" ht="62" customHeight="1">
      <c r="A372" s="9" t="n"/>
      <c r="B372" s="34" t="inlineStr">
        <is>
          <t>INTERIORES (    )</t>
        </is>
      </c>
      <c r="C372" s="9">
        <f>IF(COUNT(H372,I372)&lt;2,"",TEXT(H372,"0.00")&amp;" x "&amp;TEXT(I372,"0.00"))</f>
        <v/>
      </c>
      <c r="D372" s="8">
        <f>IF(COUNT(H372,I372)&lt;2,"",ROUND(H372*I372,2))</f>
        <v/>
      </c>
      <c r="E372" s="25" t="n">
        <v>25</v>
      </c>
      <c r="F372" s="28">
        <f>IF(D372="","",ROUND(D372*E372,1))</f>
        <v/>
      </c>
      <c r="G372" s="2" t="n"/>
      <c r="H372" s="35" t="n">
        <v>2.2</v>
      </c>
      <c r="I372" s="35" t="n">
        <v>2.8</v>
      </c>
    </row>
    <row r="373" ht="62" customHeight="1">
      <c r="A373" s="9" t="n"/>
      <c r="B373" s="34" t="inlineStr">
        <is>
          <t>INTERIORES (    )</t>
        </is>
      </c>
      <c r="C373" s="9">
        <f>IF(COUNT(H373,I373)&lt;2,"",TEXT(H373,"0.00")&amp;" x "&amp;TEXT(I373,"0.00"))</f>
        <v/>
      </c>
      <c r="D373" s="8">
        <f>IF(COUNT(H373,I373)&lt;2,"",ROUND(H373*I373,2))</f>
        <v/>
      </c>
      <c r="E373" s="25" t="n">
        <v>25</v>
      </c>
      <c r="F373" s="28">
        <f>IF(D373="","",ROUND(D373*E373,1))</f>
        <v/>
      </c>
      <c r="G373" s="2" t="n"/>
      <c r="H373" s="35" t="n">
        <v>1.6</v>
      </c>
      <c r="I373" s="35" t="n">
        <v>2.8</v>
      </c>
    </row>
    <row r="374" ht="39.7" customHeight="1">
      <c r="A374" s="16" t="inlineStr">
        <is>
          <t>3</t>
        </is>
      </c>
      <c r="B374" s="33" t="inlineStr">
        <is>
          <t>TECHOS O CIELORRASOS</t>
        </is>
      </c>
      <c r="C374" s="9" t="n"/>
      <c r="D374" s="9" t="n"/>
      <c r="E374" s="9" t="n"/>
      <c r="F374" s="9" t="n"/>
      <c r="G374" s="2" t="n"/>
      <c r="H374" s="2" t="n"/>
      <c r="I374" s="2" t="n"/>
    </row>
    <row r="375" ht="62" customHeight="1">
      <c r="A375" s="9" t="n"/>
      <c r="B375" s="34" t="inlineStr">
        <is>
          <t>TECHO NO AISLADO</t>
        </is>
      </c>
      <c r="C375" s="9" t="inlineStr"/>
      <c r="D375" s="8">
        <f>IF(COUNT(H375,I375)&lt;2,"",ROUND(H375*I375,2))</f>
        <v/>
      </c>
      <c r="E375" s="25" t="n">
        <v>30</v>
      </c>
      <c r="F375" s="28">
        <f>IF(D375="","",ROUND(D375*E375,1))</f>
        <v/>
      </c>
      <c r="G375" s="2" t="n"/>
      <c r="H375" s="35" t="n"/>
      <c r="I375" s="35" t="n"/>
    </row>
    <row r="376" ht="39.7" customHeight="1">
      <c r="A376" s="9" t="n"/>
      <c r="B376" s="34" t="inlineStr">
        <is>
          <t>TECHO AISLADO</t>
        </is>
      </c>
      <c r="C376" s="9" t="inlineStr">
        <is>
          <t>por croquis</t>
        </is>
      </c>
      <c r="D376" s="8" t="n">
        <v>3.52</v>
      </c>
      <c r="E376" s="25" t="n">
        <v>20</v>
      </c>
      <c r="F376" s="28">
        <f>IF(D376="","",ROUND(D376*E376,1))</f>
        <v/>
      </c>
      <c r="G376" s="2" t="n"/>
      <c r="H376" s="35" t="n"/>
      <c r="I376" s="35" t="n"/>
    </row>
    <row r="377" ht="62" customHeight="1">
      <c r="A377" s="9" t="n"/>
      <c r="B377" s="34" t="inlineStr">
        <is>
          <t>TECHO ENTREPISO</t>
        </is>
      </c>
      <c r="C377" s="9" t="inlineStr"/>
      <c r="D377" s="8">
        <f>IF(COUNT(H377,I377)&lt;2,"",ROUND(H377*I377,2))</f>
        <v/>
      </c>
      <c r="E377" s="25" t="n">
        <v>15</v>
      </c>
      <c r="F377" s="28">
        <f>IF(D377="","",ROUND(D377*E377,1))</f>
        <v/>
      </c>
      <c r="G377" s="2" t="n"/>
      <c r="H377" s="35" t="n"/>
      <c r="I377" s="35" t="n"/>
    </row>
    <row r="378" ht="39.7" customHeight="1">
      <c r="A378" s="16" t="inlineStr">
        <is>
          <t>4</t>
        </is>
      </c>
      <c r="B378" s="33" t="inlineStr">
        <is>
          <t>PISO</t>
        </is>
      </c>
      <c r="C378" s="9" t="n"/>
      <c r="D378" s="9" t="n"/>
      <c r="E378" s="9" t="n"/>
      <c r="F378" s="9" t="n"/>
      <c r="G378" s="2" t="n"/>
      <c r="H378" s="2" t="n"/>
      <c r="I378" s="2" t="n"/>
    </row>
    <row r="379" ht="62" customHeight="1">
      <c r="A379" s="9" t="n"/>
      <c r="B379" s="34" t="inlineStr">
        <is>
          <t>SOBRE TIERRA</t>
        </is>
      </c>
      <c r="C379" s="9" t="inlineStr"/>
      <c r="D379" s="8">
        <f>IF(COUNT(H379,I379)&lt;2,"",ROUND(H379*I379,2))</f>
        <v/>
      </c>
      <c r="E379" s="25" t="n">
        <v>10</v>
      </c>
      <c r="F379" s="28">
        <f>IF(D379="","",ROUND(D379*E379,1))</f>
        <v/>
      </c>
      <c r="G379" s="2" t="n"/>
      <c r="H379" s="35" t="n"/>
      <c r="I379" s="35" t="n"/>
    </row>
    <row r="380" ht="39.7" customHeight="1">
      <c r="A380" s="9" t="n"/>
      <c r="B380" s="34" t="inlineStr">
        <is>
          <t>SOBRE LOCAL OCUPADO</t>
        </is>
      </c>
      <c r="C380" s="9" t="inlineStr">
        <is>
          <t>por croquis</t>
        </is>
      </c>
      <c r="D380" s="8" t="n">
        <v>3.52</v>
      </c>
      <c r="E380" s="25" t="n">
        <v>15</v>
      </c>
      <c r="F380" s="28">
        <f>IF(D380="","",ROUND(D380*E380,1))</f>
        <v/>
      </c>
      <c r="G380" s="2" t="n"/>
      <c r="H380" s="35" t="n"/>
      <c r="I380" s="35" t="n"/>
    </row>
    <row r="381" ht="39.7" customHeight="1">
      <c r="A381" s="16" t="inlineStr">
        <is>
          <t>5</t>
        </is>
      </c>
      <c r="B381" s="33" t="inlineStr">
        <is>
          <t>INFILTRACION</t>
        </is>
      </c>
      <c r="C381" s="9" t="n"/>
      <c r="D381" s="16" t="inlineStr">
        <is>
          <t>VOLUMEN (m3)</t>
        </is>
      </c>
      <c r="E381" s="9" t="n"/>
      <c r="F381" s="9" t="n"/>
      <c r="G381" s="2" t="n"/>
      <c r="H381" s="2" t="n"/>
      <c r="I381" s="2" t="n"/>
    </row>
    <row r="382" ht="62" customHeight="1">
      <c r="A382" s="9" t="n"/>
      <c r="B382" s="34" t="inlineStr">
        <is>
          <t>UNA PARED EXTERIOR</t>
        </is>
      </c>
      <c r="C382" s="9" t="inlineStr"/>
      <c r="D382" s="8">
        <f>IF(COUNT(H382,I382)&lt;2,"",ROUND(H382*I382,2))</f>
        <v/>
      </c>
      <c r="E382" s="25" t="n">
        <v>6</v>
      </c>
      <c r="F382" s="28">
        <f>IF(D382="","",ROUND(D382*E382,1))</f>
        <v/>
      </c>
      <c r="G382" s="2" t="n"/>
      <c r="H382" s="35" t="n"/>
      <c r="I382" s="35" t="n"/>
    </row>
    <row r="383" ht="39.7" customHeight="1">
      <c r="A383" s="9" t="n"/>
      <c r="B383" s="34" t="inlineStr">
        <is>
          <t>DOS PAREDES EXTERIORES</t>
        </is>
      </c>
      <c r="C383" s="9" t="inlineStr">
        <is>
          <t>3.52 m2 x 2.80</t>
        </is>
      </c>
      <c r="D383" s="8" t="n">
        <v>9.859999999999999</v>
      </c>
      <c r="E383" s="25" t="n">
        <v>9</v>
      </c>
      <c r="F383" s="28">
        <f>IF(D383="","",ROUND(D383*E383,1))</f>
        <v/>
      </c>
      <c r="G383" s="2" t="n"/>
      <c r="H383" s="35" t="n"/>
      <c r="I383" s="35" t="n"/>
    </row>
    <row r="384" ht="62" customHeight="1">
      <c r="A384" s="9" t="n"/>
      <c r="B384" s="34" t="inlineStr">
        <is>
          <t>TRES O MAS PAREDES EXTERIORES</t>
        </is>
      </c>
      <c r="C384" s="9" t="inlineStr"/>
      <c r="D384" s="8">
        <f>IF(COUNT(H384,I384)&lt;2,"",ROUND(H384*I384,2))</f>
        <v/>
      </c>
      <c r="E384" s="25" t="n">
        <v>12</v>
      </c>
      <c r="F384" s="28">
        <f>IF(D384="","",ROUND(D384*E384,1))</f>
        <v/>
      </c>
      <c r="G384" s="2" t="n"/>
      <c r="H384" s="35" t="n"/>
      <c r="I384" s="35" t="n"/>
    </row>
    <row r="385" ht="70" customHeight="1">
      <c r="A385" s="16" t="inlineStr">
        <is>
          <t>6</t>
        </is>
      </c>
      <c r="B385" s="33" t="inlineStr">
        <is>
          <t>SUBTOTAL</t>
        </is>
      </c>
      <c r="C385" s="9" t="n"/>
      <c r="D385" s="9" t="n"/>
      <c r="E385" s="9" t="n"/>
      <c r="F385" s="36">
        <f>IF(F368="",0,F368)+IF(F370="",0,F370)+IF(F371="",0,F371)+IF(F372="",0,F372)+IF(F373="",0,F373)+IF(F375="",0,F375)+IF(F376="",0,F376)+IF(F377="",0,F377)+IF(F379="",0,F379)+IF(F380="",0,F380)+IF(F382="",0,F382)+IF(F383="",0,F383)+IF(F384="",0,F384)</f>
        <v/>
      </c>
      <c r="G385" s="2" t="n"/>
      <c r="H385" s="2" t="n"/>
      <c r="I385" s="2" t="n"/>
    </row>
    <row r="386" ht="47" customHeight="1">
      <c r="A386" s="16" t="inlineStr">
        <is>
          <t>7</t>
        </is>
      </c>
      <c r="B386" s="33" t="inlineStr">
        <is>
          <t>PERDIDA TOTAL</t>
        </is>
      </c>
      <c r="C386" s="9">
        <f>TEXT(F385,"0.00")&amp;"  X  "&amp;Datos_balance!$B$4&amp;" (FI)  X  "&amp;Datos_balance!$B$5&amp;" (FO)  X  "&amp;Datos_balance!$B$6&amp;" (FZ)"</f>
        <v/>
      </c>
      <c r="D386" s="2" t="n"/>
      <c r="E386" s="2" t="n"/>
      <c r="F386" s="36">
        <f>ROUND(F385*Datos_balance!$B$4*Datos_balance!$B$5*Datos_balance!$B$6,1)</f>
        <v/>
      </c>
      <c r="G386" s="2" t="n"/>
      <c r="H386" s="2" t="n"/>
      <c r="I386" s="2" t="n"/>
    </row>
    <row r="387" ht="39.7" customHeight="1">
      <c r="A387" s="9" t="n"/>
      <c r="B387" s="10" t="inlineStr">
        <is>
          <t>Carga de locales sin emisor</t>
        </is>
      </c>
      <c r="C387" s="9" t="n"/>
      <c r="D387" s="2" t="n"/>
      <c r="E387" s="2" t="n"/>
      <c r="F387" s="28" t="n"/>
      <c r="G387" s="2" t="n"/>
      <c r="H387" s="2" t="n"/>
      <c r="I387" s="2" t="n"/>
    </row>
    <row r="388" ht="39.7" customHeight="1">
      <c r="A388" s="9" t="n"/>
      <c r="B388" s="33" t="inlineStr">
        <is>
          <t>CARGA TOTAL A CUBRIR</t>
        </is>
      </c>
      <c r="C388" s="9" t="n"/>
      <c r="D388" s="2" t="n"/>
      <c r="E388" s="2" t="n"/>
      <c r="F388" s="36">
        <f>F386+IF(F387="",0,F387)</f>
        <v/>
      </c>
      <c r="G388" s="2" t="n"/>
      <c r="H388" s="2" t="n"/>
      <c r="I388" s="2" t="n"/>
    </row>
    <row r="389">
      <c r="A389" s="2" t="n"/>
      <c r="B389" s="2" t="n"/>
      <c r="C389" s="2" t="n"/>
      <c r="D389" s="2" t="n"/>
      <c r="E389" s="2" t="n"/>
      <c r="F389" s="2" t="n"/>
      <c r="G389" s="2" t="n"/>
      <c r="H389" s="2" t="n"/>
      <c r="I389" s="2" t="n"/>
    </row>
    <row r="390" ht="62" customHeight="1">
      <c r="A390" s="9" t="n"/>
      <c r="B390" s="10" t="inlineStr">
        <is>
          <t>Salto termico:  dt = (te+ts)/2 - ti</t>
        </is>
      </c>
      <c r="C390" s="9">
        <f>TEXT((Datos_balance!$B$9+Datos_balance!$B$10)/2,"0")&amp;" - "&amp;TEXT(Datos_balance!$B$11,"0")&amp;" = "&amp;TEXT((Datos_balance!$B$9+Datos_balance!$B$10)/2-Datos_balance!$B$11,"0")&amp;" C"</f>
        <v/>
      </c>
      <c r="D390" s="2" t="n"/>
      <c r="E390" s="2" t="n"/>
      <c r="F390" s="9" t="n"/>
      <c r="G390" s="2" t="n"/>
      <c r="H390" s="2" t="n"/>
      <c r="I390" s="2" t="n"/>
    </row>
    <row r="391" ht="39.7" customHeight="1">
      <c r="A391" s="9" t="n"/>
      <c r="B391" s="10" t="inlineStr">
        <is>
          <t>Kcal/h del toallero Scala/Domino 80</t>
        </is>
      </c>
      <c r="C391" s="25">
        <f>ROUND(Datos_balance!$B$18*Datos_balance!$B$15,0)</f>
        <v/>
      </c>
      <c r="D391" s="2" t="n"/>
      <c r="E391" s="2" t="n"/>
      <c r="F391" s="9" t="n"/>
      <c r="G391" s="2" t="n"/>
      <c r="H391" s="2" t="n"/>
      <c r="I391" s="2" t="n"/>
    </row>
    <row r="392" ht="39.7" customHeight="1">
      <c r="A392" s="9" t="n"/>
      <c r="B392" s="10" t="inlineStr">
        <is>
          <t>Kcal/h del toallero Scala/Domino 150</t>
        </is>
      </c>
      <c r="C392" s="25">
        <f>ROUND(Datos_balance!$B$19*Datos_balance!$B$15,0)</f>
        <v/>
      </c>
      <c r="D392" s="2" t="n"/>
      <c r="E392" s="2" t="n"/>
      <c r="F392" s="9" t="n"/>
      <c r="G392" s="2" t="n"/>
      <c r="H392" s="2" t="n"/>
      <c r="I392" s="2" t="n"/>
    </row>
    <row r="393" ht="47" customHeight="1">
      <c r="A393" s="9" t="n"/>
      <c r="B393" s="10" t="inlineStr">
        <is>
          <t>Toalleros necesarios</t>
        </is>
      </c>
      <c r="C393" s="25">
        <f>IF(F388&lt;=Datos_balance!$B$18*Datos_balance!$B$15,1,ROUNDUP(F388/(Datos_balance!$B$19*Datos_balance!$B$15),0))</f>
        <v/>
      </c>
      <c r="D393" s="2" t="n"/>
      <c r="E393" s="2" t="n"/>
      <c r="F393" s="9" t="n"/>
      <c r="G393" s="2" t="n"/>
      <c r="H393" s="2" t="n"/>
      <c r="I393" s="2" t="n"/>
    </row>
    <row r="394" ht="47" customHeight="1">
      <c r="A394" s="13" t="n"/>
      <c r="B394" s="14" t="inlineStr">
        <is>
          <t>Toallero adoptado</t>
        </is>
      </c>
      <c r="C394" s="13">
        <f>IF(F388&lt;=Datos_balance!$B$18*Datos_balance!$B$15,"Peisa Scala / Domino 80  (500 x 800 mm)","Peisa Scala / Domino 150  (500 x 1500 mm)")</f>
        <v/>
      </c>
      <c r="D394" s="20" t="n"/>
      <c r="E394" s="20" t="n"/>
      <c r="F394" s="13" t="n"/>
      <c r="G394" s="2" t="n"/>
      <c r="H394" s="2" t="n"/>
      <c r="I394" s="2" t="n"/>
    </row>
  </sheetData>
  <mergeCells count="101">
    <mergeCell ref="C193:E193"/>
    <mergeCell ref="C321:E321"/>
    <mergeCell ref="C255:E255"/>
    <mergeCell ref="C31:E31"/>
    <mergeCell ref="C329:E329"/>
    <mergeCell ref="C129:E129"/>
    <mergeCell ref="A3:F3"/>
    <mergeCell ref="C192:E192"/>
    <mergeCell ref="C95:E95"/>
    <mergeCell ref="C194:E194"/>
    <mergeCell ref="C228:E228"/>
    <mergeCell ref="C360:E360"/>
    <mergeCell ref="C362:E362"/>
    <mergeCell ref="A72:F72"/>
    <mergeCell ref="A38:F38"/>
    <mergeCell ref="A265:F265"/>
    <mergeCell ref="C292:E292"/>
    <mergeCell ref="A332:F332"/>
    <mergeCell ref="C355:E355"/>
    <mergeCell ref="C293:E293"/>
    <mergeCell ref="C391:E391"/>
    <mergeCell ref="C229:E229"/>
    <mergeCell ref="C34:E34"/>
    <mergeCell ref="C126:E126"/>
    <mergeCell ref="C325:E325"/>
    <mergeCell ref="C196:E196"/>
    <mergeCell ref="C256:E256"/>
    <mergeCell ref="C94:E94"/>
    <mergeCell ref="C133:E133"/>
    <mergeCell ref="C127:E127"/>
    <mergeCell ref="C356:E356"/>
    <mergeCell ref="C130:E130"/>
    <mergeCell ref="C295:E295"/>
    <mergeCell ref="C61:E61"/>
    <mergeCell ref="C359:E359"/>
    <mergeCell ref="C159:E159"/>
    <mergeCell ref="C32:E32"/>
    <mergeCell ref="C125:E125"/>
    <mergeCell ref="C296:E296"/>
    <mergeCell ref="A199:F199"/>
    <mergeCell ref="C131:E131"/>
    <mergeCell ref="C258:E258"/>
    <mergeCell ref="C323:E323"/>
    <mergeCell ref="A232:F232"/>
    <mergeCell ref="C390:E390"/>
    <mergeCell ref="C195:E195"/>
    <mergeCell ref="C322:E322"/>
    <mergeCell ref="C33:E33"/>
    <mergeCell ref="C260:E260"/>
    <mergeCell ref="C259:E259"/>
    <mergeCell ref="C35:E35"/>
    <mergeCell ref="C63:E63"/>
    <mergeCell ref="C221:E221"/>
    <mergeCell ref="C392:E392"/>
    <mergeCell ref="C261:E261"/>
    <mergeCell ref="A136:F136"/>
    <mergeCell ref="C223:E223"/>
    <mergeCell ref="C394:E394"/>
    <mergeCell ref="C328:E328"/>
    <mergeCell ref="C262:E262"/>
    <mergeCell ref="A100:F100"/>
    <mergeCell ref="C158:E158"/>
    <mergeCell ref="C67:E67"/>
    <mergeCell ref="A165:F165"/>
    <mergeCell ref="C289:E289"/>
    <mergeCell ref="C190:E190"/>
    <mergeCell ref="A299:F299"/>
    <mergeCell ref="C28:E28"/>
    <mergeCell ref="C326:E326"/>
    <mergeCell ref="C69:E69"/>
    <mergeCell ref="C254:E254"/>
    <mergeCell ref="C354:E354"/>
    <mergeCell ref="C62:E62"/>
    <mergeCell ref="C387:E387"/>
    <mergeCell ref="C225:E225"/>
    <mergeCell ref="A1:F1"/>
    <mergeCell ref="C393:E393"/>
    <mergeCell ref="C162:E162"/>
    <mergeCell ref="C227:E227"/>
    <mergeCell ref="C93:E93"/>
    <mergeCell ref="C226:E226"/>
    <mergeCell ref="A365:F365"/>
    <mergeCell ref="C388:E388"/>
    <mergeCell ref="C188:E188"/>
    <mergeCell ref="C222:E222"/>
    <mergeCell ref="C27:E27"/>
    <mergeCell ref="C132:E132"/>
    <mergeCell ref="C361:E361"/>
    <mergeCell ref="C327:E327"/>
    <mergeCell ref="C358:E358"/>
    <mergeCell ref="C66:E66"/>
    <mergeCell ref="C189:E189"/>
    <mergeCell ref="C68:E68"/>
    <mergeCell ref="C160:E160"/>
    <mergeCell ref="C288:E288"/>
    <mergeCell ref="C294:E294"/>
    <mergeCell ref="C386:E386"/>
    <mergeCell ref="C97:E97"/>
    <mergeCell ref="C290:E290"/>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general. En los locales con cielorraso suspendido de yeso (vestidor, suite, bano suite, bano visitas, los dos dormitorios de PA y el bano de PA) la altura libre es 2,80 m, dato del autor del proyecto.</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2026-10-26T20:21:23Z</dcterms:created>
  <dcterms:modified xmlns:dcterms="http://purl.org/dc/terms/" xmlns:xsi="http://www.w3.org/2001/XMLSchema-instance" xsi:type="dcterms:W3CDTF">2026-10-26T20:21:25Z</dcterms:modified>
</cp:coreProperties>
</file>