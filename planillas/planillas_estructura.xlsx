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termico'!$A$1:$F$416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1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c r="A28" s="2" t="n"/>
      <c r="B28" s="2" t="n"/>
      <c r="C28" s="2" t="n"/>
      <c r="D28" s="2" t="n"/>
      <c r="E28" s="2" t="n"/>
      <c r="F28" s="2" t="n"/>
      <c r="G28" s="2" t="n"/>
      <c r="H28" s="2" t="n"/>
      <c r="I28" s="2" t="n"/>
    </row>
    <row r="29" ht="62" customHeight="1">
      <c r="A29" s="9" t="n"/>
      <c r="B29" s="10" t="inlineStr">
        <is>
          <t>Salto termico:  dt = (te+ts)/2 - ti</t>
        </is>
      </c>
      <c r="C29" s="9">
        <f>TEXT((Datos_balance!$B$9+Datos_balance!$B$10)/2,"0")&amp;" - "&amp;TEXT(Datos_balance!$B$11,"0")&amp;" = "&amp;TEXT((Datos_balance!$B$9+Datos_balance!$B$10)/2-Datos_balance!$B$11,"0")&amp;" C"</f>
        <v/>
      </c>
      <c r="D29" s="2" t="n"/>
      <c r="E29" s="2" t="n"/>
      <c r="F29" s="9" t="n"/>
      <c r="G29" s="2" t="n"/>
      <c r="H29" s="2" t="n"/>
      <c r="I29" s="2" t="n"/>
    </row>
    <row r="30" ht="39.7" customHeight="1">
      <c r="A30" s="9" t="n"/>
      <c r="B30" s="10" t="inlineStr">
        <is>
          <t>Kcal/h por elemento</t>
        </is>
      </c>
      <c r="C30" s="8">
        <f>ROUND(Datos_balance!$B$14*Datos_balance!$B$15,2)</f>
        <v/>
      </c>
      <c r="D30" s="2" t="n"/>
      <c r="E30" s="2" t="n"/>
      <c r="F30" s="9" t="n"/>
      <c r="G30" s="2" t="n"/>
      <c r="H30" s="2" t="n"/>
      <c r="I30" s="2" t="n"/>
    </row>
    <row r="31" ht="39.7" customHeight="1">
      <c r="A31" s="9" t="n"/>
      <c r="B31" s="10" t="inlineStr">
        <is>
          <t>Elementos necesarios</t>
        </is>
      </c>
      <c r="C31" s="25">
        <f>ROUNDUP(F27/(Datos_balance!$B$14*Datos_balance!$B$15),0)</f>
        <v/>
      </c>
      <c r="D31" s="2" t="n"/>
      <c r="E31" s="2" t="n"/>
      <c r="F31" s="9" t="n"/>
      <c r="G31" s="2" t="n"/>
      <c r="H31" s="2" t="n"/>
      <c r="I31" s="2" t="n"/>
    </row>
    <row r="32" ht="39.7" customHeight="1">
      <c r="A32" s="9" t="n"/>
      <c r="B32" s="10" t="inlineStr">
        <is>
          <t>Ancho del radiador (cm)</t>
        </is>
      </c>
      <c r="C32" s="25">
        <f>ROUNDUP(F27/(Datos_balance!$B$14*Datos_balance!$B$15),0)*Datos_balance!$B$16</f>
        <v/>
      </c>
      <c r="D32" s="2" t="n"/>
      <c r="E32" s="2" t="n"/>
      <c r="F32" s="9" t="n"/>
      <c r="G32" s="2" t="n"/>
      <c r="H32" s="2" t="n"/>
      <c r="I32" s="2" t="n"/>
    </row>
    <row r="33" ht="39.7" customHeight="1">
      <c r="A33" s="13" t="n"/>
      <c r="B33" s="14" t="inlineStr">
        <is>
          <t>Radiador adoptado</t>
        </is>
      </c>
      <c r="C33" s="13">
        <f>Datos_balance!$B$13</f>
        <v/>
      </c>
      <c r="D33" s="20" t="n"/>
      <c r="E33" s="20" t="n"/>
      <c r="F33" s="13" t="n"/>
      <c r="G33" s="2" t="n"/>
      <c r="H33" s="2" t="n"/>
      <c r="I33" s="2" t="n"/>
    </row>
    <row r="34">
      <c r="A34" s="2" t="n"/>
      <c r="B34" s="2" t="n"/>
      <c r="C34" s="2" t="n"/>
      <c r="D34" s="2" t="n"/>
      <c r="E34" s="2" t="n"/>
      <c r="F34" s="2" t="n"/>
      <c r="G34" s="2" t="n"/>
      <c r="H34" s="2" t="n"/>
      <c r="I34" s="2" t="n"/>
    </row>
    <row r="35">
      <c r="A35" s="2" t="n"/>
      <c r="B35" s="2" t="n"/>
      <c r="C35" s="2" t="n"/>
      <c r="D35" s="2" t="n"/>
      <c r="E35" s="2" t="n"/>
      <c r="F35" s="2" t="n"/>
      <c r="G35" s="2" t="n"/>
      <c r="H35" s="2" t="n"/>
      <c r="I35" s="2" t="n"/>
    </row>
    <row r="36" ht="39.7" customHeight="1">
      <c r="A36" s="5" t="inlineStr">
        <is>
          <t>LOCAL  06 - Living / comedor   (PB)</t>
        </is>
      </c>
      <c r="B36" s="2" t="n"/>
      <c r="C36" s="2" t="n"/>
      <c r="D36" s="2" t="n"/>
      <c r="E36" s="2" t="n"/>
      <c r="F36" s="2" t="n"/>
      <c r="G36" s="2" t="n"/>
      <c r="H36" s="2" t="n"/>
      <c r="I36" s="2" t="n"/>
    </row>
    <row r="37" ht="39.7" customHeight="1">
      <c r="A37" s="3" t="inlineStr">
        <is>
          <t>Nro</t>
        </is>
      </c>
      <c r="B37" s="3" t="inlineStr">
        <is>
          <t>DESCRIPCION</t>
        </is>
      </c>
      <c r="C37" s="3" t="inlineStr">
        <is>
          <t>DIMENSIONES (m)</t>
        </is>
      </c>
      <c r="D37" s="3" t="inlineStr">
        <is>
          <t>AREA (m2)</t>
        </is>
      </c>
      <c r="E37" s="3" t="inlineStr">
        <is>
          <t>FACTOR</t>
        </is>
      </c>
      <c r="F37" s="3" t="inlineStr">
        <is>
          <t>PERDIDA CALOR (Kcal/h)</t>
        </is>
      </c>
      <c r="G37" s="2" t="n"/>
      <c r="H37" s="2" t="n"/>
      <c r="I37" s="2" t="n"/>
    </row>
    <row r="38" ht="39.7" customHeight="1">
      <c r="A38" s="16" t="inlineStr">
        <is>
          <t>1</t>
        </is>
      </c>
      <c r="B38" s="33" t="inlineStr">
        <is>
          <t>VENTANA</t>
        </is>
      </c>
      <c r="C38" s="9" t="n"/>
      <c r="D38" s="9" t="n"/>
      <c r="E38" s="9" t="n"/>
      <c r="F38" s="9" t="n"/>
      <c r="G38" s="2" t="n"/>
      <c r="H38" s="2" t="n"/>
      <c r="I38" s="2" t="n"/>
    </row>
    <row r="39" ht="47" customHeight="1">
      <c r="A39" s="9" t="n"/>
      <c r="B39" s="34" t="inlineStr">
        <is>
          <t>PF02</t>
        </is>
      </c>
      <c r="C39" s="9">
        <f>IF(COUNT(H39,I39)&lt;2,"",TEXT(H39,"0.00")&amp;" x "&amp;TEXT(I39,"0.00"))</f>
        <v/>
      </c>
      <c r="D39" s="8">
        <f>IF(COUNT(H39,I39)&lt;2,"",ROUND(H39*I39,2))</f>
        <v/>
      </c>
      <c r="E39" s="25" t="n">
        <v>60</v>
      </c>
      <c r="F39" s="28">
        <f>IF(D39="","",ROUND(D39*E39,1))</f>
        <v/>
      </c>
      <c r="G39" s="2" t="n"/>
      <c r="H39" s="35" t="n">
        <v>3.75</v>
      </c>
      <c r="I39" s="35" t="n">
        <v>3</v>
      </c>
    </row>
    <row r="40" ht="47" customHeight="1">
      <c r="A40" s="9" t="n"/>
      <c r="B40" s="34" t="inlineStr">
        <is>
          <t>PV01</t>
        </is>
      </c>
      <c r="C40" s="9">
        <f>IF(COUNT(H40,I40)&lt;2,"",TEXT(H40,"0.00")&amp;" x "&amp;TEXT(I40,"0.00"))</f>
        <v/>
      </c>
      <c r="D40" s="8">
        <f>IF(COUNT(H40,I40)&lt;2,"",ROUND(H40*I40,2))</f>
        <v/>
      </c>
      <c r="E40" s="25" t="n">
        <v>60</v>
      </c>
      <c r="F40" s="28">
        <f>IF(D40="","",ROUND(D40*E40,1))</f>
        <v/>
      </c>
      <c r="G40" s="2" t="n"/>
      <c r="H40" s="35" t="n">
        <v>7.7</v>
      </c>
      <c r="I40" s="35" t="n">
        <v>3</v>
      </c>
    </row>
    <row r="41" ht="39.7" customHeight="1">
      <c r="A41" s="16" t="inlineStr">
        <is>
          <t>2</t>
        </is>
      </c>
      <c r="B41" s="33" t="inlineStr">
        <is>
          <t>PAREDES EXTERIORES</t>
        </is>
      </c>
      <c r="C41" s="9" t="n"/>
      <c r="D41" s="9" t="n"/>
      <c r="E41" s="9" t="n"/>
      <c r="F41" s="9" t="n"/>
      <c r="G41" s="2" t="n"/>
      <c r="H41" s="2" t="n"/>
      <c r="I41" s="2" t="n"/>
    </row>
    <row r="42" ht="47" customHeight="1">
      <c r="A42" s="9" t="n"/>
      <c r="B42" s="34" t="inlineStr">
        <is>
          <t>AISLADAS (    )</t>
        </is>
      </c>
      <c r="C42" s="9">
        <f>IF(COUNT(H42,I42)&lt;2,"",TEXT(H42,"0.00")&amp;" x "&amp;TEXT(I42,"0.00"))</f>
        <v/>
      </c>
      <c r="D42" s="8">
        <f>IF(COUNT(H42,I42)&lt;2,"",ROUND(H42*I42,2))</f>
        <v/>
      </c>
      <c r="E42" s="25" t="n">
        <v>20</v>
      </c>
      <c r="F42" s="28">
        <f>IF(D42="","",ROUND(D42*E42,1))</f>
        <v/>
      </c>
      <c r="G42" s="2" t="n"/>
      <c r="H42" s="35" t="n"/>
      <c r="I42" s="35" t="n"/>
    </row>
    <row r="43" ht="47" customHeight="1">
      <c r="A43" s="9" t="n"/>
      <c r="B43" s="34" t="inlineStr">
        <is>
          <t>AISLADAS (    )</t>
        </is>
      </c>
      <c r="C43" s="9">
        <f>IF(COUNT(H43,I43)&lt;2,"",TEXT(H43,"0.00")&amp;" x "&amp;TEXT(I43,"0.00"))</f>
        <v/>
      </c>
      <c r="D43" s="8">
        <f>IF(COUNT(H43,I43)&lt;2,"",ROUND(H43*I43,2))</f>
        <v/>
      </c>
      <c r="E43" s="25" t="n">
        <v>20</v>
      </c>
      <c r="F43" s="28">
        <f>IF(D43="","",ROUND(D43*E43,1))</f>
        <v/>
      </c>
      <c r="G43" s="2" t="n"/>
      <c r="H43" s="35" t="n"/>
      <c r="I43" s="35" t="n"/>
    </row>
    <row r="44" ht="47" customHeight="1">
      <c r="A44" s="9" t="n"/>
      <c r="B44" s="34" t="inlineStr">
        <is>
          <t>AISLADAS (    )</t>
        </is>
      </c>
      <c r="C44" s="9">
        <f>IF(COUNT(H44,I44)&lt;2,"",TEXT(H44,"0.00")&amp;" x "&amp;TEXT(I44,"0.00"))</f>
        <v/>
      </c>
      <c r="D44" s="8">
        <f>IF(COUNT(H44,I44)&lt;2,"",ROUND(H44*I44,2))</f>
        <v/>
      </c>
      <c r="E44" s="25" t="n">
        <v>20</v>
      </c>
      <c r="F44" s="28">
        <f>IF(D44="","",ROUND(D44*E44,1))</f>
        <v/>
      </c>
      <c r="G44" s="2" t="n"/>
      <c r="H44" s="35" t="n"/>
      <c r="I44" s="35" t="n"/>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8.4</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4</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8.4</v>
      </c>
      <c r="I48" s="35" t="n">
        <v>3</v>
      </c>
    </row>
    <row r="49" ht="47" customHeight="1">
      <c r="A49" s="9" t="n"/>
      <c r="B49" s="34" t="inlineStr">
        <is>
          <t>INTERIORES (    )</t>
        </is>
      </c>
      <c r="C49" s="9">
        <f>IF(COUNT(H49,I49)&lt;2,"",TEXT(H49,"0.00")&amp;" x "&amp;TEXT(I49,"0.00"))</f>
        <v/>
      </c>
      <c r="D49" s="8">
        <f>IF(COUNT(H49,I49)&lt;2,"",ROUND(H49*I49,2))</f>
        <v/>
      </c>
      <c r="E49" s="25" t="n">
        <v>25</v>
      </c>
      <c r="F49" s="28">
        <f>IF(D49="","",ROUND(D49*E49,1))</f>
        <v/>
      </c>
      <c r="G49" s="2" t="n"/>
      <c r="H49" s="35" t="n">
        <v>4</v>
      </c>
      <c r="I49" s="35" t="n">
        <v>3</v>
      </c>
    </row>
    <row r="50" ht="39.7" customHeight="1">
      <c r="A50" s="16" t="inlineStr">
        <is>
          <t>3</t>
        </is>
      </c>
      <c r="B50" s="33" t="inlineStr">
        <is>
          <t>TECHOS O CIELORRASOS</t>
        </is>
      </c>
      <c r="C50" s="9" t="n"/>
      <c r="D50" s="9" t="n"/>
      <c r="E50" s="9" t="n"/>
      <c r="F50" s="9" t="n"/>
      <c r="G50" s="2" t="n"/>
      <c r="H50" s="2" t="n"/>
      <c r="I50" s="2" t="n"/>
    </row>
    <row r="51" ht="47" customHeight="1">
      <c r="A51" s="9" t="n"/>
      <c r="B51" s="34" t="inlineStr">
        <is>
          <t>TECHO NO AISLADO</t>
        </is>
      </c>
      <c r="C51" s="9" t="inlineStr"/>
      <c r="D51" s="8">
        <f>IF(COUNT(H51,I51)&lt;2,"",ROUND(H51*I51,2))</f>
        <v/>
      </c>
      <c r="E51" s="25" t="n">
        <v>30</v>
      </c>
      <c r="F51" s="28">
        <f>IF(D51="","",ROUND(D51*E51,1))</f>
        <v/>
      </c>
      <c r="G51" s="2" t="n"/>
      <c r="H51" s="35" t="n"/>
      <c r="I51" s="35" t="n"/>
    </row>
    <row r="52" ht="47" customHeight="1">
      <c r="A52" s="9" t="n"/>
      <c r="B52" s="34" t="inlineStr">
        <is>
          <t>TECHO AISLADO</t>
        </is>
      </c>
      <c r="C52" s="9" t="inlineStr"/>
      <c r="D52" s="8">
        <f>IF(COUNT(H52,I52)&lt;2,"",ROUND(H52*I52,2))</f>
        <v/>
      </c>
      <c r="E52" s="25" t="n">
        <v>20</v>
      </c>
      <c r="F52" s="28">
        <f>IF(D52="","",ROUND(D52*E52,1))</f>
        <v/>
      </c>
      <c r="G52" s="2" t="n"/>
      <c r="H52" s="35" t="n"/>
      <c r="I52" s="35" t="n"/>
    </row>
    <row r="53" ht="39.7" customHeight="1">
      <c r="A53" s="9" t="n"/>
      <c r="B53" s="34" t="inlineStr">
        <is>
          <t>TECHO ENTREPISO</t>
        </is>
      </c>
      <c r="C53" s="9" t="inlineStr">
        <is>
          <t>por croquis</t>
        </is>
      </c>
      <c r="D53" s="8" t="n">
        <v>33.6</v>
      </c>
      <c r="E53" s="25" t="n">
        <v>15</v>
      </c>
      <c r="F53" s="28">
        <f>IF(D53="","",ROUND(D53*E53,1))</f>
        <v/>
      </c>
      <c r="G53" s="2" t="n"/>
      <c r="H53" s="35" t="n"/>
      <c r="I53" s="35" t="n"/>
    </row>
    <row r="54" ht="39.7" customHeight="1">
      <c r="A54" s="16" t="inlineStr">
        <is>
          <t>4</t>
        </is>
      </c>
      <c r="B54" s="33" t="inlineStr">
        <is>
          <t>PISO</t>
        </is>
      </c>
      <c r="C54" s="9" t="n"/>
      <c r="D54" s="9" t="n"/>
      <c r="E54" s="9" t="n"/>
      <c r="F54" s="9" t="n"/>
      <c r="G54" s="2" t="n"/>
      <c r="H54" s="2" t="n"/>
      <c r="I54" s="2" t="n"/>
    </row>
    <row r="55" ht="39.7" customHeight="1">
      <c r="A55" s="9" t="n"/>
      <c r="B55" s="34" t="inlineStr">
        <is>
          <t>SOBRE TIERRA</t>
        </is>
      </c>
      <c r="C55" s="9" t="inlineStr">
        <is>
          <t>por croquis</t>
        </is>
      </c>
      <c r="D55" s="8" t="n">
        <v>33.6</v>
      </c>
      <c r="E55" s="25" t="n">
        <v>10</v>
      </c>
      <c r="F55" s="28">
        <f>IF(D55="","",ROUND(D55*E55,1))</f>
        <v/>
      </c>
      <c r="G55" s="2" t="n"/>
      <c r="H55" s="35" t="n"/>
      <c r="I55" s="35" t="n"/>
    </row>
    <row r="56" ht="47" customHeight="1">
      <c r="A56" s="9" t="n"/>
      <c r="B56" s="34" t="inlineStr">
        <is>
          <t>SOBRE LOCAL OCUPADO</t>
        </is>
      </c>
      <c r="C56" s="9" t="inlineStr"/>
      <c r="D56" s="8">
        <f>IF(COUNT(H56,I56)&lt;2,"",ROUND(H56*I56,2))</f>
        <v/>
      </c>
      <c r="E56" s="25" t="n">
        <v>15</v>
      </c>
      <c r="F56" s="28">
        <f>IF(D56="","",ROUND(D56*E56,1))</f>
        <v/>
      </c>
      <c r="G56" s="2" t="n"/>
      <c r="H56" s="35" t="n"/>
      <c r="I56" s="35" t="n"/>
    </row>
    <row r="57" ht="39.7" customHeight="1">
      <c r="A57" s="16" t="inlineStr">
        <is>
          <t>5</t>
        </is>
      </c>
      <c r="B57" s="33" t="inlineStr">
        <is>
          <t>INFILTRACION</t>
        </is>
      </c>
      <c r="C57" s="9" t="n"/>
      <c r="D57" s="16" t="inlineStr">
        <is>
          <t>VOLUMEN (m3)</t>
        </is>
      </c>
      <c r="E57" s="9" t="n"/>
      <c r="F57" s="9" t="n"/>
      <c r="G57" s="2" t="n"/>
      <c r="H57" s="2" t="n"/>
      <c r="I57" s="2" t="n"/>
    </row>
    <row r="58" ht="47" customHeight="1">
      <c r="A58" s="9" t="n"/>
      <c r="B58" s="34" t="inlineStr">
        <is>
          <t>UNA PARED EXTERIOR</t>
        </is>
      </c>
      <c r="C58" s="9" t="inlineStr"/>
      <c r="D58" s="8">
        <f>IF(COUNT(H58,I58)&lt;2,"",ROUND(H58*I58,2))</f>
        <v/>
      </c>
      <c r="E58" s="25" t="n">
        <v>6</v>
      </c>
      <c r="F58" s="28">
        <f>IF(D58="","",ROUND(D58*E58,1))</f>
        <v/>
      </c>
      <c r="G58" s="2" t="n"/>
      <c r="H58" s="35" t="n"/>
      <c r="I58" s="35" t="n"/>
    </row>
    <row r="59" ht="39.7" customHeight="1">
      <c r="A59" s="9" t="n"/>
      <c r="B59" s="34" t="inlineStr">
        <is>
          <t>DOS PAREDES EXTERIORES</t>
        </is>
      </c>
      <c r="C59" s="9" t="inlineStr">
        <is>
          <t>33.60 m2 x 3.00</t>
        </is>
      </c>
      <c r="D59" s="8" t="n">
        <v>100.8</v>
      </c>
      <c r="E59" s="25" t="n">
        <v>9</v>
      </c>
      <c r="F59" s="28">
        <f>IF(D59="","",ROUND(D59*E59,1))</f>
        <v/>
      </c>
      <c r="G59" s="2" t="n"/>
      <c r="H59" s="35" t="n"/>
      <c r="I59" s="35" t="n"/>
    </row>
    <row r="60" ht="47" customHeight="1">
      <c r="A60" s="9" t="n"/>
      <c r="B60" s="34" t="inlineStr">
        <is>
          <t>TRES O MAS PAREDES EXTERIORES</t>
        </is>
      </c>
      <c r="C60" s="9" t="inlineStr"/>
      <c r="D60" s="8">
        <f>IF(COUNT(H60,I60)&lt;2,"",ROUND(H60*I60,2))</f>
        <v/>
      </c>
      <c r="E60" s="25" t="n">
        <v>12</v>
      </c>
      <c r="F60" s="28">
        <f>IF(D60="","",ROUND(D60*E60,1))</f>
        <v/>
      </c>
      <c r="G60" s="2" t="n"/>
      <c r="H60" s="35" t="n"/>
      <c r="I60" s="35" t="n"/>
    </row>
    <row r="61" ht="70" customHeight="1">
      <c r="A61" s="16" t="inlineStr">
        <is>
          <t>6</t>
        </is>
      </c>
      <c r="B61" s="33" t="inlineStr">
        <is>
          <t>SUBTOTAL</t>
        </is>
      </c>
      <c r="C61" s="9" t="n"/>
      <c r="D61" s="9" t="n"/>
      <c r="E61" s="9" t="n"/>
      <c r="F61" s="36">
        <f>IF(F39="",0,F39)+IF(F40="",0,F40)+IF(F42="",0,F42)+IF(F43="",0,F43)+IF(F44="",0,F44)+IF(F45="",0,F45)+IF(F46="",0,F46)+IF(F47="",0,F47)+IF(F48="",0,F48)+IF(F49="",0,F49)+IF(F51="",0,F51)+IF(F52="",0,F52)+IF(F53="",0,F53)+IF(F55="",0,F55)+IF(F56="",0,F56)+IF(F58="",0,F58)+IF(F59="",0,F59)+IF(F60="",0,F60)</f>
        <v/>
      </c>
      <c r="G61" s="2" t="n"/>
      <c r="H61" s="2" t="n"/>
      <c r="I61" s="2" t="n"/>
    </row>
    <row r="62" ht="47" customHeight="1">
      <c r="A62" s="16" t="inlineStr">
        <is>
          <t>7</t>
        </is>
      </c>
      <c r="B62" s="33" t="inlineStr">
        <is>
          <t>PERDIDA TOTAL</t>
        </is>
      </c>
      <c r="C62" s="9">
        <f>TEXT(F61,"0.00")&amp;"  X  "&amp;Datos_balance!$B$4&amp;" (FI)  X  "&amp;Datos_balance!$B$5&amp;" (FO)  X  "&amp;Datos_balance!$B$6&amp;" (FZ)"</f>
        <v/>
      </c>
      <c r="D62" s="2" t="n"/>
      <c r="E62" s="2" t="n"/>
      <c r="F62" s="36">
        <f>ROUND(F61*Datos_balance!$B$4*Datos_balance!$B$5*Datos_balance!$B$6,1)</f>
        <v/>
      </c>
      <c r="G62" s="2" t="n"/>
      <c r="H62" s="2" t="n"/>
      <c r="I62" s="2" t="n"/>
    </row>
    <row r="63">
      <c r="A63" s="2" t="n"/>
      <c r="B63" s="2" t="n"/>
      <c r="C63" s="2" t="n"/>
      <c r="D63" s="2" t="n"/>
      <c r="E63" s="2" t="n"/>
      <c r="F63" s="2" t="n"/>
      <c r="G63" s="2" t="n"/>
      <c r="H63" s="2" t="n"/>
      <c r="I63" s="2" t="n"/>
    </row>
    <row r="64" ht="62" customHeight="1">
      <c r="A64" s="9" t="n"/>
      <c r="B64" s="10" t="inlineStr">
        <is>
          <t>Salto termico:  dt = (te+ts)/2 - ti</t>
        </is>
      </c>
      <c r="C64" s="9">
        <f>TEXT((Datos_balance!$B$9+Datos_balance!$B$10)/2,"0")&amp;" - "&amp;TEXT(Datos_balance!$B$11,"0")&amp;" = "&amp;TEXT((Datos_balance!$B$9+Datos_balance!$B$10)/2-Datos_balance!$B$11,"0")&amp;" C"</f>
        <v/>
      </c>
      <c r="D64" s="2" t="n"/>
      <c r="E64" s="2" t="n"/>
      <c r="F64" s="9" t="n"/>
      <c r="G64" s="2" t="n"/>
      <c r="H64" s="2" t="n"/>
      <c r="I64" s="2" t="n"/>
    </row>
    <row r="65" ht="39.7" customHeight="1">
      <c r="A65" s="9" t="n"/>
      <c r="B65" s="10" t="inlineStr">
        <is>
          <t>Kcal/h por elemento</t>
        </is>
      </c>
      <c r="C65" s="8">
        <f>ROUND(Datos_balance!$B$14*Datos_balance!$B$15,2)</f>
        <v/>
      </c>
      <c r="D65" s="2" t="n"/>
      <c r="E65" s="2" t="n"/>
      <c r="F65" s="9" t="n"/>
      <c r="G65" s="2" t="n"/>
      <c r="H65" s="2" t="n"/>
      <c r="I65" s="2" t="n"/>
    </row>
    <row r="66" ht="39.7" customHeight="1">
      <c r="A66" s="9" t="n"/>
      <c r="B66" s="10" t="inlineStr">
        <is>
          <t>Elementos necesarios</t>
        </is>
      </c>
      <c r="C66" s="25">
        <f>ROUNDUP(F62/(Datos_balance!$B$14*Datos_balance!$B$15),0)</f>
        <v/>
      </c>
      <c r="D66" s="2" t="n"/>
      <c r="E66" s="2" t="n"/>
      <c r="F66" s="9" t="n"/>
      <c r="G66" s="2" t="n"/>
      <c r="H66" s="2" t="n"/>
      <c r="I66" s="2" t="n"/>
    </row>
    <row r="67" ht="39.7" customHeight="1">
      <c r="A67" s="9" t="n"/>
      <c r="B67" s="10" t="inlineStr">
        <is>
          <t>Ancho del radiador (cm)</t>
        </is>
      </c>
      <c r="C67" s="25">
        <f>ROUNDUP(F62/(Datos_balance!$B$14*Datos_balance!$B$15),0)*Datos_balance!$B$16</f>
        <v/>
      </c>
      <c r="D67" s="2" t="n"/>
      <c r="E67" s="2" t="n"/>
      <c r="F67" s="9" t="n"/>
      <c r="G67" s="2" t="n"/>
      <c r="H67" s="2" t="n"/>
      <c r="I67" s="2" t="n"/>
    </row>
    <row r="68" ht="39.7" customHeight="1">
      <c r="A68" s="13" t="n"/>
      <c r="B68" s="14" t="inlineStr">
        <is>
          <t>Radiador adoptado</t>
        </is>
      </c>
      <c r="C68" s="13">
        <f>Datos_balance!$B$13</f>
        <v/>
      </c>
      <c r="D68" s="20" t="n"/>
      <c r="E68" s="20" t="n"/>
      <c r="F68" s="13" t="n"/>
      <c r="G68" s="2" t="n"/>
      <c r="H68" s="2" t="n"/>
      <c r="I68" s="2" t="n"/>
    </row>
    <row r="69">
      <c r="A69" s="2" t="n"/>
      <c r="B69" s="2" t="n"/>
      <c r="C69" s="2" t="n"/>
      <c r="D69" s="2" t="n"/>
      <c r="E69" s="2" t="n"/>
      <c r="F69" s="2" t="n"/>
      <c r="G69" s="2" t="n"/>
      <c r="H69" s="2" t="n"/>
      <c r="I69" s="2" t="n"/>
    </row>
    <row r="70">
      <c r="A70" s="2" t="n"/>
      <c r="B70" s="2" t="n"/>
      <c r="C70" s="2" t="n"/>
      <c r="D70" s="2" t="n"/>
      <c r="E70" s="2" t="n"/>
      <c r="F70" s="2" t="n"/>
      <c r="G70" s="2" t="n"/>
      <c r="H70" s="2" t="n"/>
      <c r="I70" s="2" t="n"/>
    </row>
    <row r="71" ht="39.7" customHeight="1">
      <c r="A71" s="5" t="inlineStr">
        <is>
          <t>LOCAL  07 - Hall / ingreso   (PB)</t>
        </is>
      </c>
      <c r="B71" s="2" t="n"/>
      <c r="C71" s="2" t="n"/>
      <c r="D71" s="2" t="n"/>
      <c r="E71" s="2" t="n"/>
      <c r="F71" s="2" t="n"/>
      <c r="G71" s="2" t="n"/>
      <c r="H71" s="2" t="n"/>
      <c r="I71" s="2" t="n"/>
    </row>
    <row r="72" ht="39.7" customHeight="1">
      <c r="A72" s="3" t="inlineStr">
        <is>
          <t>Nro</t>
        </is>
      </c>
      <c r="B72" s="3" t="inlineStr">
        <is>
          <t>DESCRIPCION</t>
        </is>
      </c>
      <c r="C72" s="3" t="inlineStr">
        <is>
          <t>DIMENSIONES (m)</t>
        </is>
      </c>
      <c r="D72" s="3" t="inlineStr">
        <is>
          <t>AREA (m2)</t>
        </is>
      </c>
      <c r="E72" s="3" t="inlineStr">
        <is>
          <t>FACTOR</t>
        </is>
      </c>
      <c r="F72" s="3" t="inlineStr">
        <is>
          <t>PERDIDA CALOR (Kcal/h)</t>
        </is>
      </c>
      <c r="G72" s="2" t="n"/>
      <c r="H72" s="2" t="n"/>
      <c r="I72" s="2" t="n"/>
    </row>
    <row r="73" ht="39.7" customHeight="1">
      <c r="A73" s="16" t="inlineStr">
        <is>
          <t>1</t>
        </is>
      </c>
      <c r="B73" s="33" t="inlineStr">
        <is>
          <t>VENTANA</t>
        </is>
      </c>
      <c r="C73" s="9" t="n"/>
      <c r="D73" s="9" t="n"/>
      <c r="E73" s="9" t="n"/>
      <c r="F73" s="9" t="n"/>
      <c r="G73" s="2" t="n"/>
      <c r="H73" s="2" t="n"/>
      <c r="I73" s="2" t="n"/>
    </row>
    <row r="74" ht="47" customHeight="1">
      <c r="A74" s="9" t="n"/>
      <c r="B74" s="34" t="inlineStr">
        <is>
          <t>PF01 (2)</t>
        </is>
      </c>
      <c r="C74" s="9">
        <f>IF(COUNT(H74,I74)&lt;2,"",TEXT(H74,"0.00")&amp;" x "&amp;TEXT(I74,"0.00"))</f>
        <v/>
      </c>
      <c r="D74" s="8">
        <f>IF(COUNT(H74,I74)&lt;2,"",ROUND(H74*I74,2))</f>
        <v/>
      </c>
      <c r="E74" s="25" t="n">
        <v>60</v>
      </c>
      <c r="F74" s="28">
        <f>IF(D74="","",ROUND(D74*E74,1))</f>
        <v/>
      </c>
      <c r="G74" s="2" t="n"/>
      <c r="H74" s="35" t="n">
        <v>3.55</v>
      </c>
      <c r="I74" s="35" t="n">
        <v>3</v>
      </c>
    </row>
    <row r="75" ht="39.7" customHeight="1">
      <c r="A75" s="16" t="inlineStr">
        <is>
          <t>2</t>
        </is>
      </c>
      <c r="B75" s="33" t="inlineStr">
        <is>
          <t>PAREDES EXTERIORES</t>
        </is>
      </c>
      <c r="C75" s="9" t="n"/>
      <c r="D75" s="9" t="n"/>
      <c r="E75" s="9" t="n"/>
      <c r="F75" s="9" t="n"/>
      <c r="G75" s="2" t="n"/>
      <c r="H75" s="2" t="n"/>
      <c r="I75" s="2" t="n"/>
    </row>
    <row r="76" ht="47" customHeight="1">
      <c r="A76" s="9" t="n"/>
      <c r="B76" s="34" t="inlineStr">
        <is>
          <t>AISLADAS (    )</t>
        </is>
      </c>
      <c r="C76" s="9">
        <f>IF(COUNT(H76,I76)&lt;2,"",TEXT(H76,"0.00")&amp;" x "&amp;TEXT(I76,"0.00"))</f>
        <v/>
      </c>
      <c r="D76" s="8">
        <f>IF(COUNT(H76,I76)&lt;2,"",ROUND(H76*I76,2))</f>
        <v/>
      </c>
      <c r="E76" s="25" t="n">
        <v>20</v>
      </c>
      <c r="F76" s="28">
        <f>IF(D76="","",ROUND(D76*E76,1))</f>
        <v/>
      </c>
      <c r="G76" s="2" t="n"/>
      <c r="H76" s="35" t="n"/>
      <c r="I76" s="35" t="n"/>
    </row>
    <row r="77" ht="47" customHeight="1">
      <c r="A77" s="9" t="n"/>
      <c r="B77" s="34" t="inlineStr">
        <is>
          <t>AISLADAS (    )</t>
        </is>
      </c>
      <c r="C77" s="9">
        <f>IF(COUNT(H77,I77)&lt;2,"",TEXT(H77,"0.00")&amp;" x "&amp;TEXT(I77,"0.00"))</f>
        <v/>
      </c>
      <c r="D77" s="8">
        <f>IF(COUNT(H77,I77)&lt;2,"",ROUND(H77*I77,2))</f>
        <v/>
      </c>
      <c r="E77" s="25" t="n">
        <v>20</v>
      </c>
      <c r="F77" s="28">
        <f>IF(D77="","",ROUND(D77*E77,1))</f>
        <v/>
      </c>
      <c r="G77" s="2" t="n"/>
      <c r="H77" s="35" t="n"/>
      <c r="I77" s="35" t="n"/>
    </row>
    <row r="78" ht="47" customHeight="1">
      <c r="A78" s="9" t="n"/>
      <c r="B78" s="34" t="inlineStr">
        <is>
          <t>AISLADAS (    )</t>
        </is>
      </c>
      <c r="C78" s="9">
        <f>IF(COUNT(H78,I78)&lt;2,"",TEXT(H78,"0.00")&amp;" x "&amp;TEXT(I78,"0.00"))</f>
        <v/>
      </c>
      <c r="D78" s="8">
        <f>IF(COUNT(H78,I78)&lt;2,"",ROUND(H78*I78,2))</f>
        <v/>
      </c>
      <c r="E78" s="25" t="n">
        <v>20</v>
      </c>
      <c r="F78" s="28">
        <f>IF(D78="","",ROUND(D78*E78,1))</f>
        <v/>
      </c>
      <c r="G78" s="2" t="n"/>
      <c r="H78" s="35" t="n"/>
      <c r="I78" s="35" t="n"/>
    </row>
    <row r="79" ht="47" customHeight="1">
      <c r="A79" s="9" t="n"/>
      <c r="B79" s="34" t="inlineStr">
        <is>
          <t>AISLADAS (    )</t>
        </is>
      </c>
      <c r="C79" s="9">
        <f>IF(COUNT(H79,I79)&lt;2,"",TEXT(H79,"0.00")&amp;" x "&amp;TEXT(I79,"0.00"))</f>
        <v/>
      </c>
      <c r="D79" s="8">
        <f>IF(COUNT(H79,I79)&lt;2,"",ROUND(H79*I79,2))</f>
        <v/>
      </c>
      <c r="E79" s="25" t="n">
        <v>20</v>
      </c>
      <c r="F79" s="28">
        <f>IF(D79="","",ROUND(D79*E79,1))</f>
        <v/>
      </c>
      <c r="G79" s="2" t="n"/>
      <c r="H79" s="35" t="n"/>
      <c r="I79" s="35" t="n"/>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3.5</v>
      </c>
      <c r="I80" s="35" t="n">
        <v>3</v>
      </c>
    </row>
    <row r="81" ht="47" customHeight="1">
      <c r="A81" s="9" t="n"/>
      <c r="B81" s="34" t="inlineStr">
        <is>
          <t>INTERIORES (    )</t>
        </is>
      </c>
      <c r="C81" s="9">
        <f>IF(COUNT(H81,I81)&lt;2,"",TEXT(H81,"0.00")&amp;" x "&amp;TEXT(I81,"0.00"))</f>
        <v/>
      </c>
      <c r="D81" s="8">
        <f>IF(COUNT(H81,I81)&lt;2,"",ROUND(H81*I81,2))</f>
        <v/>
      </c>
      <c r="E81" s="25" t="n">
        <v>25</v>
      </c>
      <c r="F81" s="28">
        <f>IF(D81="","",ROUND(D81*E81,1))</f>
        <v/>
      </c>
      <c r="G81" s="2" t="n"/>
      <c r="H81" s="35" t="n">
        <v>2.15</v>
      </c>
      <c r="I81" s="35" t="n">
        <v>3</v>
      </c>
    </row>
    <row r="82" ht="47" customHeight="1">
      <c r="A82" s="9" t="n"/>
      <c r="B82" s="34" t="inlineStr">
        <is>
          <t>INTERIORES (    )</t>
        </is>
      </c>
      <c r="C82" s="9">
        <f>IF(COUNT(H82,I82)&lt;2,"",TEXT(H82,"0.00")&amp;" x "&amp;TEXT(I82,"0.00"))</f>
        <v/>
      </c>
      <c r="D82" s="8">
        <f>IF(COUNT(H82,I82)&lt;2,"",ROUND(H82*I82,2))</f>
        <v/>
      </c>
      <c r="E82" s="25" t="n">
        <v>25</v>
      </c>
      <c r="F82" s="28">
        <f>IF(D82="","",ROUND(D82*E82,1))</f>
        <v/>
      </c>
      <c r="G82" s="2" t="n"/>
      <c r="H82" s="35" t="n">
        <v>3.5</v>
      </c>
      <c r="I82" s="35" t="n">
        <v>3</v>
      </c>
    </row>
    <row r="83" ht="47" customHeight="1">
      <c r="A83" s="9" t="n"/>
      <c r="B83" s="34" t="inlineStr">
        <is>
          <t>INTERIORES (    )</t>
        </is>
      </c>
      <c r="C83" s="9">
        <f>IF(COUNT(H83,I83)&lt;2,"",TEXT(H83,"0.00")&amp;" x "&amp;TEXT(I83,"0.00"))</f>
        <v/>
      </c>
      <c r="D83" s="8">
        <f>IF(COUNT(H83,I83)&lt;2,"",ROUND(H83*I83,2))</f>
        <v/>
      </c>
      <c r="E83" s="25" t="n">
        <v>25</v>
      </c>
      <c r="F83" s="28">
        <f>IF(D83="","",ROUND(D83*E83,1))</f>
        <v/>
      </c>
      <c r="G83" s="2" t="n"/>
      <c r="H83" s="35" t="n">
        <v>2.15</v>
      </c>
      <c r="I83" s="35" t="n">
        <v>3</v>
      </c>
    </row>
    <row r="84" ht="39.7" customHeight="1">
      <c r="A84" s="16" t="inlineStr">
        <is>
          <t>3</t>
        </is>
      </c>
      <c r="B84" s="33" t="inlineStr">
        <is>
          <t>TECHOS O CIELORRASOS</t>
        </is>
      </c>
      <c r="C84" s="9" t="n"/>
      <c r="D84" s="9" t="n"/>
      <c r="E84" s="9" t="n"/>
      <c r="F84" s="9" t="n"/>
      <c r="G84" s="2" t="n"/>
      <c r="H84" s="2" t="n"/>
      <c r="I84" s="2" t="n"/>
    </row>
    <row r="85" ht="47" customHeight="1">
      <c r="A85" s="9" t="n"/>
      <c r="B85" s="34" t="inlineStr">
        <is>
          <t>TECHO NO AISLADO</t>
        </is>
      </c>
      <c r="C85" s="9" t="inlineStr"/>
      <c r="D85" s="8">
        <f>IF(COUNT(H85,I85)&lt;2,"",ROUND(H85*I85,2))</f>
        <v/>
      </c>
      <c r="E85" s="25" t="n">
        <v>30</v>
      </c>
      <c r="F85" s="28">
        <f>IF(D85="","",ROUND(D85*E85,1))</f>
        <v/>
      </c>
      <c r="G85" s="2" t="n"/>
      <c r="H85" s="35" t="n"/>
      <c r="I85" s="35" t="n"/>
    </row>
    <row r="86" ht="47" customHeight="1">
      <c r="A86" s="9" t="n"/>
      <c r="B86" s="34" t="inlineStr">
        <is>
          <t>TECHO AISLADO</t>
        </is>
      </c>
      <c r="C86" s="9" t="inlineStr"/>
      <c r="D86" s="8">
        <f>IF(COUNT(H86,I86)&lt;2,"",ROUND(H86*I86,2))</f>
        <v/>
      </c>
      <c r="E86" s="25" t="n">
        <v>20</v>
      </c>
      <c r="F86" s="28">
        <f>IF(D86="","",ROUND(D86*E86,1))</f>
        <v/>
      </c>
      <c r="G86" s="2" t="n"/>
      <c r="H86" s="35" t="n"/>
      <c r="I86" s="35" t="n"/>
    </row>
    <row r="87" ht="39.7" customHeight="1">
      <c r="A87" s="9" t="n"/>
      <c r="B87" s="34" t="inlineStr">
        <is>
          <t>TECHO ENTREPISO</t>
        </is>
      </c>
      <c r="C87" s="9" t="inlineStr">
        <is>
          <t>por croquis</t>
        </is>
      </c>
      <c r="D87" s="8" t="n">
        <v>7.52</v>
      </c>
      <c r="E87" s="25" t="n">
        <v>15</v>
      </c>
      <c r="F87" s="28">
        <f>IF(D87="","",ROUND(D87*E87,1))</f>
        <v/>
      </c>
      <c r="G87" s="2" t="n"/>
      <c r="H87" s="35" t="n"/>
      <c r="I87" s="35" t="n"/>
    </row>
    <row r="88" ht="39.7" customHeight="1">
      <c r="A88" s="16" t="inlineStr">
        <is>
          <t>4</t>
        </is>
      </c>
      <c r="B88" s="33" t="inlineStr">
        <is>
          <t>PISO</t>
        </is>
      </c>
      <c r="C88" s="9" t="n"/>
      <c r="D88" s="9" t="n"/>
      <c r="E88" s="9" t="n"/>
      <c r="F88" s="9" t="n"/>
      <c r="G88" s="2" t="n"/>
      <c r="H88" s="2" t="n"/>
      <c r="I88" s="2" t="n"/>
    </row>
    <row r="89" ht="39.7" customHeight="1">
      <c r="A89" s="9" t="n"/>
      <c r="B89" s="34" t="inlineStr">
        <is>
          <t>SOBRE TIERRA</t>
        </is>
      </c>
      <c r="C89" s="9" t="inlineStr">
        <is>
          <t>por croquis</t>
        </is>
      </c>
      <c r="D89" s="8" t="n">
        <v>7.52</v>
      </c>
      <c r="E89" s="25" t="n">
        <v>10</v>
      </c>
      <c r="F89" s="28">
        <f>IF(D89="","",ROUND(D89*E89,1))</f>
        <v/>
      </c>
      <c r="G89" s="2" t="n"/>
      <c r="H89" s="35" t="n"/>
      <c r="I89" s="35" t="n"/>
    </row>
    <row r="90" ht="47" customHeight="1">
      <c r="A90" s="9" t="n"/>
      <c r="B90" s="34" t="inlineStr">
        <is>
          <t>SOBRE LOCAL OCUPADO</t>
        </is>
      </c>
      <c r="C90" s="9" t="inlineStr"/>
      <c r="D90" s="8">
        <f>IF(COUNT(H90,I90)&lt;2,"",ROUND(H90*I90,2))</f>
        <v/>
      </c>
      <c r="E90" s="25" t="n">
        <v>15</v>
      </c>
      <c r="F90" s="28">
        <f>IF(D90="","",ROUND(D90*E90,1))</f>
        <v/>
      </c>
      <c r="G90" s="2" t="n"/>
      <c r="H90" s="35" t="n"/>
      <c r="I90" s="35" t="n"/>
    </row>
    <row r="91" ht="39.7" customHeight="1">
      <c r="A91" s="16" t="inlineStr">
        <is>
          <t>5</t>
        </is>
      </c>
      <c r="B91" s="33" t="inlineStr">
        <is>
          <t>INFILTRACION</t>
        </is>
      </c>
      <c r="C91" s="9" t="n"/>
      <c r="D91" s="16" t="inlineStr">
        <is>
          <t>VOLUMEN (m3)</t>
        </is>
      </c>
      <c r="E91" s="9" t="n"/>
      <c r="F91" s="9" t="n"/>
      <c r="G91" s="2" t="n"/>
      <c r="H91" s="2" t="n"/>
      <c r="I91" s="2" t="n"/>
    </row>
    <row r="92" ht="47" customHeight="1">
      <c r="A92" s="9" t="n"/>
      <c r="B92" s="34" t="inlineStr">
        <is>
          <t>UNA PARED EXTERIOR</t>
        </is>
      </c>
      <c r="C92" s="9" t="inlineStr"/>
      <c r="D92" s="8">
        <f>IF(COUNT(H92,I92)&lt;2,"",ROUND(H92*I92,2))</f>
        <v/>
      </c>
      <c r="E92" s="25" t="n">
        <v>6</v>
      </c>
      <c r="F92" s="28">
        <f>IF(D92="","",ROUND(D92*E92,1))</f>
        <v/>
      </c>
      <c r="G92" s="2" t="n"/>
      <c r="H92" s="35" t="n"/>
      <c r="I92" s="35" t="n"/>
    </row>
    <row r="93" ht="39.7" customHeight="1">
      <c r="A93" s="9" t="n"/>
      <c r="B93" s="34" t="inlineStr">
        <is>
          <t>DOS PAREDES EXTERIORES</t>
        </is>
      </c>
      <c r="C93" s="9" t="inlineStr">
        <is>
          <t>7.52 m2 x 3.00</t>
        </is>
      </c>
      <c r="D93" s="8" t="n">
        <v>22.56</v>
      </c>
      <c r="E93" s="25" t="n">
        <v>9</v>
      </c>
      <c r="F93" s="28">
        <f>IF(D93="","",ROUND(D93*E93,1))</f>
        <v/>
      </c>
      <c r="G93" s="2" t="n"/>
      <c r="H93" s="35" t="n"/>
      <c r="I93" s="35" t="n"/>
    </row>
    <row r="94" ht="47" customHeight="1">
      <c r="A94" s="9" t="n"/>
      <c r="B94" s="34" t="inlineStr">
        <is>
          <t>TRES O MAS PAREDES EXTERIORES</t>
        </is>
      </c>
      <c r="C94" s="9" t="inlineStr"/>
      <c r="D94" s="8">
        <f>IF(COUNT(H94,I94)&lt;2,"",ROUND(H94*I94,2))</f>
        <v/>
      </c>
      <c r="E94" s="25" t="n">
        <v>12</v>
      </c>
      <c r="F94" s="28">
        <f>IF(D94="","",ROUND(D94*E94,1))</f>
        <v/>
      </c>
      <c r="G94" s="2" t="n"/>
      <c r="H94" s="35" t="n"/>
      <c r="I94" s="35" t="n"/>
    </row>
    <row r="95" ht="70" customHeight="1">
      <c r="A95" s="16" t="inlineStr">
        <is>
          <t>6</t>
        </is>
      </c>
      <c r="B95" s="33" t="inlineStr">
        <is>
          <t>SUBTOTAL</t>
        </is>
      </c>
      <c r="C95" s="9" t="n"/>
      <c r="D95" s="9" t="n"/>
      <c r="E95" s="9" t="n"/>
      <c r="F95" s="36">
        <f>IF(F74="",0,F74)+IF(F76="",0,F76)+IF(F77="",0,F77)+IF(F78="",0,F78)+IF(F79="",0,F79)+IF(F80="",0,F80)+IF(F81="",0,F81)+IF(F82="",0,F82)+IF(F83="",0,F83)+IF(F85="",0,F85)+IF(F86="",0,F86)+IF(F87="",0,F87)+IF(F89="",0,F89)+IF(F90="",0,F90)+IF(F92="",0,F92)+IF(F93="",0,F93)+IF(F94="",0,F94)</f>
        <v/>
      </c>
      <c r="G95" s="2" t="n"/>
      <c r="H95" s="2" t="n"/>
      <c r="I95" s="2" t="n"/>
    </row>
    <row r="96" ht="47" customHeight="1">
      <c r="A96" s="16" t="inlineStr">
        <is>
          <t>7</t>
        </is>
      </c>
      <c r="B96" s="33" t="inlineStr">
        <is>
          <t>PERDIDA TOTAL</t>
        </is>
      </c>
      <c r="C96" s="9">
        <f>TEXT(F95,"0.00")&amp;"  X  "&amp;Datos_balance!$B$4&amp;" (FI)  X  "&amp;Datos_balance!$B$5&amp;" (FO)  X  "&amp;Datos_balance!$B$6&amp;" (FZ)"</f>
        <v/>
      </c>
      <c r="D96" s="2" t="n"/>
      <c r="E96" s="2" t="n"/>
      <c r="F96" s="36">
        <f>ROUND(F95*Datos_balance!$B$4*Datos_balance!$B$5*Datos_balance!$B$6,1)</f>
        <v/>
      </c>
      <c r="G96" s="2" t="n"/>
      <c r="H96" s="2" t="n"/>
      <c r="I96" s="2" t="n"/>
    </row>
    <row r="97">
      <c r="A97" s="2" t="n"/>
      <c r="B97" s="2" t="n"/>
      <c r="C97" s="2" t="n"/>
      <c r="D97" s="2" t="n"/>
      <c r="E97" s="2" t="n"/>
      <c r="F97" s="2" t="n"/>
      <c r="G97" s="2" t="n"/>
      <c r="H97" s="2" t="n"/>
      <c r="I97" s="2" t="n"/>
    </row>
    <row r="98" ht="62" customHeight="1">
      <c r="A98" s="9" t="n"/>
      <c r="B98" s="10" t="inlineStr">
        <is>
          <t>Salto termico:  dt = (te+ts)/2 - ti</t>
        </is>
      </c>
      <c r="C98" s="9">
        <f>TEXT((Datos_balance!$B$9+Datos_balance!$B$10)/2,"0")&amp;" - "&amp;TEXT(Datos_balance!$B$11,"0")&amp;" = "&amp;TEXT((Datos_balance!$B$9+Datos_balance!$B$10)/2-Datos_balance!$B$11,"0")&amp;" C"</f>
        <v/>
      </c>
      <c r="D98" s="2" t="n"/>
      <c r="E98" s="2" t="n"/>
      <c r="F98" s="9" t="n"/>
      <c r="G98" s="2" t="n"/>
      <c r="H98" s="2" t="n"/>
      <c r="I98" s="2" t="n"/>
    </row>
    <row r="99" ht="39.7" customHeight="1">
      <c r="A99" s="9" t="n"/>
      <c r="B99" s="10" t="inlineStr">
        <is>
          <t>Kcal/h por elemento</t>
        </is>
      </c>
      <c r="C99" s="8">
        <f>ROUND(Datos_balance!$B$14*Datos_balance!$B$15,2)</f>
        <v/>
      </c>
      <c r="D99" s="2" t="n"/>
      <c r="E99" s="2" t="n"/>
      <c r="F99" s="9" t="n"/>
      <c r="G99" s="2" t="n"/>
      <c r="H99" s="2" t="n"/>
      <c r="I99" s="2" t="n"/>
    </row>
    <row r="100" ht="39.7" customHeight="1">
      <c r="A100" s="9" t="n"/>
      <c r="B100" s="10" t="inlineStr">
        <is>
          <t>Elementos necesarios</t>
        </is>
      </c>
      <c r="C100" s="25">
        <f>ROUNDUP(F96/(Datos_balance!$B$14*Datos_balance!$B$15),0)</f>
        <v/>
      </c>
      <c r="D100" s="2" t="n"/>
      <c r="E100" s="2" t="n"/>
      <c r="F100" s="9" t="n"/>
      <c r="G100" s="2" t="n"/>
      <c r="H100" s="2" t="n"/>
      <c r="I100" s="2" t="n"/>
    </row>
    <row r="101" ht="39.7" customHeight="1">
      <c r="A101" s="9" t="n"/>
      <c r="B101" s="10" t="inlineStr">
        <is>
          <t>Ancho del radiador (cm)</t>
        </is>
      </c>
      <c r="C101" s="25">
        <f>ROUNDUP(F96/(Datos_balance!$B$14*Datos_balance!$B$15),0)*Datos_balance!$B$16</f>
        <v/>
      </c>
      <c r="D101" s="2" t="n"/>
      <c r="E101" s="2" t="n"/>
      <c r="F101" s="9" t="n"/>
      <c r="G101" s="2" t="n"/>
      <c r="H101" s="2" t="n"/>
      <c r="I101" s="2" t="n"/>
    </row>
    <row r="102" ht="39.7" customHeight="1">
      <c r="A102" s="13" t="n"/>
      <c r="B102" s="14" t="inlineStr">
        <is>
          <t>Radiador adoptado</t>
        </is>
      </c>
      <c r="C102" s="13">
        <f>Datos_balance!$B$13</f>
        <v/>
      </c>
      <c r="D102" s="20" t="n"/>
      <c r="E102" s="20" t="n"/>
      <c r="F102" s="13" t="n"/>
      <c r="G102" s="2" t="n"/>
      <c r="H102" s="2" t="n"/>
      <c r="I102" s="2" t="n"/>
    </row>
    <row r="103">
      <c r="A103" s="2" t="n"/>
      <c r="B103" s="2" t="n"/>
      <c r="C103" s="2" t="n"/>
      <c r="D103" s="2" t="n"/>
      <c r="E103" s="2" t="n"/>
      <c r="F103" s="2" t="n"/>
      <c r="G103" s="2" t="n"/>
      <c r="H103" s="2" t="n"/>
      <c r="I103" s="2" t="n"/>
    </row>
    <row r="104">
      <c r="A104" s="2" t="n"/>
      <c r="B104" s="2" t="n"/>
      <c r="C104" s="2" t="n"/>
      <c r="D104" s="2" t="n"/>
      <c r="E104" s="2" t="n"/>
      <c r="F104" s="2" t="n"/>
      <c r="G104" s="2" t="n"/>
      <c r="H104" s="2" t="n"/>
      <c r="I104" s="2" t="n"/>
    </row>
    <row r="105" ht="39.7" customHeight="1">
      <c r="A105" s="5" t="inlineStr">
        <is>
          <t>LOCAL  08 - Vestidor   (PB)</t>
        </is>
      </c>
      <c r="B105" s="2" t="n"/>
      <c r="C105" s="2" t="n"/>
      <c r="D105" s="2" t="n"/>
      <c r="E105" s="2" t="n"/>
      <c r="F105" s="2" t="n"/>
      <c r="G105" s="2" t="n"/>
      <c r="H105" s="2" t="n"/>
      <c r="I105" s="2" t="n"/>
    </row>
    <row r="106" ht="39.7" customHeight="1">
      <c r="A106" s="3" t="inlineStr">
        <is>
          <t>Nro</t>
        </is>
      </c>
      <c r="B106" s="3" t="inlineStr">
        <is>
          <t>DESCRIPCION</t>
        </is>
      </c>
      <c r="C106" s="3" t="inlineStr">
        <is>
          <t>DIMENSIONES (m)</t>
        </is>
      </c>
      <c r="D106" s="3" t="inlineStr">
        <is>
          <t>AREA (m2)</t>
        </is>
      </c>
      <c r="E106" s="3" t="inlineStr">
        <is>
          <t>FACTOR</t>
        </is>
      </c>
      <c r="F106" s="3" t="inlineStr">
        <is>
          <t>PERDIDA CALOR (Kcal/h)</t>
        </is>
      </c>
      <c r="G106" s="2" t="n"/>
      <c r="H106" s="2" t="n"/>
      <c r="I106" s="2" t="n"/>
    </row>
    <row r="107" ht="39.7" customHeight="1">
      <c r="A107" s="16" t="inlineStr">
        <is>
          <t>1</t>
        </is>
      </c>
      <c r="B107" s="33" t="inlineStr">
        <is>
          <t>VENTANA</t>
        </is>
      </c>
      <c r="C107" s="9" t="n"/>
      <c r="D107" s="9" t="n"/>
      <c r="E107" s="9" t="n"/>
      <c r="F107" s="9" t="n"/>
      <c r="G107" s="2" t="n"/>
      <c r="H107" s="2" t="n"/>
      <c r="I107" s="2" t="n"/>
    </row>
    <row r="108" ht="62" customHeight="1">
      <c r="A108" s="9" t="n"/>
      <c r="B108" s="34" t="inlineStr">
        <is>
          <t>(sin aberturas)</t>
        </is>
      </c>
      <c r="C108" s="9">
        <f>IF(COUNT(H108,I108)&lt;2,"",TEXT(H108,"0.00")&amp;" x "&amp;TEXT(I108,"0.00"))</f>
        <v/>
      </c>
      <c r="D108" s="8">
        <f>IF(COUNT(H108,I108)&lt;2,"",ROUND(H108*I108,2))</f>
        <v/>
      </c>
      <c r="E108" s="25" t="n">
        <v>60</v>
      </c>
      <c r="F108" s="28">
        <f>IF(D108="","",ROUND(D108*E108,1))</f>
        <v/>
      </c>
      <c r="G108" s="2" t="n"/>
      <c r="H108" s="35" t="n"/>
      <c r="I108" s="35" t="n"/>
    </row>
    <row r="109" ht="39.7" customHeight="1">
      <c r="A109" s="16" t="inlineStr">
        <is>
          <t>2</t>
        </is>
      </c>
      <c r="B109" s="33" t="inlineStr">
        <is>
          <t>PAREDES EXTERIORES</t>
        </is>
      </c>
      <c r="C109" s="9" t="n"/>
      <c r="D109" s="9" t="n"/>
      <c r="E109" s="9" t="n"/>
      <c r="F109" s="9" t="n"/>
      <c r="G109" s="2" t="n"/>
      <c r="H109" s="2" t="n"/>
      <c r="I109" s="2" t="n"/>
    </row>
    <row r="110" ht="62" customHeight="1">
      <c r="A110" s="9" t="n"/>
      <c r="B110" s="34" t="inlineStr">
        <is>
          <t>AISLADAS (    )</t>
        </is>
      </c>
      <c r="C110" s="9">
        <f>IF(COUNT(H110,I110)&lt;2,"",TEXT(H110,"0.00")&amp;" x "&amp;TEXT(I110,"0.00"))</f>
        <v/>
      </c>
      <c r="D110" s="8">
        <f>IF(COUNT(H110,I110)&lt;2,"",ROUND(H110*I110,2))</f>
        <v/>
      </c>
      <c r="E110" s="25" t="n">
        <v>20</v>
      </c>
      <c r="F110" s="28">
        <f>IF(D110="","",ROUND(D110*E110,1))</f>
        <v/>
      </c>
      <c r="G110" s="2" t="n"/>
      <c r="H110" s="35" t="n"/>
      <c r="I110" s="35" t="n"/>
    </row>
    <row r="111" ht="62" customHeight="1">
      <c r="A111" s="9" t="n"/>
      <c r="B111" s="34" t="inlineStr">
        <is>
          <t>AISLADAS (    )</t>
        </is>
      </c>
      <c r="C111" s="9">
        <f>IF(COUNT(H111,I111)&lt;2,"",TEXT(H111,"0.00")&amp;" x "&amp;TEXT(I111,"0.00"))</f>
        <v/>
      </c>
      <c r="D111" s="8">
        <f>IF(COUNT(H111,I111)&lt;2,"",ROUND(H111*I111,2))</f>
        <v/>
      </c>
      <c r="E111" s="25" t="n">
        <v>20</v>
      </c>
      <c r="F111" s="28">
        <f>IF(D111="","",ROUND(D111*E111,1))</f>
        <v/>
      </c>
      <c r="G111" s="2" t="n"/>
      <c r="H111" s="35" t="n"/>
      <c r="I111" s="35" t="n"/>
    </row>
    <row r="112" ht="62" customHeight="1">
      <c r="A112" s="9" t="n"/>
      <c r="B112" s="34" t="inlineStr">
        <is>
          <t>AISLADAS (    )</t>
        </is>
      </c>
      <c r="C112" s="9">
        <f>IF(COUNT(H112,I112)&lt;2,"",TEXT(H112,"0.00")&amp;" x "&amp;TEXT(I112,"0.00"))</f>
        <v/>
      </c>
      <c r="D112" s="8">
        <f>IF(COUNT(H112,I112)&lt;2,"",ROUND(H112*I112,2))</f>
        <v/>
      </c>
      <c r="E112" s="25" t="n">
        <v>20</v>
      </c>
      <c r="F112" s="28">
        <f>IF(D112="","",ROUND(D112*E112,1))</f>
        <v/>
      </c>
      <c r="G112" s="2" t="n"/>
      <c r="H112" s="35" t="n"/>
      <c r="I112" s="35" t="n"/>
    </row>
    <row r="113" ht="62" customHeight="1">
      <c r="A113" s="9" t="n"/>
      <c r="B113" s="34" t="inlineStr">
        <is>
          <t>AISLADAS (    )</t>
        </is>
      </c>
      <c r="C113" s="9">
        <f>IF(COUNT(H113,I113)&lt;2,"",TEXT(H113,"0.00")&amp;" x "&amp;TEXT(I113,"0.00"))</f>
        <v/>
      </c>
      <c r="D113" s="8">
        <f>IF(COUNT(H113,I113)&lt;2,"",ROUND(H113*I113,2))</f>
        <v/>
      </c>
      <c r="E113" s="25" t="n">
        <v>20</v>
      </c>
      <c r="F113" s="28">
        <f>IF(D113="","",ROUND(D113*E113,1))</f>
        <v/>
      </c>
      <c r="G113" s="2" t="n"/>
      <c r="H113" s="35" t="n"/>
      <c r="I113" s="35" t="n"/>
    </row>
    <row r="114" ht="62" customHeight="1">
      <c r="A114" s="9" t="n"/>
      <c r="B114" s="34" t="inlineStr">
        <is>
          <t>INTERIORES (    )</t>
        </is>
      </c>
      <c r="C114" s="9">
        <f>IF(COUNT(H114,I114)&lt;2,"",TEXT(H114,"0.00")&amp;" x "&amp;TEXT(I114,"0.00"))</f>
        <v/>
      </c>
      <c r="D114" s="8">
        <f>IF(COUNT(H114,I114)&lt;2,"",ROUND(H114*I114,2))</f>
        <v/>
      </c>
      <c r="E114" s="25" t="n">
        <v>25</v>
      </c>
      <c r="F114" s="28">
        <f>IF(D114="","",ROUND(D114*E114,1))</f>
        <v/>
      </c>
      <c r="G114" s="2" t="n"/>
      <c r="H114" s="35" t="n">
        <v>4.87</v>
      </c>
      <c r="I114" s="35" t="n">
        <v>3</v>
      </c>
    </row>
    <row r="115" ht="62" customHeight="1">
      <c r="A115" s="9" t="n"/>
      <c r="B115" s="34" t="inlineStr">
        <is>
          <t>INTERIORES (    )</t>
        </is>
      </c>
      <c r="C115" s="9">
        <f>IF(COUNT(H115,I115)&lt;2,"",TEXT(H115,"0.00")&amp;" x "&amp;TEXT(I115,"0.00"))</f>
        <v/>
      </c>
      <c r="D115" s="8">
        <f>IF(COUNT(H115,I115)&lt;2,"",ROUND(H115*I115,2))</f>
        <v/>
      </c>
      <c r="E115" s="25" t="n">
        <v>25</v>
      </c>
      <c r="F115" s="28">
        <f>IF(D115="","",ROUND(D115*E115,1))</f>
        <v/>
      </c>
      <c r="G115" s="2" t="n"/>
      <c r="H115" s="35" t="n">
        <v>1.66</v>
      </c>
      <c r="I115" s="35" t="n">
        <v>3</v>
      </c>
    </row>
    <row r="116" ht="62" customHeight="1">
      <c r="A116" s="9" t="n"/>
      <c r="B116" s="34" t="inlineStr">
        <is>
          <t>INTERIORES (    )</t>
        </is>
      </c>
      <c r="C116" s="9">
        <f>IF(COUNT(H116,I116)&lt;2,"",TEXT(H116,"0.00")&amp;" x "&amp;TEXT(I116,"0.00"))</f>
        <v/>
      </c>
      <c r="D116" s="8">
        <f>IF(COUNT(H116,I116)&lt;2,"",ROUND(H116*I116,2))</f>
        <v/>
      </c>
      <c r="E116" s="25" t="n">
        <v>25</v>
      </c>
      <c r="F116" s="28">
        <f>IF(D116="","",ROUND(D116*E116,1))</f>
        <v/>
      </c>
      <c r="G116" s="2" t="n"/>
      <c r="H116" s="35" t="n">
        <v>3.38</v>
      </c>
      <c r="I116" s="35" t="n">
        <v>3</v>
      </c>
    </row>
    <row r="117" ht="62" customHeight="1">
      <c r="A117" s="9" t="n"/>
      <c r="B117" s="34" t="inlineStr">
        <is>
          <t>INTERIORES (    )</t>
        </is>
      </c>
      <c r="C117" s="9">
        <f>IF(COUNT(H117,I117)&lt;2,"",TEXT(H117,"0.00")&amp;" x "&amp;TEXT(I117,"0.00"))</f>
        <v/>
      </c>
      <c r="D117" s="8">
        <f>IF(COUNT(H117,I117)&lt;2,"",ROUND(H117*I117,2))</f>
        <v/>
      </c>
      <c r="E117" s="25" t="n">
        <v>25</v>
      </c>
      <c r="F117" s="28">
        <f>IF(D117="","",ROUND(D117*E117,1))</f>
        <v/>
      </c>
      <c r="G117" s="2" t="n"/>
      <c r="H117" s="35" t="n">
        <v>0.57</v>
      </c>
      <c r="I117" s="35" t="n">
        <v>3</v>
      </c>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1.49</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1.09</v>
      </c>
      <c r="I119" s="35" t="n">
        <v>3</v>
      </c>
    </row>
    <row r="120" ht="39.7" customHeight="1">
      <c r="A120" s="16" t="inlineStr">
        <is>
          <t>3</t>
        </is>
      </c>
      <c r="B120" s="33" t="inlineStr">
        <is>
          <t>TECHOS O CIELORRASOS</t>
        </is>
      </c>
      <c r="C120" s="9" t="n"/>
      <c r="D120" s="9" t="n"/>
      <c r="E120" s="9" t="n"/>
      <c r="F120" s="9" t="n"/>
      <c r="G120" s="2" t="n"/>
      <c r="H120" s="2" t="n"/>
      <c r="I120" s="2" t="n"/>
    </row>
    <row r="121" ht="62" customHeight="1">
      <c r="A121" s="9" t="n"/>
      <c r="B121" s="34" t="inlineStr">
        <is>
          <t>TECHO NO AISLADO</t>
        </is>
      </c>
      <c r="C121" s="9" t="inlineStr"/>
      <c r="D121" s="8">
        <f>IF(COUNT(H121,I121)&lt;2,"",ROUND(H121*I121,2))</f>
        <v/>
      </c>
      <c r="E121" s="25" t="n">
        <v>30</v>
      </c>
      <c r="F121" s="28">
        <f>IF(D121="","",ROUND(D121*E121,1))</f>
        <v/>
      </c>
      <c r="G121" s="2" t="n"/>
      <c r="H121" s="35" t="n"/>
      <c r="I121" s="35" t="n"/>
    </row>
    <row r="122" ht="62" customHeight="1">
      <c r="A122" s="9" t="n"/>
      <c r="B122" s="34" t="inlineStr">
        <is>
          <t>TECHO AISLADO</t>
        </is>
      </c>
      <c r="C122" s="9" t="inlineStr"/>
      <c r="D122" s="8">
        <f>IF(COUNT(H122,I122)&lt;2,"",ROUND(H122*I122,2))</f>
        <v/>
      </c>
      <c r="E122" s="25" t="n">
        <v>20</v>
      </c>
      <c r="F122" s="28">
        <f>IF(D122="","",ROUND(D122*E122,1))</f>
        <v/>
      </c>
      <c r="G122" s="2" t="n"/>
      <c r="H122" s="35" t="n"/>
      <c r="I122" s="35" t="n"/>
    </row>
    <row r="123" ht="39.7" customHeight="1">
      <c r="A123" s="9" t="n"/>
      <c r="B123" s="34" t="inlineStr">
        <is>
          <t>TECHO ENTREPISO</t>
        </is>
      </c>
      <c r="C123" s="9" t="inlineStr">
        <is>
          <t>por croquis</t>
        </is>
      </c>
      <c r="D123" s="8" t="n">
        <v>7.23</v>
      </c>
      <c r="E123" s="25" t="n">
        <v>15</v>
      </c>
      <c r="F123" s="28">
        <f>IF(D123="","",ROUND(D123*E123,1))</f>
        <v/>
      </c>
      <c r="G123" s="2" t="n"/>
      <c r="H123" s="35" t="n"/>
      <c r="I123" s="35" t="n"/>
    </row>
    <row r="124" ht="39.7" customHeight="1">
      <c r="A124" s="16" t="inlineStr">
        <is>
          <t>4</t>
        </is>
      </c>
      <c r="B124" s="33" t="inlineStr">
        <is>
          <t>PISO</t>
        </is>
      </c>
      <c r="C124" s="9" t="n"/>
      <c r="D124" s="9" t="n"/>
      <c r="E124" s="9" t="n"/>
      <c r="F124" s="9" t="n"/>
      <c r="G124" s="2" t="n"/>
      <c r="H124" s="2" t="n"/>
      <c r="I124" s="2" t="n"/>
    </row>
    <row r="125" ht="39.7" customHeight="1">
      <c r="A125" s="9" t="n"/>
      <c r="B125" s="34" t="inlineStr">
        <is>
          <t>SOBRE TIERRA</t>
        </is>
      </c>
      <c r="C125" s="9" t="inlineStr">
        <is>
          <t>por croquis</t>
        </is>
      </c>
      <c r="D125" s="8" t="n">
        <v>7.23</v>
      </c>
      <c r="E125" s="25" t="n">
        <v>10</v>
      </c>
      <c r="F125" s="28">
        <f>IF(D125="","",ROUND(D125*E125,1))</f>
        <v/>
      </c>
      <c r="G125" s="2" t="n"/>
      <c r="H125" s="35" t="n"/>
      <c r="I125" s="35" t="n"/>
    </row>
    <row r="126" ht="62" customHeight="1">
      <c r="A126" s="9" t="n"/>
      <c r="B126" s="34" t="inlineStr">
        <is>
          <t>SOBRE LOCAL OCUPADO</t>
        </is>
      </c>
      <c r="C126" s="9" t="inlineStr"/>
      <c r="D126" s="8">
        <f>IF(COUNT(H126,I126)&lt;2,"",ROUND(H126*I126,2))</f>
        <v/>
      </c>
      <c r="E126" s="25" t="n">
        <v>15</v>
      </c>
      <c r="F126" s="28">
        <f>IF(D126="","",ROUND(D126*E126,1))</f>
        <v/>
      </c>
      <c r="G126" s="2" t="n"/>
      <c r="H126" s="35" t="n"/>
      <c r="I126" s="35" t="n"/>
    </row>
    <row r="127" ht="39.7" customHeight="1">
      <c r="A127" s="16" t="inlineStr">
        <is>
          <t>5</t>
        </is>
      </c>
      <c r="B127" s="33" t="inlineStr">
        <is>
          <t>INFILTRACION</t>
        </is>
      </c>
      <c r="C127" s="9" t="n"/>
      <c r="D127" s="16" t="inlineStr">
        <is>
          <t>VOLUMEN (m3)</t>
        </is>
      </c>
      <c r="E127" s="9" t="n"/>
      <c r="F127" s="9" t="n"/>
      <c r="G127" s="2" t="n"/>
      <c r="H127" s="2" t="n"/>
      <c r="I127" s="2" t="n"/>
    </row>
    <row r="128" ht="39.7" customHeight="1">
      <c r="A128" s="9" t="n"/>
      <c r="B128" s="34" t="inlineStr">
        <is>
          <t>UNA PARED EXTERIOR</t>
        </is>
      </c>
      <c r="C128" s="9" t="inlineStr">
        <is>
          <t>7.23 m2 x 3.00</t>
        </is>
      </c>
      <c r="D128" s="8" t="n">
        <v>21.69</v>
      </c>
      <c r="E128" s="25" t="n">
        <v>6</v>
      </c>
      <c r="F128" s="28">
        <f>IF(D128="","",ROUND(D128*E128,1))</f>
        <v/>
      </c>
      <c r="G128" s="2" t="n"/>
      <c r="H128" s="35" t="n"/>
      <c r="I128" s="35" t="n"/>
    </row>
    <row r="129" ht="62" customHeight="1">
      <c r="A129" s="9" t="n"/>
      <c r="B129" s="34" t="inlineStr">
        <is>
          <t>DOS PAREDES EXTERIORES</t>
        </is>
      </c>
      <c r="C129" s="9" t="inlineStr"/>
      <c r="D129" s="8">
        <f>IF(COUNT(H129,I129)&lt;2,"",ROUND(H129*I129,2))</f>
        <v/>
      </c>
      <c r="E129" s="25" t="n">
        <v>9</v>
      </c>
      <c r="F129" s="28">
        <f>IF(D129="","",ROUND(D129*E129,1))</f>
        <v/>
      </c>
      <c r="G129" s="2" t="n"/>
      <c r="H129" s="35" t="n"/>
      <c r="I129" s="35" t="n"/>
    </row>
    <row r="130" ht="62" customHeight="1">
      <c r="A130" s="9" t="n"/>
      <c r="B130" s="34" t="inlineStr">
        <is>
          <t>TRES O MAS PAREDES EXTERIORES</t>
        </is>
      </c>
      <c r="C130" s="9" t="inlineStr"/>
      <c r="D130" s="8">
        <f>IF(COUNT(H130,I130)&lt;2,"",ROUND(H130*I130,2))</f>
        <v/>
      </c>
      <c r="E130" s="25" t="n">
        <v>12</v>
      </c>
      <c r="F130" s="28">
        <f>IF(D130="","",ROUND(D130*E130,1))</f>
        <v/>
      </c>
      <c r="G130" s="2" t="n"/>
      <c r="H130" s="35" t="n"/>
      <c r="I130" s="35" t="n"/>
    </row>
    <row r="131" ht="70" customHeight="1">
      <c r="A131" s="16" t="inlineStr">
        <is>
          <t>6</t>
        </is>
      </c>
      <c r="B131" s="33" t="inlineStr">
        <is>
          <t>SUBTOTAL</t>
        </is>
      </c>
      <c r="C131" s="9" t="n"/>
      <c r="D131" s="9" t="n"/>
      <c r="E131" s="9" t="n"/>
      <c r="F131" s="36">
        <f>IF(F108="",0,F108)+IF(F110="",0,F110)+IF(F111="",0,F111)+IF(F112="",0,F112)+IF(F113="",0,F113)+IF(F114="",0,F114)+IF(F115="",0,F115)+IF(F116="",0,F116)+IF(F117="",0,F117)+IF(F118="",0,F118)+IF(F119="",0,F119)+IF(F121="",0,F121)+IF(F122="",0,F122)+IF(F123="",0,F123)+IF(F125="",0,F125)+IF(F126="",0,F126)+IF(F128="",0,F128)+IF(F129="",0,F129)+IF(F130="",0,F130)</f>
        <v/>
      </c>
      <c r="G131" s="2" t="n"/>
      <c r="H131" s="2" t="n"/>
      <c r="I131" s="2" t="n"/>
    </row>
    <row r="132" ht="47" customHeight="1">
      <c r="A132" s="16" t="inlineStr">
        <is>
          <t>7</t>
        </is>
      </c>
      <c r="B132" s="33" t="inlineStr">
        <is>
          <t>PERDIDA TOTAL</t>
        </is>
      </c>
      <c r="C132" s="9">
        <f>TEXT(F131,"0.00")&amp;"  X  "&amp;Datos_balance!$B$4&amp;" (FI)  X  "&amp;Datos_balance!$B$5&amp;" (FO)  X  "&amp;Datos_balance!$B$6&amp;" (FZ)"</f>
        <v/>
      </c>
      <c r="D132" s="2" t="n"/>
      <c r="E132" s="2" t="n"/>
      <c r="F132" s="36">
        <f>ROUND(F131*Datos_balance!$B$4*Datos_balance!$B$5*Datos_balance!$B$6,1)</f>
        <v/>
      </c>
      <c r="G132" s="2" t="n"/>
      <c r="H132" s="2" t="n"/>
      <c r="I132" s="2" t="n"/>
    </row>
    <row r="133">
      <c r="A133" s="2" t="n"/>
      <c r="B133" s="2" t="n"/>
      <c r="C133" s="2" t="n"/>
      <c r="D133" s="2" t="n"/>
      <c r="E133" s="2" t="n"/>
      <c r="F133" s="2" t="n"/>
      <c r="G133" s="2" t="n"/>
      <c r="H133" s="2" t="n"/>
      <c r="I133" s="2" t="n"/>
    </row>
    <row r="134" ht="62" customHeight="1">
      <c r="A134" s="9" t="n"/>
      <c r="B134" s="10" t="inlineStr">
        <is>
          <t>Salto termico:  dt = (te+ts)/2 - ti</t>
        </is>
      </c>
      <c r="C134" s="9">
        <f>TEXT((Datos_balance!$B$9+Datos_balance!$B$10)/2,"0")&amp;" - "&amp;TEXT(Datos_balance!$B$11,"0")&amp;" = "&amp;TEXT((Datos_balance!$B$9+Datos_balance!$B$10)/2-Datos_balance!$B$11,"0")&amp;" C"</f>
        <v/>
      </c>
      <c r="D134" s="2" t="n"/>
      <c r="E134" s="2" t="n"/>
      <c r="F134" s="9" t="n"/>
      <c r="G134" s="2" t="n"/>
      <c r="H134" s="2" t="n"/>
      <c r="I134" s="2" t="n"/>
    </row>
    <row r="135" ht="39.7" customHeight="1">
      <c r="A135" s="9" t="n"/>
      <c r="B135" s="10" t="inlineStr">
        <is>
          <t>Kcal/h por elemento</t>
        </is>
      </c>
      <c r="C135" s="8">
        <f>ROUND(Datos_balance!$B$14*Datos_balance!$B$15,2)</f>
        <v/>
      </c>
      <c r="D135" s="2" t="n"/>
      <c r="E135" s="2" t="n"/>
      <c r="F135" s="9" t="n"/>
      <c r="G135" s="2" t="n"/>
      <c r="H135" s="2" t="n"/>
      <c r="I135" s="2" t="n"/>
    </row>
    <row r="136" ht="39.7" customHeight="1">
      <c r="A136" s="9" t="n"/>
      <c r="B136" s="10" t="inlineStr">
        <is>
          <t>Elementos necesarios</t>
        </is>
      </c>
      <c r="C136" s="25">
        <f>ROUNDUP(F132/(Datos_balance!$B$14*Datos_balance!$B$15),0)</f>
        <v/>
      </c>
      <c r="D136" s="2" t="n"/>
      <c r="E136" s="2" t="n"/>
      <c r="F136" s="9" t="n"/>
      <c r="G136" s="2" t="n"/>
      <c r="H136" s="2" t="n"/>
      <c r="I136" s="2" t="n"/>
    </row>
    <row r="137" ht="39.7" customHeight="1">
      <c r="A137" s="9" t="n"/>
      <c r="B137" s="10" t="inlineStr">
        <is>
          <t>Ancho del radiador (cm)</t>
        </is>
      </c>
      <c r="C137" s="25">
        <f>ROUNDUP(F132/(Datos_balance!$B$14*Datos_balance!$B$15),0)*Datos_balance!$B$16</f>
        <v/>
      </c>
      <c r="D137" s="2" t="n"/>
      <c r="E137" s="2" t="n"/>
      <c r="F137" s="9" t="n"/>
      <c r="G137" s="2" t="n"/>
      <c r="H137" s="2" t="n"/>
      <c r="I137" s="2" t="n"/>
    </row>
    <row r="138" ht="39.7" customHeight="1">
      <c r="A138" s="13" t="n"/>
      <c r="B138" s="14" t="inlineStr">
        <is>
          <t>Radiador adoptado</t>
        </is>
      </c>
      <c r="C138" s="13">
        <f>Datos_balance!$B$13</f>
        <v/>
      </c>
      <c r="D138" s="20" t="n"/>
      <c r="E138" s="20" t="n"/>
      <c r="F138" s="13" t="n"/>
      <c r="G138" s="2" t="n"/>
      <c r="H138" s="2" t="n"/>
      <c r="I138" s="2" t="n"/>
    </row>
    <row r="139">
      <c r="A139" s="2" t="n"/>
      <c r="B139" s="2" t="n"/>
      <c r="C139" s="2" t="n"/>
      <c r="D139" s="2" t="n"/>
      <c r="E139" s="2" t="n"/>
      <c r="F139" s="2" t="n"/>
      <c r="G139" s="2" t="n"/>
      <c r="H139" s="2" t="n"/>
      <c r="I139" s="2" t="n"/>
    </row>
    <row r="140">
      <c r="A140" s="2" t="n"/>
      <c r="B140" s="2" t="n"/>
      <c r="C140" s="2" t="n"/>
      <c r="D140" s="2" t="n"/>
      <c r="E140" s="2" t="n"/>
      <c r="F140" s="2" t="n"/>
      <c r="G140" s="2" t="n"/>
      <c r="H140" s="2" t="n"/>
      <c r="I140" s="2" t="n"/>
    </row>
    <row r="141" ht="39.7" customHeight="1">
      <c r="A141" s="5" t="inlineStr">
        <is>
          <t>LOCAL  Escalera   (PB)</t>
        </is>
      </c>
      <c r="B141" s="2" t="n"/>
      <c r="C141" s="2" t="n"/>
      <c r="D141" s="2" t="n"/>
      <c r="E141" s="2" t="n"/>
      <c r="F141" s="2" t="n"/>
      <c r="G141" s="2" t="n"/>
      <c r="H141" s="2" t="n"/>
      <c r="I141" s="2" t="n"/>
    </row>
    <row r="142" ht="39.7" customHeight="1">
      <c r="A142" s="3" t="inlineStr">
        <is>
          <t>Nro</t>
        </is>
      </c>
      <c r="B142" s="3" t="inlineStr">
        <is>
          <t>DESCRIPCION</t>
        </is>
      </c>
      <c r="C142" s="3" t="inlineStr">
        <is>
          <t>DIMENSIONES (m)</t>
        </is>
      </c>
      <c r="D142" s="3" t="inlineStr">
        <is>
          <t>AREA (m2)</t>
        </is>
      </c>
      <c r="E142" s="3" t="inlineStr">
        <is>
          <t>FACTOR</t>
        </is>
      </c>
      <c r="F142" s="3" t="inlineStr">
        <is>
          <t>PERDIDA CALOR (Kcal/h)</t>
        </is>
      </c>
      <c r="G142" s="2" t="n"/>
      <c r="H142" s="2" t="n"/>
      <c r="I142" s="2" t="n"/>
    </row>
    <row r="143" ht="39.7" customHeight="1">
      <c r="A143" s="16" t="inlineStr">
        <is>
          <t>1</t>
        </is>
      </c>
      <c r="B143" s="33" t="inlineStr">
        <is>
          <t>VENTANA</t>
        </is>
      </c>
      <c r="C143" s="9" t="n"/>
      <c r="D143" s="9" t="n"/>
      <c r="E143" s="9" t="n"/>
      <c r="F143" s="9" t="n"/>
      <c r="G143" s="2" t="n"/>
      <c r="H143" s="2" t="n"/>
      <c r="I143" s="2" t="n"/>
    </row>
    <row r="144" ht="62" customHeight="1">
      <c r="A144" s="9" t="n"/>
      <c r="B144" s="34" t="inlineStr">
        <is>
          <t>PF05</t>
        </is>
      </c>
      <c r="C144" s="9">
        <f>IF(COUNT(H144,I144)&lt;2,"",TEXT(H144,"0.00")&amp;" x "&amp;TEXT(I144,"0.00"))</f>
        <v/>
      </c>
      <c r="D144" s="8">
        <f>IF(COUNT(H144,I144)&lt;2,"",ROUND(H144*I144,2))</f>
        <v/>
      </c>
      <c r="E144" s="25" t="n">
        <v>60</v>
      </c>
      <c r="F144" s="28">
        <f>IF(D144="","",ROUND(D144*E144,1))</f>
        <v/>
      </c>
      <c r="G144" s="2" t="n"/>
      <c r="H144" s="35" t="n">
        <v>0.75</v>
      </c>
      <c r="I144" s="35" t="n">
        <v>2.52</v>
      </c>
    </row>
    <row r="145" ht="39.7" customHeight="1">
      <c r="A145" s="16" t="inlineStr">
        <is>
          <t>2</t>
        </is>
      </c>
      <c r="B145" s="33" t="inlineStr">
        <is>
          <t>PAREDES EXTERIORES</t>
        </is>
      </c>
      <c r="C145" s="9" t="n"/>
      <c r="D145" s="9" t="n"/>
      <c r="E145" s="9" t="n"/>
      <c r="F145" s="9" t="n"/>
      <c r="G145" s="2" t="n"/>
      <c r="H145" s="2" t="n"/>
      <c r="I145" s="2" t="n"/>
    </row>
    <row r="146" ht="62" customHeight="1">
      <c r="A146" s="9" t="n"/>
      <c r="B146" s="34" t="inlineStr">
        <is>
          <t>AISLADAS (    )</t>
        </is>
      </c>
      <c r="C146" s="9">
        <f>IF(COUNT(H146,I146)&lt;2,"",TEXT(H146,"0.00")&amp;" x "&amp;TEXT(I146,"0.00"))</f>
        <v/>
      </c>
      <c r="D146" s="8">
        <f>IF(COUNT(H146,I146)&lt;2,"",ROUND(H146*I146,2))</f>
        <v/>
      </c>
      <c r="E146" s="25" t="n">
        <v>20</v>
      </c>
      <c r="F146" s="28">
        <f>IF(D146="","",ROUND(D146*E146,1))</f>
        <v/>
      </c>
      <c r="G146" s="2" t="n"/>
      <c r="H146" s="35" t="n"/>
      <c r="I146" s="35" t="n"/>
    </row>
    <row r="147" ht="62" customHeight="1">
      <c r="A147" s="9" t="n"/>
      <c r="B147" s="34" t="inlineStr">
        <is>
          <t>AISLADAS (    )</t>
        </is>
      </c>
      <c r="C147" s="9">
        <f>IF(COUNT(H147,I147)&lt;2,"",TEXT(H147,"0.00")&amp;" x "&amp;TEXT(I147,"0.00"))</f>
        <v/>
      </c>
      <c r="D147" s="8">
        <f>IF(COUNT(H147,I147)&lt;2,"",ROUND(H147*I147,2))</f>
        <v/>
      </c>
      <c r="E147" s="25" t="n">
        <v>20</v>
      </c>
      <c r="F147" s="28">
        <f>IF(D147="","",ROUND(D147*E147,1))</f>
        <v/>
      </c>
      <c r="G147" s="2" t="n"/>
      <c r="H147" s="35" t="n"/>
      <c r="I147" s="35" t="n"/>
    </row>
    <row r="148" ht="62" customHeight="1">
      <c r="A148" s="9" t="n"/>
      <c r="B148" s="34" t="inlineStr">
        <is>
          <t>AISLADAS (    )</t>
        </is>
      </c>
      <c r="C148" s="9">
        <f>IF(COUNT(H148,I148)&lt;2,"",TEXT(H148,"0.00")&amp;" x "&amp;TEXT(I148,"0.00"))</f>
        <v/>
      </c>
      <c r="D148" s="8">
        <f>IF(COUNT(H148,I148)&lt;2,"",ROUND(H148*I148,2))</f>
        <v/>
      </c>
      <c r="E148" s="25" t="n">
        <v>20</v>
      </c>
      <c r="F148" s="28">
        <f>IF(D148="","",ROUND(D148*E148,1))</f>
        <v/>
      </c>
      <c r="G148" s="2" t="n"/>
      <c r="H148" s="35" t="n"/>
      <c r="I148" s="35"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INTERIORES (    )</t>
        </is>
      </c>
      <c r="C150" s="9">
        <f>IF(COUNT(H150,I150)&lt;2,"",TEXT(H150,"0.00")&amp;" x "&amp;TEXT(I150,"0.00"))</f>
        <v/>
      </c>
      <c r="D150" s="8">
        <f>IF(COUNT(H150,I150)&lt;2,"",ROUND(H150*I150,2))</f>
        <v/>
      </c>
      <c r="E150" s="25" t="n">
        <v>25</v>
      </c>
      <c r="F150" s="28">
        <f>IF(D150="","",ROUND(D150*E150,1))</f>
        <v/>
      </c>
      <c r="G150" s="2" t="n"/>
      <c r="H150" s="35" t="n">
        <v>1</v>
      </c>
      <c r="I150" s="35" t="n">
        <v>3</v>
      </c>
    </row>
    <row r="151" ht="62" customHeight="1">
      <c r="A151" s="9" t="n"/>
      <c r="B151" s="34" t="inlineStr">
        <is>
          <t>INTERIORES (    )</t>
        </is>
      </c>
      <c r="C151" s="9">
        <f>IF(COUNT(H151,I151)&lt;2,"",TEXT(H151,"0.00")&amp;" x "&amp;TEXT(I151,"0.00"))</f>
        <v/>
      </c>
      <c r="D151" s="8">
        <f>IF(COUNT(H151,I151)&lt;2,"",ROUND(H151*I151,2))</f>
        <v/>
      </c>
      <c r="E151" s="25" t="n">
        <v>25</v>
      </c>
      <c r="F151" s="28">
        <f>IF(D151="","",ROUND(D151*E151,1))</f>
        <v/>
      </c>
      <c r="G151" s="2" t="n"/>
      <c r="H151" s="35" t="n">
        <v>4.1</v>
      </c>
      <c r="I151" s="35" t="n">
        <v>3</v>
      </c>
    </row>
    <row r="152" ht="62" customHeight="1">
      <c r="A152" s="9" t="n"/>
      <c r="B152" s="34" t="inlineStr">
        <is>
          <t>INTERIORES (    )</t>
        </is>
      </c>
      <c r="C152" s="9">
        <f>IF(COUNT(H152,I152)&lt;2,"",TEXT(H152,"0.00")&amp;" x "&amp;TEXT(I152,"0.00"))</f>
        <v/>
      </c>
      <c r="D152" s="8">
        <f>IF(COUNT(H152,I152)&lt;2,"",ROUND(H152*I152,2))</f>
        <v/>
      </c>
      <c r="E152" s="25" t="n">
        <v>25</v>
      </c>
      <c r="F152" s="28">
        <f>IF(D152="","",ROUND(D152*E152,1))</f>
        <v/>
      </c>
      <c r="G152" s="2" t="n"/>
      <c r="H152" s="35" t="n">
        <v>1</v>
      </c>
      <c r="I152" s="35" t="n">
        <v>3</v>
      </c>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4.1</v>
      </c>
      <c r="I153" s="35" t="n">
        <v>3</v>
      </c>
    </row>
    <row r="154" ht="39.7" customHeight="1">
      <c r="A154" s="16" t="inlineStr">
        <is>
          <t>3</t>
        </is>
      </c>
      <c r="B154" s="33" t="inlineStr">
        <is>
          <t>TECHOS O CIELORRASOS</t>
        </is>
      </c>
      <c r="C154" s="9" t="n"/>
      <c r="D154" s="9" t="n"/>
      <c r="E154" s="9" t="n"/>
      <c r="F154" s="9" t="n"/>
      <c r="G154" s="2" t="n"/>
      <c r="H154" s="2" t="n"/>
      <c r="I154" s="2" t="n"/>
    </row>
    <row r="155" ht="62" customHeight="1">
      <c r="A155" s="9" t="n"/>
      <c r="B155" s="34" t="inlineStr">
        <is>
          <t>TECHO NO AISLADO</t>
        </is>
      </c>
      <c r="C155" s="9" t="inlineStr"/>
      <c r="D155" s="8">
        <f>IF(COUNT(H155,I155)&lt;2,"",ROUND(H155*I155,2))</f>
        <v/>
      </c>
      <c r="E155" s="25" t="n">
        <v>30</v>
      </c>
      <c r="F155" s="28">
        <f>IF(D155="","",ROUND(D155*E155,1))</f>
        <v/>
      </c>
      <c r="G155" s="2" t="n"/>
      <c r="H155" s="35" t="n"/>
      <c r="I155" s="35" t="n"/>
    </row>
    <row r="156" ht="62" customHeight="1">
      <c r="A156" s="9" t="n"/>
      <c r="B156" s="34" t="inlineStr">
        <is>
          <t>TECHO AISLADO</t>
        </is>
      </c>
      <c r="C156" s="9" t="inlineStr"/>
      <c r="D156" s="8">
        <f>IF(COUNT(H156,I156)&lt;2,"",ROUND(H156*I156,2))</f>
        <v/>
      </c>
      <c r="E156" s="25" t="n">
        <v>20</v>
      </c>
      <c r="F156" s="28">
        <f>IF(D156="","",ROUND(D156*E156,1))</f>
        <v/>
      </c>
      <c r="G156" s="2" t="n"/>
      <c r="H156" s="35" t="n"/>
      <c r="I156" s="35" t="n"/>
    </row>
    <row r="157" ht="39.7" customHeight="1">
      <c r="A157" s="9" t="n"/>
      <c r="B157" s="34" t="inlineStr">
        <is>
          <t>TECHO ENTREPISO</t>
        </is>
      </c>
      <c r="C157" s="9" t="inlineStr">
        <is>
          <t>por croquis</t>
        </is>
      </c>
      <c r="D157" s="8" t="n">
        <v>4.1</v>
      </c>
      <c r="E157" s="25" t="n">
        <v>15</v>
      </c>
      <c r="F157" s="28">
        <f>IF(D157="","",ROUND(D157*E157,1))</f>
        <v/>
      </c>
      <c r="G157" s="2" t="n"/>
      <c r="H157" s="35" t="n"/>
      <c r="I157" s="35" t="n"/>
    </row>
    <row r="158" ht="39.7" customHeight="1">
      <c r="A158" s="16" t="inlineStr">
        <is>
          <t>4</t>
        </is>
      </c>
      <c r="B158" s="33" t="inlineStr">
        <is>
          <t>PISO</t>
        </is>
      </c>
      <c r="C158" s="9" t="n"/>
      <c r="D158" s="9" t="n"/>
      <c r="E158" s="9" t="n"/>
      <c r="F158" s="9" t="n"/>
      <c r="G158" s="2" t="n"/>
      <c r="H158" s="2" t="n"/>
      <c r="I158" s="2" t="n"/>
    </row>
    <row r="159" ht="39.7" customHeight="1">
      <c r="A159" s="9" t="n"/>
      <c r="B159" s="34" t="inlineStr">
        <is>
          <t>SOBRE TIERRA</t>
        </is>
      </c>
      <c r="C159" s="9" t="inlineStr">
        <is>
          <t>por croquis</t>
        </is>
      </c>
      <c r="D159" s="8" t="n">
        <v>4.1</v>
      </c>
      <c r="E159" s="25" t="n">
        <v>10</v>
      </c>
      <c r="F159" s="28">
        <f>IF(D159="","",ROUND(D159*E159,1))</f>
        <v/>
      </c>
      <c r="G159" s="2" t="n"/>
      <c r="H159" s="35" t="n"/>
      <c r="I159" s="35" t="n"/>
    </row>
    <row r="160" ht="62" customHeight="1">
      <c r="A160" s="9" t="n"/>
      <c r="B160" s="34" t="inlineStr">
        <is>
          <t>SOBRE LOCAL OCUPADO</t>
        </is>
      </c>
      <c r="C160" s="9" t="inlineStr"/>
      <c r="D160" s="8">
        <f>IF(COUNT(H160,I160)&lt;2,"",ROUND(H160*I160,2))</f>
        <v/>
      </c>
      <c r="E160" s="25" t="n">
        <v>15</v>
      </c>
      <c r="F160" s="28">
        <f>IF(D160="","",ROUND(D160*E160,1))</f>
        <v/>
      </c>
      <c r="G160" s="2" t="n"/>
      <c r="H160" s="35" t="n"/>
      <c r="I160" s="35" t="n"/>
    </row>
    <row r="161" ht="39.7" customHeight="1">
      <c r="A161" s="16" t="inlineStr">
        <is>
          <t>5</t>
        </is>
      </c>
      <c r="B161" s="33" t="inlineStr">
        <is>
          <t>INFILTRACION</t>
        </is>
      </c>
      <c r="C161" s="9" t="n"/>
      <c r="D161" s="16" t="inlineStr">
        <is>
          <t>VOLUMEN (m3)</t>
        </is>
      </c>
      <c r="E161" s="9" t="n"/>
      <c r="F161" s="9" t="n"/>
      <c r="G161" s="2" t="n"/>
      <c r="H161" s="2" t="n"/>
      <c r="I161" s="2" t="n"/>
    </row>
    <row r="162" ht="39.7" customHeight="1">
      <c r="A162" s="9" t="n"/>
      <c r="B162" s="34" t="inlineStr">
        <is>
          <t>UNA PARED EXTERIOR</t>
        </is>
      </c>
      <c r="C162" s="9" t="inlineStr">
        <is>
          <t>4.10 m2 x 3.00</t>
        </is>
      </c>
      <c r="D162" s="8" t="n">
        <v>12.3</v>
      </c>
      <c r="E162" s="25" t="n">
        <v>6</v>
      </c>
      <c r="F162" s="28">
        <f>IF(D162="","",ROUND(D162*E162,1))</f>
        <v/>
      </c>
      <c r="G162" s="2" t="n"/>
      <c r="H162" s="35" t="n"/>
      <c r="I162" s="35" t="n"/>
    </row>
    <row r="163" ht="62" customHeight="1">
      <c r="A163" s="9" t="n"/>
      <c r="B163" s="34" t="inlineStr">
        <is>
          <t>DOS PAREDES EXTERIORES</t>
        </is>
      </c>
      <c r="C163" s="9" t="inlineStr"/>
      <c r="D163" s="8">
        <f>IF(COUNT(H163,I163)&lt;2,"",ROUND(H163*I163,2))</f>
        <v/>
      </c>
      <c r="E163" s="25" t="n">
        <v>9</v>
      </c>
      <c r="F163" s="28">
        <f>IF(D163="","",ROUND(D163*E163,1))</f>
        <v/>
      </c>
      <c r="G163" s="2" t="n"/>
      <c r="H163" s="35" t="n"/>
      <c r="I163" s="35" t="n"/>
    </row>
    <row r="164" ht="62" customHeight="1">
      <c r="A164" s="9" t="n"/>
      <c r="B164" s="34" t="inlineStr">
        <is>
          <t>TRES O MAS PAREDES EXTERIORES</t>
        </is>
      </c>
      <c r="C164" s="9" t="inlineStr"/>
      <c r="D164" s="8">
        <f>IF(COUNT(H164,I164)&lt;2,"",ROUND(H164*I164,2))</f>
        <v/>
      </c>
      <c r="E164" s="25" t="n">
        <v>12</v>
      </c>
      <c r="F164" s="28">
        <f>IF(D164="","",ROUND(D164*E164,1))</f>
        <v/>
      </c>
      <c r="G164" s="2" t="n"/>
      <c r="H164" s="35" t="n"/>
      <c r="I164" s="35" t="n"/>
    </row>
    <row r="165" ht="70" customHeight="1">
      <c r="A165" s="16" t="inlineStr">
        <is>
          <t>6</t>
        </is>
      </c>
      <c r="B165" s="33" t="inlineStr">
        <is>
          <t>SUBTOTAL</t>
        </is>
      </c>
      <c r="C165" s="9" t="n"/>
      <c r="D165" s="9" t="n"/>
      <c r="E165" s="9" t="n"/>
      <c r="F165" s="36">
        <f>IF(F144="",0,F144)+IF(F146="",0,F146)+IF(F147="",0,F147)+IF(F148="",0,F148)+IF(F149="",0,F149)+IF(F150="",0,F150)+IF(F151="",0,F151)+IF(F152="",0,F152)+IF(F153="",0,F153)+IF(F155="",0,F155)+IF(F156="",0,F156)+IF(F157="",0,F157)+IF(F159="",0,F159)+IF(F160="",0,F160)+IF(F162="",0,F162)+IF(F163="",0,F163)+IF(F164="",0,F164)</f>
        <v/>
      </c>
      <c r="G165" s="2" t="n"/>
      <c r="H165" s="2" t="n"/>
      <c r="I165" s="2" t="n"/>
    </row>
    <row r="166" ht="47" customHeight="1">
      <c r="A166" s="16" t="inlineStr">
        <is>
          <t>7</t>
        </is>
      </c>
      <c r="B166" s="33" t="inlineStr">
        <is>
          <t>PERDIDA TOTAL</t>
        </is>
      </c>
      <c r="C166" s="9">
        <f>TEXT(F165,"0.00")&amp;"  X  "&amp;Datos_balance!$B$4&amp;" (FI)  X  "&amp;Datos_balance!$B$5&amp;" (FO)  X  "&amp;Datos_balance!$B$6&amp;" (FZ)"</f>
        <v/>
      </c>
      <c r="D166" s="2" t="n"/>
      <c r="E166" s="2" t="n"/>
      <c r="F166" s="36">
        <f>ROUND(F165*Datos_balance!$B$4*Datos_balance!$B$5*Datos_balance!$B$6,1)</f>
        <v/>
      </c>
      <c r="G166" s="2" t="n"/>
      <c r="H166" s="2" t="n"/>
      <c r="I166" s="2" t="n"/>
    </row>
    <row r="167">
      <c r="A167" s="2" t="n"/>
      <c r="B167" s="2" t="n"/>
      <c r="C167" s="2" t="n"/>
      <c r="D167" s="2" t="n"/>
      <c r="E167" s="2" t="n"/>
      <c r="F167" s="2" t="n"/>
      <c r="G167" s="2" t="n"/>
      <c r="H167" s="2" t="n"/>
      <c r="I167" s="2" t="n"/>
    </row>
    <row r="168" ht="62" customHeight="1">
      <c r="A168" s="9" t="n"/>
      <c r="B168" s="10" t="inlineStr">
        <is>
          <t>Salto termico:  dt = (te+ts)/2 - ti</t>
        </is>
      </c>
      <c r="C168" s="9">
        <f>TEXT((Datos_balance!$B$9+Datos_balance!$B$10)/2,"0")&amp;" - "&amp;TEXT(Datos_balance!$B$11,"0")&amp;" = "&amp;TEXT((Datos_balance!$B$9+Datos_balance!$B$10)/2-Datos_balance!$B$11,"0")&amp;" C"</f>
        <v/>
      </c>
      <c r="D168" s="2" t="n"/>
      <c r="E168" s="2" t="n"/>
      <c r="F168" s="9" t="n"/>
      <c r="G168" s="2" t="n"/>
      <c r="H168" s="2" t="n"/>
      <c r="I168" s="2" t="n"/>
    </row>
    <row r="169" ht="39.7" customHeight="1">
      <c r="A169" s="9" t="n"/>
      <c r="B169" s="10" t="inlineStr">
        <is>
          <t>Kcal/h por elemento</t>
        </is>
      </c>
      <c r="C169" s="8">
        <f>ROUND(Datos_balance!$B$14*Datos_balance!$B$15,2)</f>
        <v/>
      </c>
      <c r="D169" s="2" t="n"/>
      <c r="E169" s="2" t="n"/>
      <c r="F169" s="9" t="n"/>
      <c r="G169" s="2" t="n"/>
      <c r="H169" s="2" t="n"/>
      <c r="I169" s="2" t="n"/>
    </row>
    <row r="170" ht="39.7" customHeight="1">
      <c r="A170" s="9" t="n"/>
      <c r="B170" s="10" t="inlineStr">
        <is>
          <t>Elementos necesarios</t>
        </is>
      </c>
      <c r="C170" s="25">
        <f>ROUNDUP(F166/(Datos_balance!$B$14*Datos_balance!$B$15),0)</f>
        <v/>
      </c>
      <c r="D170" s="2" t="n"/>
      <c r="E170" s="2" t="n"/>
      <c r="F170" s="9" t="n"/>
      <c r="G170" s="2" t="n"/>
      <c r="H170" s="2" t="n"/>
      <c r="I170" s="2" t="n"/>
    </row>
    <row r="171" ht="39.7" customHeight="1">
      <c r="A171" s="9" t="n"/>
      <c r="B171" s="10" t="inlineStr">
        <is>
          <t>Ancho del radiador (cm)</t>
        </is>
      </c>
      <c r="C171" s="25">
        <f>ROUNDUP(F166/(Datos_balance!$B$14*Datos_balance!$B$15),0)*Datos_balance!$B$16</f>
        <v/>
      </c>
      <c r="D171" s="2" t="n"/>
      <c r="E171" s="2" t="n"/>
      <c r="F171" s="9" t="n"/>
      <c r="G171" s="2" t="n"/>
      <c r="H171" s="2" t="n"/>
      <c r="I171" s="2" t="n"/>
    </row>
    <row r="172" ht="39.7" customHeight="1">
      <c r="A172" s="13" t="n"/>
      <c r="B172" s="14" t="inlineStr">
        <is>
          <t>Radiador adoptado</t>
        </is>
      </c>
      <c r="C172" s="13">
        <f>Datos_balance!$B$13</f>
        <v/>
      </c>
      <c r="D172" s="20" t="n"/>
      <c r="E172" s="20" t="n"/>
      <c r="F172" s="13" t="n"/>
      <c r="G172" s="2" t="n"/>
      <c r="H172" s="2" t="n"/>
      <c r="I172" s="2" t="n"/>
    </row>
    <row r="173">
      <c r="A173" s="2" t="n"/>
      <c r="B173" s="2" t="n"/>
      <c r="C173" s="2" t="n"/>
      <c r="D173" s="2" t="n"/>
      <c r="E173" s="2" t="n"/>
      <c r="F173" s="2" t="n"/>
      <c r="G173" s="2" t="n"/>
      <c r="H173" s="2" t="n"/>
      <c r="I173" s="2" t="n"/>
    </row>
    <row r="174">
      <c r="A174" s="2" t="n"/>
      <c r="B174" s="2" t="n"/>
      <c r="C174" s="2" t="n"/>
      <c r="D174" s="2" t="n"/>
      <c r="E174" s="2" t="n"/>
      <c r="F174" s="2" t="n"/>
      <c r="G174" s="2" t="n"/>
      <c r="H174" s="2" t="n"/>
      <c r="I174" s="2" t="n"/>
    </row>
    <row r="175" ht="39.7" customHeight="1">
      <c r="A175" s="5" t="inlineStr">
        <is>
          <t>LOCAL  09 - Dormitorio suite   (PB)</t>
        </is>
      </c>
      <c r="B175" s="2" t="n"/>
      <c r="C175" s="2" t="n"/>
      <c r="D175" s="2" t="n"/>
      <c r="E175" s="2" t="n"/>
      <c r="F175" s="2" t="n"/>
      <c r="G175" s="2" t="n"/>
      <c r="H175" s="2" t="n"/>
      <c r="I175" s="2" t="n"/>
    </row>
    <row r="176" ht="39.7" customHeight="1">
      <c r="A176" s="3" t="inlineStr">
        <is>
          <t>Nro</t>
        </is>
      </c>
      <c r="B176" s="3" t="inlineStr">
        <is>
          <t>DESCRIPCION</t>
        </is>
      </c>
      <c r="C176" s="3" t="inlineStr">
        <is>
          <t>DIMENSIONES (m)</t>
        </is>
      </c>
      <c r="D176" s="3" t="inlineStr">
        <is>
          <t>AREA (m2)</t>
        </is>
      </c>
      <c r="E176" s="3" t="inlineStr">
        <is>
          <t>FACTOR</t>
        </is>
      </c>
      <c r="F176" s="3" t="inlineStr">
        <is>
          <t>PERDIDA CALOR (Kcal/h)</t>
        </is>
      </c>
      <c r="G176" s="2" t="n"/>
      <c r="H176" s="2" t="n"/>
      <c r="I176" s="2" t="n"/>
    </row>
    <row r="177" ht="39.7" customHeight="1">
      <c r="A177" s="16" t="inlineStr">
        <is>
          <t>1</t>
        </is>
      </c>
      <c r="B177" s="33" t="inlineStr">
        <is>
          <t>VENTANA</t>
        </is>
      </c>
      <c r="C177" s="9" t="n"/>
      <c r="D177" s="9" t="n"/>
      <c r="E177" s="9" t="n"/>
      <c r="F177" s="9" t="n"/>
      <c r="G177" s="2" t="n"/>
      <c r="H177" s="2" t="n"/>
      <c r="I177" s="2" t="n"/>
    </row>
    <row r="178" ht="62" customHeight="1">
      <c r="A178" s="9" t="n"/>
      <c r="B178" s="34" t="inlineStr">
        <is>
          <t>VA01 (2)</t>
        </is>
      </c>
      <c r="C178" s="9">
        <f>IF(COUNT(H178,I178)&lt;2,"",TEXT(H178,"0.00")&amp;" x "&amp;TEXT(I178,"0.00"))</f>
        <v/>
      </c>
      <c r="D178" s="8">
        <f>IF(COUNT(H178,I178)&lt;2,"",ROUND(H178*I178,2))</f>
        <v/>
      </c>
      <c r="E178" s="25" t="n">
        <v>60</v>
      </c>
      <c r="F178" s="28">
        <f>IF(D178="","",ROUND(D178*E178,1))</f>
        <v/>
      </c>
      <c r="G178" s="2" t="n"/>
      <c r="H178" s="35" t="n">
        <v>0.75</v>
      </c>
      <c r="I178" s="35" t="n">
        <v>3</v>
      </c>
    </row>
    <row r="179" ht="62" customHeight="1">
      <c r="A179" s="9" t="n"/>
      <c r="B179" s="34" t="inlineStr">
        <is>
          <t>PV03</t>
        </is>
      </c>
      <c r="C179" s="9">
        <f>IF(COUNT(H179,I179)&lt;2,"",TEXT(H179,"0.00")&amp;" x "&amp;TEXT(I179,"0.00"))</f>
        <v/>
      </c>
      <c r="D179" s="8">
        <f>IF(COUNT(H179,I179)&lt;2,"",ROUND(H179*I179,2))</f>
        <v/>
      </c>
      <c r="E179" s="25" t="n">
        <v>60</v>
      </c>
      <c r="F179" s="28">
        <f>IF(D179="","",ROUND(D179*E179,1))</f>
        <v/>
      </c>
      <c r="G179" s="2" t="n"/>
      <c r="H179" s="35" t="n">
        <v>1.76</v>
      </c>
      <c r="I179" s="35" t="n">
        <v>3</v>
      </c>
    </row>
    <row r="180" ht="39.7" customHeight="1">
      <c r="A180" s="16" t="inlineStr">
        <is>
          <t>2</t>
        </is>
      </c>
      <c r="B180" s="33" t="inlineStr">
        <is>
          <t>PAREDES EXTERIORES</t>
        </is>
      </c>
      <c r="C180" s="9" t="n"/>
      <c r="D180" s="9" t="n"/>
      <c r="E180" s="9" t="n"/>
      <c r="F180" s="9" t="n"/>
      <c r="G180" s="2" t="n"/>
      <c r="H180" s="2" t="n"/>
      <c r="I180" s="2" t="n"/>
    </row>
    <row r="181" ht="62" customHeight="1">
      <c r="A181" s="9" t="n"/>
      <c r="B181" s="34" t="inlineStr">
        <is>
          <t>AISLADAS (    )</t>
        </is>
      </c>
      <c r="C181" s="9">
        <f>IF(COUNT(H181,I181)&lt;2,"",TEXT(H181,"0.00")&amp;" x "&amp;TEXT(I181,"0.00"))</f>
        <v/>
      </c>
      <c r="D181" s="8">
        <f>IF(COUNT(H181,I181)&lt;2,"",ROUND(H181*I181,2))</f>
        <v/>
      </c>
      <c r="E181" s="25" t="n">
        <v>20</v>
      </c>
      <c r="F181" s="28">
        <f>IF(D181="","",ROUND(D181*E181,1))</f>
        <v/>
      </c>
      <c r="G181" s="2" t="n"/>
      <c r="H181" s="35" t="n"/>
      <c r="I181" s="35" t="n"/>
    </row>
    <row r="182" ht="62" customHeight="1">
      <c r="A182" s="9" t="n"/>
      <c r="B182" s="34" t="inlineStr">
        <is>
          <t>AISLADAS (    )</t>
        </is>
      </c>
      <c r="C182" s="9">
        <f>IF(COUNT(H182,I182)&lt;2,"",TEXT(H182,"0.00")&amp;" x "&amp;TEXT(I182,"0.00"))</f>
        <v/>
      </c>
      <c r="D182" s="8">
        <f>IF(COUNT(H182,I182)&lt;2,"",ROUND(H182*I182,2))</f>
        <v/>
      </c>
      <c r="E182" s="25" t="n">
        <v>20</v>
      </c>
      <c r="F182" s="28">
        <f>IF(D182="","",ROUND(D182*E182,1))</f>
        <v/>
      </c>
      <c r="G182" s="2" t="n"/>
      <c r="H182" s="35" t="n"/>
      <c r="I182" s="35"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INTERIORES (    )</t>
        </is>
      </c>
      <c r="C185" s="9">
        <f>IF(COUNT(H185,I185)&lt;2,"",TEXT(H185,"0.00")&amp;" x "&amp;TEXT(I185,"0.00"))</f>
        <v/>
      </c>
      <c r="D185" s="8">
        <f>IF(COUNT(H185,I185)&lt;2,"",ROUND(H185*I185,2))</f>
        <v/>
      </c>
      <c r="E185" s="25" t="n">
        <v>25</v>
      </c>
      <c r="F185" s="28">
        <f>IF(D185="","",ROUND(D185*E185,1))</f>
        <v/>
      </c>
      <c r="G185" s="2" t="n"/>
      <c r="H185" s="35" t="n">
        <v>3.5</v>
      </c>
      <c r="I185" s="35" t="n">
        <v>3</v>
      </c>
    </row>
    <row r="186" ht="62" customHeight="1">
      <c r="A186" s="9" t="n"/>
      <c r="B186" s="34" t="inlineStr">
        <is>
          <t>INTERIORES (    )</t>
        </is>
      </c>
      <c r="C186" s="9">
        <f>IF(COUNT(H186,I186)&lt;2,"",TEXT(H186,"0.00")&amp;" x "&amp;TEXT(I186,"0.00"))</f>
        <v/>
      </c>
      <c r="D186" s="8">
        <f>IF(COUNT(H186,I186)&lt;2,"",ROUND(H186*I186,2))</f>
        <v/>
      </c>
      <c r="E186" s="25" t="n">
        <v>25</v>
      </c>
      <c r="F186" s="28">
        <f>IF(D186="","",ROUND(D186*E186,1))</f>
        <v/>
      </c>
      <c r="G186" s="2" t="n"/>
      <c r="H186" s="35" t="n">
        <v>3.5</v>
      </c>
      <c r="I186" s="35" t="n">
        <v>3</v>
      </c>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3.5</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3.5</v>
      </c>
      <c r="I188" s="35" t="n">
        <v>3</v>
      </c>
    </row>
    <row r="189" ht="39.7" customHeight="1">
      <c r="A189" s="16" t="inlineStr">
        <is>
          <t>3</t>
        </is>
      </c>
      <c r="B189" s="33" t="inlineStr">
        <is>
          <t>TECHOS O CIELORRASOS</t>
        </is>
      </c>
      <c r="C189" s="9" t="n"/>
      <c r="D189" s="9" t="n"/>
      <c r="E189" s="9" t="n"/>
      <c r="F189" s="9" t="n"/>
      <c r="G189" s="2" t="n"/>
      <c r="H189" s="2" t="n"/>
      <c r="I189" s="2" t="n"/>
    </row>
    <row r="190" ht="62" customHeight="1">
      <c r="A190" s="9" t="n"/>
      <c r="B190" s="34" t="inlineStr">
        <is>
          <t>TECHO NO AISLADO</t>
        </is>
      </c>
      <c r="C190" s="9" t="inlineStr"/>
      <c r="D190" s="8">
        <f>IF(COUNT(H190,I190)&lt;2,"",ROUND(H190*I190,2))</f>
        <v/>
      </c>
      <c r="E190" s="25" t="n">
        <v>30</v>
      </c>
      <c r="F190" s="28">
        <f>IF(D190="","",ROUND(D190*E190,1))</f>
        <v/>
      </c>
      <c r="G190" s="2" t="n"/>
      <c r="H190" s="35" t="n"/>
      <c r="I190" s="35" t="n"/>
    </row>
    <row r="191" ht="62" customHeight="1">
      <c r="A191" s="9" t="n"/>
      <c r="B191" s="34" t="inlineStr">
        <is>
          <t>TECHO AISLADO</t>
        </is>
      </c>
      <c r="C191" s="9" t="inlineStr"/>
      <c r="D191" s="8">
        <f>IF(COUNT(H191,I191)&lt;2,"",ROUND(H191*I191,2))</f>
        <v/>
      </c>
      <c r="E191" s="25" t="n">
        <v>20</v>
      </c>
      <c r="F191" s="28">
        <f>IF(D191="","",ROUND(D191*E191,1))</f>
        <v/>
      </c>
      <c r="G191" s="2" t="n"/>
      <c r="H191" s="35" t="n"/>
      <c r="I191" s="35" t="n"/>
    </row>
    <row r="192" ht="39.7" customHeight="1">
      <c r="A192" s="9" t="n"/>
      <c r="B192" s="34" t="inlineStr">
        <is>
          <t>TECHO ENTREPISO</t>
        </is>
      </c>
      <c r="C192" s="9" t="inlineStr">
        <is>
          <t>por croquis</t>
        </is>
      </c>
      <c r="D192" s="8" t="n">
        <v>12.25</v>
      </c>
      <c r="E192" s="25" t="n">
        <v>15</v>
      </c>
      <c r="F192" s="28">
        <f>IF(D192="","",ROUND(D192*E192,1))</f>
        <v/>
      </c>
      <c r="G192" s="2" t="n"/>
      <c r="H192" s="35" t="n"/>
      <c r="I192" s="35" t="n"/>
    </row>
    <row r="193" ht="39.7" customHeight="1">
      <c r="A193" s="16" t="inlineStr">
        <is>
          <t>4</t>
        </is>
      </c>
      <c r="B193" s="33" t="inlineStr">
        <is>
          <t>PISO</t>
        </is>
      </c>
      <c r="C193" s="9" t="n"/>
      <c r="D193" s="9" t="n"/>
      <c r="E193" s="9" t="n"/>
      <c r="F193" s="9" t="n"/>
      <c r="G193" s="2" t="n"/>
      <c r="H193" s="2" t="n"/>
      <c r="I193" s="2" t="n"/>
    </row>
    <row r="194" ht="39.7" customHeight="1">
      <c r="A194" s="9" t="n"/>
      <c r="B194" s="34" t="inlineStr">
        <is>
          <t>SOBRE TIERRA</t>
        </is>
      </c>
      <c r="C194" s="9" t="inlineStr">
        <is>
          <t>por croquis</t>
        </is>
      </c>
      <c r="D194" s="8" t="n">
        <v>12.25</v>
      </c>
      <c r="E194" s="25" t="n">
        <v>10</v>
      </c>
      <c r="F194" s="28">
        <f>IF(D194="","",ROUND(D194*E194,1))</f>
        <v/>
      </c>
      <c r="G194" s="2" t="n"/>
      <c r="H194" s="35" t="n"/>
      <c r="I194" s="35" t="n"/>
    </row>
    <row r="195" ht="62" customHeight="1">
      <c r="A195" s="9" t="n"/>
      <c r="B195" s="34" t="inlineStr">
        <is>
          <t>SOBRE LOCAL OCUPADO</t>
        </is>
      </c>
      <c r="C195" s="9" t="inlineStr"/>
      <c r="D195" s="8">
        <f>IF(COUNT(H195,I195)&lt;2,"",ROUND(H195*I195,2))</f>
        <v/>
      </c>
      <c r="E195" s="25" t="n">
        <v>15</v>
      </c>
      <c r="F195" s="28">
        <f>IF(D195="","",ROUND(D195*E195,1))</f>
        <v/>
      </c>
      <c r="G195" s="2" t="n"/>
      <c r="H195" s="35" t="n"/>
      <c r="I195" s="35" t="n"/>
    </row>
    <row r="196" ht="39.7" customHeight="1">
      <c r="A196" s="16" t="inlineStr">
        <is>
          <t>5</t>
        </is>
      </c>
      <c r="B196" s="33" t="inlineStr">
        <is>
          <t>INFILTRACION</t>
        </is>
      </c>
      <c r="C196" s="9" t="n"/>
      <c r="D196" s="16" t="inlineStr">
        <is>
          <t>VOLUMEN (m3)</t>
        </is>
      </c>
      <c r="E196" s="9" t="n"/>
      <c r="F196" s="9" t="n"/>
      <c r="G196" s="2" t="n"/>
      <c r="H196" s="2" t="n"/>
      <c r="I196" s="2" t="n"/>
    </row>
    <row r="197" ht="62" customHeight="1">
      <c r="A197" s="9" t="n"/>
      <c r="B197" s="34" t="inlineStr">
        <is>
          <t>UNA PARED EXTERIOR</t>
        </is>
      </c>
      <c r="C197" s="9" t="inlineStr"/>
      <c r="D197" s="8">
        <f>IF(COUNT(H197,I197)&lt;2,"",ROUND(H197*I197,2))</f>
        <v/>
      </c>
      <c r="E197" s="25" t="n">
        <v>6</v>
      </c>
      <c r="F197" s="28">
        <f>IF(D197="","",ROUND(D197*E197,1))</f>
        <v/>
      </c>
      <c r="G197" s="2" t="n"/>
      <c r="H197" s="35" t="n"/>
      <c r="I197" s="35" t="n"/>
    </row>
    <row r="198" ht="39.7" customHeight="1">
      <c r="A198" s="9" t="n"/>
      <c r="B198" s="34" t="inlineStr">
        <is>
          <t>DOS PAREDES EXTERIORES</t>
        </is>
      </c>
      <c r="C198" s="9" t="inlineStr">
        <is>
          <t>12.25 m2 x 3.00</t>
        </is>
      </c>
      <c r="D198" s="8" t="n">
        <v>36.75</v>
      </c>
      <c r="E198" s="25" t="n">
        <v>9</v>
      </c>
      <c r="F198" s="28">
        <f>IF(D198="","",ROUND(D198*E198,1))</f>
        <v/>
      </c>
      <c r="G198" s="2" t="n"/>
      <c r="H198" s="35" t="n"/>
      <c r="I198" s="35" t="n"/>
    </row>
    <row r="199" ht="62" customHeight="1">
      <c r="A199" s="9" t="n"/>
      <c r="B199" s="34" t="inlineStr">
        <is>
          <t>TRES O MAS PAREDES EXTERIORES</t>
        </is>
      </c>
      <c r="C199" s="9" t="inlineStr"/>
      <c r="D199" s="8">
        <f>IF(COUNT(H199,I199)&lt;2,"",ROUND(H199*I199,2))</f>
        <v/>
      </c>
      <c r="E199" s="25" t="n">
        <v>12</v>
      </c>
      <c r="F199" s="28">
        <f>IF(D199="","",ROUND(D199*E199,1))</f>
        <v/>
      </c>
      <c r="G199" s="2" t="n"/>
      <c r="H199" s="35" t="n"/>
      <c r="I199" s="35" t="n"/>
    </row>
    <row r="200" ht="70" customHeight="1">
      <c r="A200" s="16" t="inlineStr">
        <is>
          <t>6</t>
        </is>
      </c>
      <c r="B200" s="33" t="inlineStr">
        <is>
          <t>SUBTOTAL</t>
        </is>
      </c>
      <c r="C200" s="9" t="n"/>
      <c r="D200" s="9" t="n"/>
      <c r="E200" s="9" t="n"/>
      <c r="F200" s="36">
        <f>IF(F178="",0,F178)+IF(F179="",0,F179)+IF(F181="",0,F181)+IF(F182="",0,F182)+IF(F183="",0,F183)+IF(F184="",0,F184)+IF(F185="",0,F185)+IF(F186="",0,F186)+IF(F187="",0,F187)+IF(F188="",0,F188)+IF(F190="",0,F190)+IF(F191="",0,F191)+IF(F192="",0,F192)+IF(F194="",0,F194)+IF(F195="",0,F195)+IF(F197="",0,F197)+IF(F198="",0,F198)+IF(F199="",0,F199)</f>
        <v/>
      </c>
      <c r="G200" s="2" t="n"/>
      <c r="H200" s="2" t="n"/>
      <c r="I200" s="2" t="n"/>
    </row>
    <row r="201" ht="47" customHeight="1">
      <c r="A201" s="16" t="inlineStr">
        <is>
          <t>7</t>
        </is>
      </c>
      <c r="B201" s="33" t="inlineStr">
        <is>
          <t>PERDIDA TOTAL</t>
        </is>
      </c>
      <c r="C201" s="9">
        <f>TEXT(F200,"0.00")&amp;"  X  "&amp;Datos_balance!$B$4&amp;" (FI)  X  "&amp;Datos_balance!$B$5&amp;" (FO)  X  "&amp;Datos_balance!$B$6&amp;" (FZ)"</f>
        <v/>
      </c>
      <c r="D201" s="2" t="n"/>
      <c r="E201" s="2" t="n"/>
      <c r="F201" s="36">
        <f>ROUND(F200*Datos_balance!$B$4*Datos_balance!$B$5*Datos_balance!$B$6,1)</f>
        <v/>
      </c>
      <c r="G201" s="2" t="n"/>
      <c r="H201" s="2" t="n"/>
      <c r="I201" s="2" t="n"/>
    </row>
    <row r="202">
      <c r="A202" s="2" t="n"/>
      <c r="B202" s="2" t="n"/>
      <c r="C202" s="2" t="n"/>
      <c r="D202" s="2" t="n"/>
      <c r="E202" s="2" t="n"/>
      <c r="F202" s="2" t="n"/>
      <c r="G202" s="2" t="n"/>
      <c r="H202" s="2" t="n"/>
      <c r="I202" s="2" t="n"/>
    </row>
    <row r="203" ht="62" customHeight="1">
      <c r="A203" s="9" t="n"/>
      <c r="B203" s="10" t="inlineStr">
        <is>
          <t>Salto termico:  dt = (te+ts)/2 - ti</t>
        </is>
      </c>
      <c r="C203" s="9">
        <f>TEXT((Datos_balance!$B$9+Datos_balance!$B$10)/2,"0")&amp;" - "&amp;TEXT(Datos_balance!$B$11,"0")&amp;" = "&amp;TEXT((Datos_balance!$B$9+Datos_balance!$B$10)/2-Datos_balance!$B$11,"0")&amp;" C"</f>
        <v/>
      </c>
      <c r="D203" s="2" t="n"/>
      <c r="E203" s="2" t="n"/>
      <c r="F203" s="9" t="n"/>
      <c r="G203" s="2" t="n"/>
      <c r="H203" s="2" t="n"/>
      <c r="I203" s="2" t="n"/>
    </row>
    <row r="204" ht="39.7" customHeight="1">
      <c r="A204" s="9" t="n"/>
      <c r="B204" s="10" t="inlineStr">
        <is>
          <t>Kcal/h por elemento</t>
        </is>
      </c>
      <c r="C204" s="8">
        <f>ROUND(Datos_balance!$B$14*Datos_balance!$B$15,2)</f>
        <v/>
      </c>
      <c r="D204" s="2" t="n"/>
      <c r="E204" s="2" t="n"/>
      <c r="F204" s="9" t="n"/>
      <c r="G204" s="2" t="n"/>
      <c r="H204" s="2" t="n"/>
      <c r="I204" s="2" t="n"/>
    </row>
    <row r="205" ht="39.7" customHeight="1">
      <c r="A205" s="9" t="n"/>
      <c r="B205" s="10" t="inlineStr">
        <is>
          <t>Elementos necesarios</t>
        </is>
      </c>
      <c r="C205" s="25">
        <f>ROUNDUP(F201/(Datos_balance!$B$14*Datos_balance!$B$15),0)</f>
        <v/>
      </c>
      <c r="D205" s="2" t="n"/>
      <c r="E205" s="2" t="n"/>
      <c r="F205" s="9" t="n"/>
      <c r="G205" s="2" t="n"/>
      <c r="H205" s="2" t="n"/>
      <c r="I205" s="2" t="n"/>
    </row>
    <row r="206" ht="39.7" customHeight="1">
      <c r="A206" s="9" t="n"/>
      <c r="B206" s="10" t="inlineStr">
        <is>
          <t>Ancho del radiador (cm)</t>
        </is>
      </c>
      <c r="C206" s="25">
        <f>ROUNDUP(F201/(Datos_balance!$B$14*Datos_balance!$B$15),0)*Datos_balance!$B$16</f>
        <v/>
      </c>
      <c r="D206" s="2" t="n"/>
      <c r="E206" s="2" t="n"/>
      <c r="F206" s="9" t="n"/>
      <c r="G206" s="2" t="n"/>
      <c r="H206" s="2" t="n"/>
      <c r="I206" s="2" t="n"/>
    </row>
    <row r="207" ht="39.7" customHeight="1">
      <c r="A207" s="13" t="n"/>
      <c r="B207" s="14" t="inlineStr">
        <is>
          <t>Radiador adoptado</t>
        </is>
      </c>
      <c r="C207" s="13">
        <f>Datos_balance!$B$13</f>
        <v/>
      </c>
      <c r="D207" s="20" t="n"/>
      <c r="E207" s="20" t="n"/>
      <c r="F207" s="13" t="n"/>
      <c r="G207" s="2" t="n"/>
      <c r="H207" s="2" t="n"/>
      <c r="I207" s="2" t="n"/>
    </row>
    <row r="208">
      <c r="A208" s="2" t="n"/>
      <c r="B208" s="2" t="n"/>
      <c r="C208" s="2" t="n"/>
      <c r="D208" s="2" t="n"/>
      <c r="E208" s="2" t="n"/>
      <c r="F208" s="2" t="n"/>
      <c r="G208" s="2" t="n"/>
      <c r="H208" s="2" t="n"/>
      <c r="I208" s="2" t="n"/>
    </row>
    <row r="209">
      <c r="A209" s="2" t="n"/>
      <c r="B209" s="2" t="n"/>
      <c r="C209" s="2" t="n"/>
      <c r="D209" s="2" t="n"/>
      <c r="E209" s="2" t="n"/>
      <c r="F209" s="2" t="n"/>
      <c r="G209" s="2" t="n"/>
      <c r="H209" s="2" t="n"/>
      <c r="I209" s="2" t="n"/>
    </row>
    <row r="210" ht="39.7" customHeight="1">
      <c r="A210" s="5" t="inlineStr">
        <is>
          <t>LOCAL  10 - Bano suite   (PB)</t>
        </is>
      </c>
      <c r="B210" s="2" t="n"/>
      <c r="C210" s="2" t="n"/>
      <c r="D210" s="2" t="n"/>
      <c r="E210" s="2" t="n"/>
      <c r="F210" s="2" t="n"/>
      <c r="G210" s="2" t="n"/>
      <c r="H210" s="2" t="n"/>
      <c r="I210" s="2" t="n"/>
    </row>
    <row r="211" ht="39.7" customHeight="1">
      <c r="A211" s="3" t="inlineStr">
        <is>
          <t>Nro</t>
        </is>
      </c>
      <c r="B211" s="3" t="inlineStr">
        <is>
          <t>DESCRIPCION</t>
        </is>
      </c>
      <c r="C211" s="3" t="inlineStr">
        <is>
          <t>DIMENSIONES (m)</t>
        </is>
      </c>
      <c r="D211" s="3" t="inlineStr">
        <is>
          <t>AREA (m2)</t>
        </is>
      </c>
      <c r="E211" s="3" t="inlineStr">
        <is>
          <t>FACTOR</t>
        </is>
      </c>
      <c r="F211" s="3" t="inlineStr">
        <is>
          <t>PERDIDA CALOR (Kcal/h)</t>
        </is>
      </c>
      <c r="G211" s="2" t="n"/>
      <c r="H211" s="2" t="n"/>
      <c r="I211" s="2" t="n"/>
    </row>
    <row r="212" ht="39.7" customHeight="1">
      <c r="A212" s="16" t="inlineStr">
        <is>
          <t>1</t>
        </is>
      </c>
      <c r="B212" s="33" t="inlineStr">
        <is>
          <t>VENTANA</t>
        </is>
      </c>
      <c r="C212" s="9" t="n"/>
      <c r="D212" s="9" t="n"/>
      <c r="E212" s="9" t="n"/>
      <c r="F212" s="9" t="n"/>
      <c r="G212" s="2" t="n"/>
      <c r="H212" s="2" t="n"/>
      <c r="I212" s="2" t="n"/>
    </row>
    <row r="213" ht="62" customHeight="1">
      <c r="A213" s="9" t="n"/>
      <c r="B213" s="34" t="inlineStr">
        <is>
          <t>VA02</t>
        </is>
      </c>
      <c r="C213" s="9">
        <f>IF(COUNT(H213,I213)&lt;2,"",TEXT(H213,"0.00")&amp;" x "&amp;TEXT(I213,"0.00"))</f>
        <v/>
      </c>
      <c r="D213" s="8">
        <f>IF(COUNT(H213,I213)&lt;2,"",ROUND(H213*I213,2))</f>
        <v/>
      </c>
      <c r="E213" s="25" t="n">
        <v>60</v>
      </c>
      <c r="F213" s="28">
        <f>IF(D213="","",ROUND(D213*E213,1))</f>
        <v/>
      </c>
      <c r="G213" s="2" t="n"/>
      <c r="H213" s="35" t="n">
        <v>0.75</v>
      </c>
      <c r="I213" s="35" t="n">
        <v>2.15</v>
      </c>
    </row>
    <row r="214" ht="39.7" customHeight="1">
      <c r="A214" s="16" t="inlineStr">
        <is>
          <t>2</t>
        </is>
      </c>
      <c r="B214" s="33" t="inlineStr">
        <is>
          <t>PAREDES EXTERIORES</t>
        </is>
      </c>
      <c r="C214" s="9" t="n"/>
      <c r="D214" s="9" t="n"/>
      <c r="E214" s="9" t="n"/>
      <c r="F214" s="9" t="n"/>
      <c r="G214" s="2" t="n"/>
      <c r="H214" s="2" t="n"/>
      <c r="I214" s="2" t="n"/>
    </row>
    <row r="215" ht="62" customHeight="1">
      <c r="A215" s="9" t="n"/>
      <c r="B215" s="34" t="inlineStr">
        <is>
          <t>AISLADAS (    )</t>
        </is>
      </c>
      <c r="C215" s="9">
        <f>IF(COUNT(H215,I215)&lt;2,"",TEXT(H215,"0.00")&amp;" x "&amp;TEXT(I215,"0.00"))</f>
        <v/>
      </c>
      <c r="D215" s="8">
        <f>IF(COUNT(H215,I215)&lt;2,"",ROUND(H215*I215,2))</f>
        <v/>
      </c>
      <c r="E215" s="25" t="n">
        <v>20</v>
      </c>
      <c r="F215" s="28">
        <f>IF(D215="","",ROUND(D215*E215,1))</f>
        <v/>
      </c>
      <c r="G215" s="2" t="n"/>
      <c r="H215" s="35" t="n"/>
      <c r="I215" s="35" t="n"/>
    </row>
    <row r="216" ht="62" customHeight="1">
      <c r="A216" s="9" t="n"/>
      <c r="B216" s="34" t="inlineStr">
        <is>
          <t>AISLADAS (    )</t>
        </is>
      </c>
      <c r="C216" s="9">
        <f>IF(COUNT(H216,I216)&lt;2,"",TEXT(H216,"0.00")&amp;" x "&amp;TEXT(I216,"0.00"))</f>
        <v/>
      </c>
      <c r="D216" s="8">
        <f>IF(COUNT(H216,I216)&lt;2,"",ROUND(H216*I216,2))</f>
        <v/>
      </c>
      <c r="E216" s="25" t="n">
        <v>20</v>
      </c>
      <c r="F216" s="28">
        <f>IF(D216="","",ROUND(D216*E216,1))</f>
        <v/>
      </c>
      <c r="G216" s="2" t="n"/>
      <c r="H216" s="35" t="n"/>
      <c r="I216" s="35"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INTERIORES (    )</t>
        </is>
      </c>
      <c r="C219" s="9">
        <f>IF(COUNT(H219,I219)&lt;2,"",TEXT(H219,"0.00")&amp;" x "&amp;TEXT(I219,"0.00"))</f>
        <v/>
      </c>
      <c r="D219" s="8">
        <f>IF(COUNT(H219,I219)&lt;2,"",ROUND(H219*I219,2))</f>
        <v/>
      </c>
      <c r="E219" s="25" t="n">
        <v>25</v>
      </c>
      <c r="F219" s="28">
        <f>IF(D219="","",ROUND(D219*E219,1))</f>
        <v/>
      </c>
      <c r="G219" s="2" t="n"/>
      <c r="H219" s="35" t="n">
        <v>3.3</v>
      </c>
      <c r="I219" s="35" t="n">
        <v>3</v>
      </c>
    </row>
    <row r="220" ht="62" customHeight="1">
      <c r="A220" s="9" t="n"/>
      <c r="B220" s="34" t="inlineStr">
        <is>
          <t>INTERIORES (    )</t>
        </is>
      </c>
      <c r="C220" s="9">
        <f>IF(COUNT(H220,I220)&lt;2,"",TEXT(H220,"0.00")&amp;" x "&amp;TEXT(I220,"0.00"))</f>
        <v/>
      </c>
      <c r="D220" s="8">
        <f>IF(COUNT(H220,I220)&lt;2,"",ROUND(H220*I220,2))</f>
        <v/>
      </c>
      <c r="E220" s="25" t="n">
        <v>25</v>
      </c>
      <c r="F220" s="28">
        <f>IF(D220="","",ROUND(D220*E220,1))</f>
        <v/>
      </c>
      <c r="G220" s="2" t="n"/>
      <c r="H220" s="35" t="n">
        <v>1.7</v>
      </c>
      <c r="I220" s="35" t="n">
        <v>3</v>
      </c>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3.3</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1.7</v>
      </c>
      <c r="I222" s="35" t="n">
        <v>3</v>
      </c>
    </row>
    <row r="223" ht="39.7" customHeight="1">
      <c r="A223" s="16" t="inlineStr">
        <is>
          <t>3</t>
        </is>
      </c>
      <c r="B223" s="33" t="inlineStr">
        <is>
          <t>TECHOS O CIELORRASOS</t>
        </is>
      </c>
      <c r="C223" s="9" t="n"/>
      <c r="D223" s="9" t="n"/>
      <c r="E223" s="9" t="n"/>
      <c r="F223" s="9" t="n"/>
      <c r="G223" s="2" t="n"/>
      <c r="H223" s="2" t="n"/>
      <c r="I223" s="2" t="n"/>
    </row>
    <row r="224" ht="62" customHeight="1">
      <c r="A224" s="9" t="n"/>
      <c r="B224" s="34" t="inlineStr">
        <is>
          <t>TECHO NO AISLADO</t>
        </is>
      </c>
      <c r="C224" s="9" t="inlineStr"/>
      <c r="D224" s="8">
        <f>IF(COUNT(H224,I224)&lt;2,"",ROUND(H224*I224,2))</f>
        <v/>
      </c>
      <c r="E224" s="25" t="n">
        <v>30</v>
      </c>
      <c r="F224" s="28">
        <f>IF(D224="","",ROUND(D224*E224,1))</f>
        <v/>
      </c>
      <c r="G224" s="2" t="n"/>
      <c r="H224" s="35" t="n"/>
      <c r="I224" s="35" t="n"/>
    </row>
    <row r="225" ht="62" customHeight="1">
      <c r="A225" s="9" t="n"/>
      <c r="B225" s="34" t="inlineStr">
        <is>
          <t>TECHO AISLADO</t>
        </is>
      </c>
      <c r="C225" s="9" t="inlineStr"/>
      <c r="D225" s="8">
        <f>IF(COUNT(H225,I225)&lt;2,"",ROUND(H225*I225,2))</f>
        <v/>
      </c>
      <c r="E225" s="25" t="n">
        <v>20</v>
      </c>
      <c r="F225" s="28">
        <f>IF(D225="","",ROUND(D225*E225,1))</f>
        <v/>
      </c>
      <c r="G225" s="2" t="n"/>
      <c r="H225" s="35" t="n"/>
      <c r="I225" s="35" t="n"/>
    </row>
    <row r="226" ht="39.7" customHeight="1">
      <c r="A226" s="9" t="n"/>
      <c r="B226" s="34" t="inlineStr">
        <is>
          <t>TECHO ENTREPISO</t>
        </is>
      </c>
      <c r="C226" s="9" t="inlineStr">
        <is>
          <t>por croquis</t>
        </is>
      </c>
      <c r="D226" s="8" t="n">
        <v>5.61</v>
      </c>
      <c r="E226" s="25" t="n">
        <v>15</v>
      </c>
      <c r="F226" s="28">
        <f>IF(D226="","",ROUND(D226*E226,1))</f>
        <v/>
      </c>
      <c r="G226" s="2" t="n"/>
      <c r="H226" s="35" t="n"/>
      <c r="I226" s="35" t="n"/>
    </row>
    <row r="227" ht="39.7" customHeight="1">
      <c r="A227" s="16" t="inlineStr">
        <is>
          <t>4</t>
        </is>
      </c>
      <c r="B227" s="33" t="inlineStr">
        <is>
          <t>PISO</t>
        </is>
      </c>
      <c r="C227" s="9" t="n"/>
      <c r="D227" s="9" t="n"/>
      <c r="E227" s="9" t="n"/>
      <c r="F227" s="9" t="n"/>
      <c r="G227" s="2" t="n"/>
      <c r="H227" s="2" t="n"/>
      <c r="I227" s="2" t="n"/>
    </row>
    <row r="228" ht="39.7" customHeight="1">
      <c r="A228" s="9" t="n"/>
      <c r="B228" s="34" t="inlineStr">
        <is>
          <t>SOBRE TIERRA</t>
        </is>
      </c>
      <c r="C228" s="9" t="inlineStr">
        <is>
          <t>por croquis</t>
        </is>
      </c>
      <c r="D228" s="8" t="n">
        <v>5.61</v>
      </c>
      <c r="E228" s="25" t="n">
        <v>10</v>
      </c>
      <c r="F228" s="28">
        <f>IF(D228="","",ROUND(D228*E228,1))</f>
        <v/>
      </c>
      <c r="G228" s="2" t="n"/>
      <c r="H228" s="35" t="n"/>
      <c r="I228" s="35" t="n"/>
    </row>
    <row r="229" ht="62" customHeight="1">
      <c r="A229" s="9" t="n"/>
      <c r="B229" s="34" t="inlineStr">
        <is>
          <t>SOBRE LOCAL OCUPADO</t>
        </is>
      </c>
      <c r="C229" s="9" t="inlineStr"/>
      <c r="D229" s="8">
        <f>IF(COUNT(H229,I229)&lt;2,"",ROUND(H229*I229,2))</f>
        <v/>
      </c>
      <c r="E229" s="25" t="n">
        <v>15</v>
      </c>
      <c r="F229" s="28">
        <f>IF(D229="","",ROUND(D229*E229,1))</f>
        <v/>
      </c>
      <c r="G229" s="2" t="n"/>
      <c r="H229" s="35" t="n"/>
      <c r="I229" s="35" t="n"/>
    </row>
    <row r="230" ht="39.7" customHeight="1">
      <c r="A230" s="16" t="inlineStr">
        <is>
          <t>5</t>
        </is>
      </c>
      <c r="B230" s="33" t="inlineStr">
        <is>
          <t>INFILTRACION</t>
        </is>
      </c>
      <c r="C230" s="9" t="n"/>
      <c r="D230" s="16" t="inlineStr">
        <is>
          <t>VOLUMEN (m3)</t>
        </is>
      </c>
      <c r="E230" s="9" t="n"/>
      <c r="F230" s="9" t="n"/>
      <c r="G230" s="2" t="n"/>
      <c r="H230" s="2" t="n"/>
      <c r="I230" s="2" t="n"/>
    </row>
    <row r="231" ht="39.7" customHeight="1">
      <c r="A231" s="9" t="n"/>
      <c r="B231" s="34" t="inlineStr">
        <is>
          <t>UNA PARED EXTERIOR</t>
        </is>
      </c>
      <c r="C231" s="9" t="inlineStr">
        <is>
          <t>5.61 m2 x 3.00</t>
        </is>
      </c>
      <c r="D231" s="8" t="n">
        <v>16.83</v>
      </c>
      <c r="E231" s="25" t="n">
        <v>6</v>
      </c>
      <c r="F231" s="28">
        <f>IF(D231="","",ROUND(D231*E231,1))</f>
        <v/>
      </c>
      <c r="G231" s="2" t="n"/>
      <c r="H231" s="35" t="n"/>
      <c r="I231" s="35" t="n"/>
    </row>
    <row r="232" ht="62" customHeight="1">
      <c r="A232" s="9" t="n"/>
      <c r="B232" s="34" t="inlineStr">
        <is>
          <t>DOS PAREDES EXTERIORES</t>
        </is>
      </c>
      <c r="C232" s="9" t="inlineStr"/>
      <c r="D232" s="8">
        <f>IF(COUNT(H232,I232)&lt;2,"",ROUND(H232*I232,2))</f>
        <v/>
      </c>
      <c r="E232" s="25" t="n">
        <v>9</v>
      </c>
      <c r="F232" s="28">
        <f>IF(D232="","",ROUND(D232*E232,1))</f>
        <v/>
      </c>
      <c r="G232" s="2" t="n"/>
      <c r="H232" s="35" t="n"/>
      <c r="I232" s="35" t="n"/>
    </row>
    <row r="233" ht="62" customHeight="1">
      <c r="A233" s="9" t="n"/>
      <c r="B233" s="34" t="inlineStr">
        <is>
          <t>TRES O MAS PAREDES EXTERIORES</t>
        </is>
      </c>
      <c r="C233" s="9" t="inlineStr"/>
      <c r="D233" s="8">
        <f>IF(COUNT(H233,I233)&lt;2,"",ROUND(H233*I233,2))</f>
        <v/>
      </c>
      <c r="E233" s="25" t="n">
        <v>12</v>
      </c>
      <c r="F233" s="28">
        <f>IF(D233="","",ROUND(D233*E233,1))</f>
        <v/>
      </c>
      <c r="G233" s="2" t="n"/>
      <c r="H233" s="35" t="n"/>
      <c r="I233" s="35" t="n"/>
    </row>
    <row r="234" ht="70" customHeight="1">
      <c r="A234" s="16" t="inlineStr">
        <is>
          <t>6</t>
        </is>
      </c>
      <c r="B234" s="33" t="inlineStr">
        <is>
          <t>SUBTOTAL</t>
        </is>
      </c>
      <c r="C234" s="9" t="n"/>
      <c r="D234" s="9" t="n"/>
      <c r="E234" s="9" t="n"/>
      <c r="F234" s="36">
        <f>IF(F213="",0,F213)+IF(F215="",0,F215)+IF(F216="",0,F216)+IF(F217="",0,F217)+IF(F218="",0,F218)+IF(F219="",0,F219)+IF(F220="",0,F220)+IF(F221="",0,F221)+IF(F222="",0,F222)+IF(F224="",0,F224)+IF(F225="",0,F225)+IF(F226="",0,F226)+IF(F228="",0,F228)+IF(F229="",0,F229)+IF(F231="",0,F231)+IF(F232="",0,F232)+IF(F233="",0,F233)</f>
        <v/>
      </c>
      <c r="G234" s="2" t="n"/>
      <c r="H234" s="2" t="n"/>
      <c r="I234" s="2" t="n"/>
    </row>
    <row r="235" ht="47" customHeight="1">
      <c r="A235" s="16" t="inlineStr">
        <is>
          <t>7</t>
        </is>
      </c>
      <c r="B235" s="33" t="inlineStr">
        <is>
          <t>PERDIDA TOTAL</t>
        </is>
      </c>
      <c r="C235" s="9">
        <f>TEXT(F234,"0.00")&amp;"  X  "&amp;Datos_balance!$B$4&amp;" (FI)  X  "&amp;Datos_balance!$B$5&amp;" (FO)  X  "&amp;Datos_balance!$B$6&amp;" (FZ)"</f>
        <v/>
      </c>
      <c r="D235" s="2" t="n"/>
      <c r="E235" s="2" t="n"/>
      <c r="F235" s="36">
        <f>ROUND(F234*Datos_balance!$B$4*Datos_balance!$B$5*Datos_balance!$B$6,1)</f>
        <v/>
      </c>
      <c r="G235" s="2" t="n"/>
      <c r="H235" s="2" t="n"/>
      <c r="I235" s="2" t="n"/>
    </row>
    <row r="236">
      <c r="A236" s="2" t="n"/>
      <c r="B236" s="2" t="n"/>
      <c r="C236" s="2" t="n"/>
      <c r="D236" s="2" t="n"/>
      <c r="E236" s="2" t="n"/>
      <c r="F236" s="2" t="n"/>
      <c r="G236" s="2" t="n"/>
      <c r="H236" s="2" t="n"/>
      <c r="I236" s="2" t="n"/>
    </row>
    <row r="237" ht="62" customHeight="1">
      <c r="A237" s="9" t="n"/>
      <c r="B237" s="10" t="inlineStr">
        <is>
          <t>Salto termico:  dt = (te+ts)/2 - ti</t>
        </is>
      </c>
      <c r="C237" s="9">
        <f>TEXT((Datos_balance!$B$9+Datos_balance!$B$10)/2,"0")&amp;" - "&amp;TEXT(Datos_balance!$B$11,"0")&amp;" = "&amp;TEXT((Datos_balance!$B$9+Datos_balance!$B$10)/2-Datos_balance!$B$11,"0")&amp;" C"</f>
        <v/>
      </c>
      <c r="D237" s="2" t="n"/>
      <c r="E237" s="2" t="n"/>
      <c r="F237" s="9" t="n"/>
      <c r="G237" s="2" t="n"/>
      <c r="H237" s="2" t="n"/>
      <c r="I237" s="2" t="n"/>
    </row>
    <row r="238" ht="39.7" customHeight="1">
      <c r="A238" s="9" t="n"/>
      <c r="B238" s="10" t="inlineStr">
        <is>
          <t>Kcal/h del toallero Scala/Domino 80</t>
        </is>
      </c>
      <c r="C238" s="25">
        <f>ROUND(Datos_balance!$B$18*Datos_balance!$B$15,0)</f>
        <v/>
      </c>
      <c r="D238" s="2" t="n"/>
      <c r="E238" s="2" t="n"/>
      <c r="F238" s="9" t="n"/>
      <c r="G238" s="2" t="n"/>
      <c r="H238" s="2" t="n"/>
      <c r="I238" s="2" t="n"/>
    </row>
    <row r="239" ht="39.7" customHeight="1">
      <c r="A239" s="9" t="n"/>
      <c r="B239" s="10" t="inlineStr">
        <is>
          <t>Kcal/h del toallero Scala/Domino 150</t>
        </is>
      </c>
      <c r="C239" s="25">
        <f>ROUND(Datos_balance!$B$19*Datos_balance!$B$15,0)</f>
        <v/>
      </c>
      <c r="D239" s="2" t="n"/>
      <c r="E239" s="2" t="n"/>
      <c r="F239" s="9" t="n"/>
      <c r="G239" s="2" t="n"/>
      <c r="H239" s="2" t="n"/>
      <c r="I239" s="2" t="n"/>
    </row>
    <row r="240" ht="47" customHeight="1">
      <c r="A240" s="9" t="n"/>
      <c r="B240" s="10" t="inlineStr">
        <is>
          <t>Toalleros necesarios</t>
        </is>
      </c>
      <c r="C240" s="25">
        <f>IF(F235&lt;=Datos_balance!$B$18*Datos_balance!$B$15,1,ROUNDUP(F235/(Datos_balance!$B$19*Datos_balance!$B$15),0))</f>
        <v/>
      </c>
      <c r="D240" s="2" t="n"/>
      <c r="E240" s="2" t="n"/>
      <c r="F240" s="9" t="n"/>
      <c r="G240" s="2" t="n"/>
      <c r="H240" s="2" t="n"/>
      <c r="I240" s="2" t="n"/>
    </row>
    <row r="241" ht="47" customHeight="1">
      <c r="A241" s="13" t="n"/>
      <c r="B241" s="14" t="inlineStr">
        <is>
          <t>Toallero adoptado</t>
        </is>
      </c>
      <c r="C241" s="13">
        <f>IF(F235&lt;=Datos_balance!$B$18*Datos_balance!$B$15,"Peisa Scala / Domino 80  (500 x 800 mm)","Peisa Scala / Domino 150  (500 x 1500 mm)")</f>
        <v/>
      </c>
      <c r="D241" s="20" t="n"/>
      <c r="E241" s="20" t="n"/>
      <c r="F241" s="13" t="n"/>
      <c r="G241" s="2" t="n"/>
      <c r="H241" s="2" t="n"/>
      <c r="I241" s="2" t="n"/>
    </row>
    <row r="242">
      <c r="A242" s="2" t="n"/>
      <c r="B242" s="2" t="n"/>
      <c r="C242" s="2" t="n"/>
      <c r="D242" s="2" t="n"/>
      <c r="E242" s="2" t="n"/>
      <c r="F242" s="2" t="n"/>
      <c r="G242" s="2" t="n"/>
      <c r="H242" s="2" t="n"/>
      <c r="I242" s="2" t="n"/>
    </row>
    <row r="243">
      <c r="A243" s="2" t="n"/>
      <c r="B243" s="2" t="n"/>
      <c r="C243" s="2" t="n"/>
      <c r="D243" s="2" t="n"/>
      <c r="E243" s="2" t="n"/>
      <c r="F243" s="2" t="n"/>
      <c r="G243" s="2" t="n"/>
      <c r="H243" s="2" t="n"/>
      <c r="I243" s="2" t="n"/>
    </row>
    <row r="244" ht="39.7" customHeight="1">
      <c r="A244" s="5" t="inlineStr">
        <is>
          <t>LOCAL  11 - Bano visitas   (PB)</t>
        </is>
      </c>
      <c r="B244" s="2" t="n"/>
      <c r="C244" s="2" t="n"/>
      <c r="D244" s="2" t="n"/>
      <c r="E244" s="2" t="n"/>
      <c r="F244" s="2" t="n"/>
      <c r="G244" s="2" t="n"/>
      <c r="H244" s="2" t="n"/>
      <c r="I244" s="2" t="n"/>
    </row>
    <row r="245" ht="39.7" customHeight="1">
      <c r="A245" s="3" t="inlineStr">
        <is>
          <t>Nro</t>
        </is>
      </c>
      <c r="B245" s="3" t="inlineStr">
        <is>
          <t>DESCRIPCION</t>
        </is>
      </c>
      <c r="C245" s="3" t="inlineStr">
        <is>
          <t>DIMENSIONES (m)</t>
        </is>
      </c>
      <c r="D245" s="3" t="inlineStr">
        <is>
          <t>AREA (m2)</t>
        </is>
      </c>
      <c r="E245" s="3" t="inlineStr">
        <is>
          <t>FACTOR</t>
        </is>
      </c>
      <c r="F245" s="3" t="inlineStr">
        <is>
          <t>PERDIDA CALOR (Kcal/h)</t>
        </is>
      </c>
      <c r="G245" s="2" t="n"/>
      <c r="H245" s="2" t="n"/>
      <c r="I245" s="2" t="n"/>
    </row>
    <row r="246" ht="39.7" customHeight="1">
      <c r="A246" s="16" t="inlineStr">
        <is>
          <t>1</t>
        </is>
      </c>
      <c r="B246" s="33" t="inlineStr">
        <is>
          <t>VENTANA</t>
        </is>
      </c>
      <c r="C246" s="9" t="n"/>
      <c r="D246" s="9" t="n"/>
      <c r="E246" s="9" t="n"/>
      <c r="F246" s="9" t="n"/>
      <c r="G246" s="2" t="n"/>
      <c r="H246" s="2" t="n"/>
      <c r="I246" s="2" t="n"/>
    </row>
    <row r="247" ht="62" customHeight="1">
      <c r="A247" s="9" t="n"/>
      <c r="B247" s="34" t="inlineStr">
        <is>
          <t>(sin aberturas)</t>
        </is>
      </c>
      <c r="C247" s="9">
        <f>IF(COUNT(H247,I247)&lt;2,"",TEXT(H247,"0.00")&amp;" x "&amp;TEXT(I247,"0.00"))</f>
        <v/>
      </c>
      <c r="D247" s="8">
        <f>IF(COUNT(H247,I247)&lt;2,"",ROUND(H247*I247,2))</f>
        <v/>
      </c>
      <c r="E247" s="25" t="n">
        <v>60</v>
      </c>
      <c r="F247" s="28">
        <f>IF(D247="","",ROUND(D247*E247,1))</f>
        <v/>
      </c>
      <c r="G247" s="2" t="n"/>
      <c r="H247" s="35" t="n"/>
      <c r="I247" s="35" t="n"/>
    </row>
    <row r="248" ht="39.7" customHeight="1">
      <c r="A248" s="16" t="inlineStr">
        <is>
          <t>2</t>
        </is>
      </c>
      <c r="B248" s="33" t="inlineStr">
        <is>
          <t>PAREDES EXTERIORES</t>
        </is>
      </c>
      <c r="C248" s="9" t="n"/>
      <c r="D248" s="9" t="n"/>
      <c r="E248" s="9" t="n"/>
      <c r="F248" s="9" t="n"/>
      <c r="G248" s="2" t="n"/>
      <c r="H248" s="2" t="n"/>
      <c r="I248" s="2" t="n"/>
    </row>
    <row r="249" ht="62" customHeight="1">
      <c r="A249" s="9" t="n"/>
      <c r="B249" s="34" t="inlineStr">
        <is>
          <t>AISLADAS (    )</t>
        </is>
      </c>
      <c r="C249" s="9">
        <f>IF(COUNT(H249,I249)&lt;2,"",TEXT(H249,"0.00")&amp;" x "&amp;TEXT(I249,"0.00"))</f>
        <v/>
      </c>
      <c r="D249" s="8">
        <f>IF(COUNT(H249,I249)&lt;2,"",ROUND(H249*I249,2))</f>
        <v/>
      </c>
      <c r="E249" s="25" t="n">
        <v>20</v>
      </c>
      <c r="F249" s="28">
        <f>IF(D249="","",ROUND(D249*E249,1))</f>
        <v/>
      </c>
      <c r="G249" s="2" t="n"/>
      <c r="H249" s="35" t="n"/>
      <c r="I249" s="35" t="n"/>
    </row>
    <row r="250" ht="62" customHeight="1">
      <c r="A250" s="9" t="n"/>
      <c r="B250" s="34" t="inlineStr">
        <is>
          <t>AISLADAS (    )</t>
        </is>
      </c>
      <c r="C250" s="9">
        <f>IF(COUNT(H250,I250)&lt;2,"",TEXT(H250,"0.00")&amp;" x "&amp;TEXT(I250,"0.00"))</f>
        <v/>
      </c>
      <c r="D250" s="8">
        <f>IF(COUNT(H250,I250)&lt;2,"",ROUND(H250*I250,2))</f>
        <v/>
      </c>
      <c r="E250" s="25" t="n">
        <v>20</v>
      </c>
      <c r="F250" s="28">
        <f>IF(D250="","",ROUND(D250*E250,1))</f>
        <v/>
      </c>
      <c r="G250" s="2" t="n"/>
      <c r="H250" s="35" t="n"/>
      <c r="I250" s="35" t="n"/>
    </row>
    <row r="251" ht="62" customHeight="1">
      <c r="A251" s="9" t="n"/>
      <c r="B251" s="34" t="inlineStr">
        <is>
          <t>AISLADAS (    )</t>
        </is>
      </c>
      <c r="C251" s="9">
        <f>IF(COUNT(H251,I251)&lt;2,"",TEXT(H251,"0.00")&amp;" x "&amp;TEXT(I251,"0.00"))</f>
        <v/>
      </c>
      <c r="D251" s="8">
        <f>IF(COUNT(H251,I251)&lt;2,"",ROUND(H251*I251,2))</f>
        <v/>
      </c>
      <c r="E251" s="25" t="n">
        <v>20</v>
      </c>
      <c r="F251" s="28">
        <f>IF(D251="","",ROUND(D251*E251,1))</f>
        <v/>
      </c>
      <c r="G251" s="2" t="n"/>
      <c r="H251" s="35" t="n"/>
      <c r="I251" s="35"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INTERIORES (    )</t>
        </is>
      </c>
      <c r="C253" s="9">
        <f>IF(COUNT(H253,I253)&lt;2,"",TEXT(H253,"0.00")&amp;" x "&amp;TEXT(I253,"0.00"))</f>
        <v/>
      </c>
      <c r="D253" s="8">
        <f>IF(COUNT(H253,I253)&lt;2,"",ROUND(H253*I253,2))</f>
        <v/>
      </c>
      <c r="E253" s="25" t="n">
        <v>25</v>
      </c>
      <c r="F253" s="28">
        <f>IF(D253="","",ROUND(D253*E253,1))</f>
        <v/>
      </c>
      <c r="G253" s="2" t="n"/>
      <c r="H253" s="35" t="n">
        <v>2.4</v>
      </c>
      <c r="I253" s="35" t="n">
        <v>3</v>
      </c>
    </row>
    <row r="254" ht="62" customHeight="1">
      <c r="A254" s="9" t="n"/>
      <c r="B254" s="34" t="inlineStr">
        <is>
          <t>INTERIORES (    )</t>
        </is>
      </c>
      <c r="C254" s="9">
        <f>IF(COUNT(H254,I254)&lt;2,"",TEXT(H254,"0.00")&amp;" x "&amp;TEXT(I254,"0.00"))</f>
        <v/>
      </c>
      <c r="D254" s="8">
        <f>IF(COUNT(H254,I254)&lt;2,"",ROUND(H254*I254,2))</f>
        <v/>
      </c>
      <c r="E254" s="25" t="n">
        <v>25</v>
      </c>
      <c r="F254" s="28">
        <f>IF(D254="","",ROUND(D254*E254,1))</f>
        <v/>
      </c>
      <c r="G254" s="2" t="n"/>
      <c r="H254" s="35" t="n">
        <v>1.3</v>
      </c>
      <c r="I254" s="35" t="n">
        <v>3</v>
      </c>
    </row>
    <row r="255" ht="62" customHeight="1">
      <c r="A255" s="9" t="n"/>
      <c r="B255" s="34" t="inlineStr">
        <is>
          <t>INTERIORES (    )</t>
        </is>
      </c>
      <c r="C255" s="9">
        <f>IF(COUNT(H255,I255)&lt;2,"",TEXT(H255,"0.00")&amp;" x "&amp;TEXT(I255,"0.00"))</f>
        <v/>
      </c>
      <c r="D255" s="8">
        <f>IF(COUNT(H255,I255)&lt;2,"",ROUND(H255*I255,2))</f>
        <v/>
      </c>
      <c r="E255" s="25" t="n">
        <v>25</v>
      </c>
      <c r="F255" s="28">
        <f>IF(D255="","",ROUND(D255*E255,1))</f>
        <v/>
      </c>
      <c r="G255" s="2" t="n"/>
      <c r="H255" s="35" t="n">
        <v>2.4</v>
      </c>
      <c r="I255" s="35" t="n">
        <v>3</v>
      </c>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1.3</v>
      </c>
      <c r="I256" s="35" t="n">
        <v>3</v>
      </c>
    </row>
    <row r="257" ht="39.7" customHeight="1">
      <c r="A257" s="16" t="inlineStr">
        <is>
          <t>3</t>
        </is>
      </c>
      <c r="B257" s="33" t="inlineStr">
        <is>
          <t>TECHOS O CIELORRASOS</t>
        </is>
      </c>
      <c r="C257" s="9" t="n"/>
      <c r="D257" s="9" t="n"/>
      <c r="E257" s="9" t="n"/>
      <c r="F257" s="9" t="n"/>
      <c r="G257" s="2" t="n"/>
      <c r="H257" s="2" t="n"/>
      <c r="I257" s="2" t="n"/>
    </row>
    <row r="258" ht="62" customHeight="1">
      <c r="A258" s="9" t="n"/>
      <c r="B258" s="34" t="inlineStr">
        <is>
          <t>TECHO NO AISLADO</t>
        </is>
      </c>
      <c r="C258" s="9" t="inlineStr"/>
      <c r="D258" s="8">
        <f>IF(COUNT(H258,I258)&lt;2,"",ROUND(H258*I258,2))</f>
        <v/>
      </c>
      <c r="E258" s="25" t="n">
        <v>30</v>
      </c>
      <c r="F258" s="28">
        <f>IF(D258="","",ROUND(D258*E258,1))</f>
        <v/>
      </c>
      <c r="G258" s="2" t="n"/>
      <c r="H258" s="35" t="n"/>
      <c r="I258" s="35" t="n"/>
    </row>
    <row r="259" ht="62" customHeight="1">
      <c r="A259" s="9" t="n"/>
      <c r="B259" s="34" t="inlineStr">
        <is>
          <t>TECHO AISLADO</t>
        </is>
      </c>
      <c r="C259" s="9" t="inlineStr"/>
      <c r="D259" s="8">
        <f>IF(COUNT(H259,I259)&lt;2,"",ROUND(H259*I259,2))</f>
        <v/>
      </c>
      <c r="E259" s="25" t="n">
        <v>20</v>
      </c>
      <c r="F259" s="28">
        <f>IF(D259="","",ROUND(D259*E259,1))</f>
        <v/>
      </c>
      <c r="G259" s="2" t="n"/>
      <c r="H259" s="35" t="n"/>
      <c r="I259" s="35" t="n"/>
    </row>
    <row r="260" ht="39.7" customHeight="1">
      <c r="A260" s="9" t="n"/>
      <c r="B260" s="34" t="inlineStr">
        <is>
          <t>TECHO ENTREPISO</t>
        </is>
      </c>
      <c r="C260" s="9" t="inlineStr">
        <is>
          <t>por croquis</t>
        </is>
      </c>
      <c r="D260" s="8" t="n">
        <v>3.12</v>
      </c>
      <c r="E260" s="25" t="n">
        <v>15</v>
      </c>
      <c r="F260" s="28">
        <f>IF(D260="","",ROUND(D260*E260,1))</f>
        <v/>
      </c>
      <c r="G260" s="2" t="n"/>
      <c r="H260" s="35" t="n"/>
      <c r="I260" s="35" t="n"/>
    </row>
    <row r="261" ht="39.7" customHeight="1">
      <c r="A261" s="16" t="inlineStr">
        <is>
          <t>4</t>
        </is>
      </c>
      <c r="B261" s="33" t="inlineStr">
        <is>
          <t>PISO</t>
        </is>
      </c>
      <c r="C261" s="9" t="n"/>
      <c r="D261" s="9" t="n"/>
      <c r="E261" s="9" t="n"/>
      <c r="F261" s="9" t="n"/>
      <c r="G261" s="2" t="n"/>
      <c r="H261" s="2" t="n"/>
      <c r="I261" s="2" t="n"/>
    </row>
    <row r="262" ht="39.7" customHeight="1">
      <c r="A262" s="9" t="n"/>
      <c r="B262" s="34" t="inlineStr">
        <is>
          <t>SOBRE TIERRA</t>
        </is>
      </c>
      <c r="C262" s="9" t="inlineStr">
        <is>
          <t>por croquis</t>
        </is>
      </c>
      <c r="D262" s="8" t="n">
        <v>3.12</v>
      </c>
      <c r="E262" s="25" t="n">
        <v>10</v>
      </c>
      <c r="F262" s="28">
        <f>IF(D262="","",ROUND(D262*E262,1))</f>
        <v/>
      </c>
      <c r="G262" s="2" t="n"/>
      <c r="H262" s="35" t="n"/>
      <c r="I262" s="35" t="n"/>
    </row>
    <row r="263" ht="62" customHeight="1">
      <c r="A263" s="9" t="n"/>
      <c r="B263" s="34" t="inlineStr">
        <is>
          <t>SOBRE LOCAL OCUPADO</t>
        </is>
      </c>
      <c r="C263" s="9" t="inlineStr"/>
      <c r="D263" s="8">
        <f>IF(COUNT(H263,I263)&lt;2,"",ROUND(H263*I263,2))</f>
        <v/>
      </c>
      <c r="E263" s="25" t="n">
        <v>15</v>
      </c>
      <c r="F263" s="28">
        <f>IF(D263="","",ROUND(D263*E263,1))</f>
        <v/>
      </c>
      <c r="G263" s="2" t="n"/>
      <c r="H263" s="35" t="n"/>
      <c r="I263" s="35" t="n"/>
    </row>
    <row r="264" ht="39.7" customHeight="1">
      <c r="A264" s="16" t="inlineStr">
        <is>
          <t>5</t>
        </is>
      </c>
      <c r="B264" s="33" t="inlineStr">
        <is>
          <t>INFILTRACION</t>
        </is>
      </c>
      <c r="C264" s="9" t="n"/>
      <c r="D264" s="16" t="inlineStr">
        <is>
          <t>VOLUMEN (m3)</t>
        </is>
      </c>
      <c r="E264" s="9" t="n"/>
      <c r="F264" s="9" t="n"/>
      <c r="G264" s="2" t="n"/>
      <c r="H264" s="2" t="n"/>
      <c r="I264" s="2" t="n"/>
    </row>
    <row r="265" ht="39.7" customHeight="1">
      <c r="A265" s="9" t="n"/>
      <c r="B265" s="34" t="inlineStr">
        <is>
          <t>UNA PARED EXTERIOR</t>
        </is>
      </c>
      <c r="C265" s="9" t="inlineStr">
        <is>
          <t>3.12 m2 x 3.00</t>
        </is>
      </c>
      <c r="D265" s="8" t="n">
        <v>9.359999999999999</v>
      </c>
      <c r="E265" s="25" t="n">
        <v>6</v>
      </c>
      <c r="F265" s="28">
        <f>IF(D265="","",ROUND(D265*E265,1))</f>
        <v/>
      </c>
      <c r="G265" s="2" t="n"/>
      <c r="H265" s="35" t="n"/>
      <c r="I265" s="35" t="n"/>
    </row>
    <row r="266" ht="62" customHeight="1">
      <c r="A266" s="9" t="n"/>
      <c r="B266" s="34" t="inlineStr">
        <is>
          <t>DOS PAREDES EXTERIORES</t>
        </is>
      </c>
      <c r="C266" s="9" t="inlineStr"/>
      <c r="D266" s="8">
        <f>IF(COUNT(H266,I266)&lt;2,"",ROUND(H266*I266,2))</f>
        <v/>
      </c>
      <c r="E266" s="25" t="n">
        <v>9</v>
      </c>
      <c r="F266" s="28">
        <f>IF(D266="","",ROUND(D266*E266,1))</f>
        <v/>
      </c>
      <c r="G266" s="2" t="n"/>
      <c r="H266" s="35" t="n"/>
      <c r="I266" s="35" t="n"/>
    </row>
    <row r="267" ht="62" customHeight="1">
      <c r="A267" s="9" t="n"/>
      <c r="B267" s="34" t="inlineStr">
        <is>
          <t>TRES O MAS PAREDES EXTERIORES</t>
        </is>
      </c>
      <c r="C267" s="9" t="inlineStr"/>
      <c r="D267" s="8">
        <f>IF(COUNT(H267,I267)&lt;2,"",ROUND(H267*I267,2))</f>
        <v/>
      </c>
      <c r="E267" s="25" t="n">
        <v>12</v>
      </c>
      <c r="F267" s="28">
        <f>IF(D267="","",ROUND(D267*E267,1))</f>
        <v/>
      </c>
      <c r="G267" s="2" t="n"/>
      <c r="H267" s="35" t="n"/>
      <c r="I267" s="35" t="n"/>
    </row>
    <row r="268" ht="70" customHeight="1">
      <c r="A268" s="16" t="inlineStr">
        <is>
          <t>6</t>
        </is>
      </c>
      <c r="B268" s="33" t="inlineStr">
        <is>
          <t>SUBTOTAL</t>
        </is>
      </c>
      <c r="C268" s="9" t="n"/>
      <c r="D268" s="9" t="n"/>
      <c r="E268" s="9" t="n"/>
      <c r="F268" s="36">
        <f>IF(F247="",0,F247)+IF(F249="",0,F249)+IF(F250="",0,F250)+IF(F251="",0,F251)+IF(F252="",0,F252)+IF(F253="",0,F253)+IF(F254="",0,F254)+IF(F255="",0,F255)+IF(F256="",0,F256)+IF(F258="",0,F258)+IF(F259="",0,F259)+IF(F260="",0,F260)+IF(F262="",0,F262)+IF(F263="",0,F263)+IF(F265="",0,F265)+IF(F266="",0,F266)+IF(F267="",0,F267)</f>
        <v/>
      </c>
      <c r="G268" s="2" t="n"/>
      <c r="H268" s="2" t="n"/>
      <c r="I268" s="2" t="n"/>
    </row>
    <row r="269" ht="47" customHeight="1">
      <c r="A269" s="16" t="inlineStr">
        <is>
          <t>7</t>
        </is>
      </c>
      <c r="B269" s="33" t="inlineStr">
        <is>
          <t>PERDIDA TOTAL</t>
        </is>
      </c>
      <c r="C269" s="9">
        <f>TEXT(F268,"0.00")&amp;"  X  "&amp;Datos_balance!$B$4&amp;" (FI)  X  "&amp;Datos_balance!$B$5&amp;" (FO)  X  "&amp;Datos_balance!$B$6&amp;" (FZ)"</f>
        <v/>
      </c>
      <c r="D269" s="2" t="n"/>
      <c r="E269" s="2" t="n"/>
      <c r="F269" s="36">
        <f>ROUND(F268*Datos_balance!$B$4*Datos_balance!$B$5*Datos_balance!$B$6,1)</f>
        <v/>
      </c>
      <c r="G269" s="2" t="n"/>
      <c r="H269" s="2" t="n"/>
      <c r="I269" s="2" t="n"/>
    </row>
    <row r="270">
      <c r="A270" s="2" t="n"/>
      <c r="B270" s="2" t="n"/>
      <c r="C270" s="2" t="n"/>
      <c r="D270" s="2" t="n"/>
      <c r="E270" s="2" t="n"/>
      <c r="F270" s="2" t="n"/>
      <c r="G270" s="2" t="n"/>
      <c r="H270" s="2" t="n"/>
      <c r="I270" s="2" t="n"/>
    </row>
    <row r="271" ht="62" customHeight="1">
      <c r="A271" s="9" t="n"/>
      <c r="B271" s="10" t="inlineStr">
        <is>
          <t>Salto termico:  dt = (te+ts)/2 - ti</t>
        </is>
      </c>
      <c r="C271" s="9">
        <f>TEXT((Datos_balance!$B$9+Datos_balance!$B$10)/2,"0")&amp;" - "&amp;TEXT(Datos_balance!$B$11,"0")&amp;" = "&amp;TEXT((Datos_balance!$B$9+Datos_balance!$B$10)/2-Datos_balance!$B$11,"0")&amp;" C"</f>
        <v/>
      </c>
      <c r="D271" s="2" t="n"/>
      <c r="E271" s="2" t="n"/>
      <c r="F271" s="9" t="n"/>
      <c r="G271" s="2" t="n"/>
      <c r="H271" s="2" t="n"/>
      <c r="I271" s="2" t="n"/>
    </row>
    <row r="272" ht="39.7" customHeight="1">
      <c r="A272" s="9" t="n"/>
      <c r="B272" s="10" t="inlineStr">
        <is>
          <t>Kcal/h del toallero Scala/Domino 80</t>
        </is>
      </c>
      <c r="C272" s="25">
        <f>ROUND(Datos_balance!$B$18*Datos_balance!$B$15,0)</f>
        <v/>
      </c>
      <c r="D272" s="2" t="n"/>
      <c r="E272" s="2" t="n"/>
      <c r="F272" s="9" t="n"/>
      <c r="G272" s="2" t="n"/>
      <c r="H272" s="2" t="n"/>
      <c r="I272" s="2" t="n"/>
    </row>
    <row r="273" ht="39.7" customHeight="1">
      <c r="A273" s="9" t="n"/>
      <c r="B273" s="10" t="inlineStr">
        <is>
          <t>Kcal/h del toallero Scala/Domino 150</t>
        </is>
      </c>
      <c r="C273" s="25">
        <f>ROUND(Datos_balance!$B$19*Datos_balance!$B$15,0)</f>
        <v/>
      </c>
      <c r="D273" s="2" t="n"/>
      <c r="E273" s="2" t="n"/>
      <c r="F273" s="9" t="n"/>
      <c r="G273" s="2" t="n"/>
      <c r="H273" s="2" t="n"/>
      <c r="I273" s="2" t="n"/>
    </row>
    <row r="274" ht="47" customHeight="1">
      <c r="A274" s="9" t="n"/>
      <c r="B274" s="10" t="inlineStr">
        <is>
          <t>Toalleros necesarios</t>
        </is>
      </c>
      <c r="C274" s="25">
        <f>IF(F269&lt;=Datos_balance!$B$18*Datos_balance!$B$15,1,ROUNDUP(F269/(Datos_balance!$B$19*Datos_balance!$B$15),0))</f>
        <v/>
      </c>
      <c r="D274" s="2" t="n"/>
      <c r="E274" s="2" t="n"/>
      <c r="F274" s="9" t="n"/>
      <c r="G274" s="2" t="n"/>
      <c r="H274" s="2" t="n"/>
      <c r="I274" s="2" t="n"/>
    </row>
    <row r="275" ht="47" customHeight="1">
      <c r="A275" s="13" t="n"/>
      <c r="B275" s="14" t="inlineStr">
        <is>
          <t>Toallero adoptado</t>
        </is>
      </c>
      <c r="C275" s="13">
        <f>IF(F269&lt;=Datos_balance!$B$18*Datos_balance!$B$15,"Peisa Scala / Domino 80  (500 x 800 mm)","Peisa Scala / Domino 150  (500 x 1500 mm)")</f>
        <v/>
      </c>
      <c r="D275" s="20" t="n"/>
      <c r="E275" s="20" t="n"/>
      <c r="F275" s="13" t="n"/>
      <c r="G275" s="2" t="n"/>
      <c r="H275" s="2" t="n"/>
      <c r="I275" s="2" t="n"/>
    </row>
    <row r="276">
      <c r="A276" s="2" t="n"/>
      <c r="B276" s="2" t="n"/>
      <c r="C276" s="2" t="n"/>
      <c r="D276" s="2" t="n"/>
      <c r="E276" s="2" t="n"/>
      <c r="F276" s="2" t="n"/>
      <c r="G276" s="2" t="n"/>
      <c r="H276" s="2" t="n"/>
      <c r="I276" s="2" t="n"/>
    </row>
    <row r="277">
      <c r="A277" s="2" t="n"/>
      <c r="B277" s="2" t="n"/>
      <c r="C277" s="2" t="n"/>
      <c r="D277" s="2" t="n"/>
      <c r="E277" s="2" t="n"/>
      <c r="F277" s="2" t="n"/>
      <c r="G277" s="2" t="n"/>
      <c r="H277" s="2" t="n"/>
      <c r="I277" s="2" t="n"/>
    </row>
    <row r="278" ht="39.7" customHeight="1">
      <c r="A278" s="5" t="inlineStr">
        <is>
          <t>LOCAL  13 - Dormitorio Norte   (PA)</t>
        </is>
      </c>
      <c r="B278" s="2" t="n"/>
      <c r="C278" s="2" t="n"/>
      <c r="D278" s="2" t="n"/>
      <c r="E278" s="2" t="n"/>
      <c r="F278" s="2" t="n"/>
      <c r="G278" s="2" t="n"/>
      <c r="H278" s="2" t="n"/>
      <c r="I278" s="2" t="n"/>
    </row>
    <row r="279" ht="39.7" customHeight="1">
      <c r="A279" s="3" t="inlineStr">
        <is>
          <t>Nro</t>
        </is>
      </c>
      <c r="B279" s="3" t="inlineStr">
        <is>
          <t>DESCRIPCION</t>
        </is>
      </c>
      <c r="C279" s="3" t="inlineStr">
        <is>
          <t>DIMENSIONES (m)</t>
        </is>
      </c>
      <c r="D279" s="3" t="inlineStr">
        <is>
          <t>AREA (m2)</t>
        </is>
      </c>
      <c r="E279" s="3" t="inlineStr">
        <is>
          <t>FACTOR</t>
        </is>
      </c>
      <c r="F279" s="3" t="inlineStr">
        <is>
          <t>PERDIDA CALOR (Kcal/h)</t>
        </is>
      </c>
      <c r="G279" s="2" t="n"/>
      <c r="H279" s="2" t="n"/>
      <c r="I279" s="2" t="n"/>
    </row>
    <row r="280" ht="39.7" customHeight="1">
      <c r="A280" s="16" t="inlineStr">
        <is>
          <t>1</t>
        </is>
      </c>
      <c r="B280" s="33" t="inlineStr">
        <is>
          <t>VENTANA</t>
        </is>
      </c>
      <c r="C280" s="9" t="n"/>
      <c r="D280" s="9" t="n"/>
      <c r="E280" s="9" t="n"/>
      <c r="F280" s="9" t="n"/>
      <c r="G280" s="2" t="n"/>
      <c r="H280" s="2" t="n"/>
      <c r="I280" s="2" t="n"/>
    </row>
    <row r="281" ht="62" customHeight="1">
      <c r="A281" s="9" t="n"/>
      <c r="B281" s="34" t="inlineStr">
        <is>
          <t>VA04</t>
        </is>
      </c>
      <c r="C281" s="9">
        <f>IF(COUNT(H281,I281)&lt;2,"",TEXT(H281,"0.00")&amp;" x "&amp;TEXT(I281,"0.00"))</f>
        <v/>
      </c>
      <c r="D281" s="8">
        <f>IF(COUNT(H281,I281)&lt;2,"",ROUND(H281*I281,2))</f>
        <v/>
      </c>
      <c r="E281" s="25" t="n">
        <v>60</v>
      </c>
      <c r="F281" s="28">
        <f>IF(D281="","",ROUND(D281*E281,1))</f>
        <v/>
      </c>
      <c r="G281" s="2" t="n"/>
      <c r="H281" s="35" t="n">
        <v>2</v>
      </c>
      <c r="I281" s="35" t="n">
        <v>2.52</v>
      </c>
    </row>
    <row r="282" ht="62" customHeight="1">
      <c r="A282" s="9" t="n"/>
      <c r="B282" s="34" t="inlineStr">
        <is>
          <t>VA05</t>
        </is>
      </c>
      <c r="C282" s="9">
        <f>IF(COUNT(H282,I282)&lt;2,"",TEXT(H282,"0.00")&amp;" x "&amp;TEXT(I282,"0.00"))</f>
        <v/>
      </c>
      <c r="D282" s="8">
        <f>IF(COUNT(H282,I282)&lt;2,"",ROUND(H282*I282,2))</f>
        <v/>
      </c>
      <c r="E282" s="25" t="n">
        <v>60</v>
      </c>
      <c r="F282" s="28">
        <f>IF(D282="","",ROUND(D282*E282,1))</f>
        <v/>
      </c>
      <c r="G282" s="2" t="n"/>
      <c r="H282" s="35" t="n">
        <v>1.4</v>
      </c>
      <c r="I282" s="35" t="n">
        <v>2.52</v>
      </c>
    </row>
    <row r="283" ht="39.7" customHeight="1">
      <c r="A283" s="16" t="inlineStr">
        <is>
          <t>2</t>
        </is>
      </c>
      <c r="B283" s="33" t="inlineStr">
        <is>
          <t>PAREDES EXTERIORES</t>
        </is>
      </c>
      <c r="C283" s="9" t="n"/>
      <c r="D283" s="9" t="n"/>
      <c r="E283" s="9" t="n"/>
      <c r="F283" s="9" t="n"/>
      <c r="G283" s="2" t="n"/>
      <c r="H283" s="2" t="n"/>
      <c r="I283" s="2" t="n"/>
    </row>
    <row r="284" ht="62" customHeight="1">
      <c r="A284" s="9" t="n"/>
      <c r="B284" s="34" t="inlineStr">
        <is>
          <t>AISLADAS (    )</t>
        </is>
      </c>
      <c r="C284" s="9">
        <f>IF(COUNT(H284,I284)&lt;2,"",TEXT(H284,"0.00")&amp;" x "&amp;TEXT(I284,"0.00"))</f>
        <v/>
      </c>
      <c r="D284" s="8">
        <f>IF(COUNT(H284,I284)&lt;2,"",ROUND(H284*I284,2))</f>
        <v/>
      </c>
      <c r="E284" s="25" t="n">
        <v>20</v>
      </c>
      <c r="F284" s="28">
        <f>IF(D284="","",ROUND(D284*E284,1))</f>
        <v/>
      </c>
      <c r="G284" s="2" t="n"/>
      <c r="H284" s="35" t="n"/>
      <c r="I284" s="35" t="n"/>
    </row>
    <row r="285" ht="62" customHeight="1">
      <c r="A285" s="9" t="n"/>
      <c r="B285" s="34" t="inlineStr">
        <is>
          <t>AISLADAS (    )</t>
        </is>
      </c>
      <c r="C285" s="9">
        <f>IF(COUNT(H285,I285)&lt;2,"",TEXT(H285,"0.00")&amp;" x "&amp;TEXT(I285,"0.00"))</f>
        <v/>
      </c>
      <c r="D285" s="8">
        <f>IF(COUNT(H285,I285)&lt;2,"",ROUND(H285*I285,2))</f>
        <v/>
      </c>
      <c r="E285" s="25" t="n">
        <v>20</v>
      </c>
      <c r="F285" s="28">
        <f>IF(D285="","",ROUND(D285*E285,1))</f>
        <v/>
      </c>
      <c r="G285" s="2" t="n"/>
      <c r="H285" s="35" t="n"/>
      <c r="I285" s="35"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INTERIORES (    )</t>
        </is>
      </c>
      <c r="C288" s="9">
        <f>IF(COUNT(H288,I288)&lt;2,"",TEXT(H288,"0.00")&amp;" x "&amp;TEXT(I288,"0.00"))</f>
        <v/>
      </c>
      <c r="D288" s="8">
        <f>IF(COUNT(H288,I288)&lt;2,"",ROUND(H288*I288,2))</f>
        <v/>
      </c>
      <c r="E288" s="25" t="n">
        <v>25</v>
      </c>
      <c r="F288" s="28">
        <f>IF(D288="","",ROUND(D288*E288,1))</f>
        <v/>
      </c>
      <c r="G288" s="2" t="n"/>
      <c r="H288" s="35" t="n">
        <v>4.25</v>
      </c>
      <c r="I288" s="35" t="n">
        <v>3</v>
      </c>
    </row>
    <row r="289" ht="62" customHeight="1">
      <c r="A289" s="9" t="n"/>
      <c r="B289" s="34" t="inlineStr">
        <is>
          <t>INTERIORES (    )</t>
        </is>
      </c>
      <c r="C289" s="9">
        <f>IF(COUNT(H289,I289)&lt;2,"",TEXT(H289,"0.00")&amp;" x "&amp;TEXT(I289,"0.00"))</f>
        <v/>
      </c>
      <c r="D289" s="8">
        <f>IF(COUNT(H289,I289)&lt;2,"",ROUND(H289*I289,2))</f>
        <v/>
      </c>
      <c r="E289" s="25" t="n">
        <v>25</v>
      </c>
      <c r="F289" s="28">
        <f>IF(D289="","",ROUND(D289*E289,1))</f>
        <v/>
      </c>
      <c r="G289" s="2" t="n"/>
      <c r="H289" s="35" t="n">
        <v>4</v>
      </c>
      <c r="I289" s="35" t="n">
        <v>3</v>
      </c>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4.25</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v>
      </c>
      <c r="I291" s="35" t="n">
        <v>3</v>
      </c>
    </row>
    <row r="292" ht="39.7" customHeight="1">
      <c r="A292" s="16" t="inlineStr">
        <is>
          <t>3</t>
        </is>
      </c>
      <c r="B292" s="33" t="inlineStr">
        <is>
          <t>TECHOS O CIELORRASOS</t>
        </is>
      </c>
      <c r="C292" s="9" t="n"/>
      <c r="D292" s="9" t="n"/>
      <c r="E292" s="9" t="n"/>
      <c r="F292" s="9" t="n"/>
      <c r="G292" s="2" t="n"/>
      <c r="H292" s="2" t="n"/>
      <c r="I292" s="2" t="n"/>
    </row>
    <row r="293" ht="62" customHeight="1">
      <c r="A293" s="9" t="n"/>
      <c r="B293" s="34" t="inlineStr">
        <is>
          <t>TECHO NO AISLADO</t>
        </is>
      </c>
      <c r="C293" s="9" t="inlineStr"/>
      <c r="D293" s="8">
        <f>IF(COUNT(H293,I293)&lt;2,"",ROUND(H293*I293,2))</f>
        <v/>
      </c>
      <c r="E293" s="25" t="n">
        <v>30</v>
      </c>
      <c r="F293" s="28">
        <f>IF(D293="","",ROUND(D293*E293,1))</f>
        <v/>
      </c>
      <c r="G293" s="2" t="n"/>
      <c r="H293" s="35" t="n"/>
      <c r="I293" s="35" t="n"/>
    </row>
    <row r="294" ht="39.7" customHeight="1">
      <c r="A294" s="9" t="n"/>
      <c r="B294" s="34" t="inlineStr">
        <is>
          <t>TECHO AISLADO</t>
        </is>
      </c>
      <c r="C294" s="9" t="inlineStr">
        <is>
          <t>por croquis</t>
        </is>
      </c>
      <c r="D294" s="8" t="n">
        <v>17</v>
      </c>
      <c r="E294" s="25" t="n">
        <v>20</v>
      </c>
      <c r="F294" s="28">
        <f>IF(D294="","",ROUND(D294*E294,1))</f>
        <v/>
      </c>
      <c r="G294" s="2" t="n"/>
      <c r="H294" s="35" t="n"/>
      <c r="I294" s="35" t="n"/>
    </row>
    <row r="295" ht="62" customHeight="1">
      <c r="A295" s="9" t="n"/>
      <c r="B295" s="34" t="inlineStr">
        <is>
          <t>TECHO ENTREPISO</t>
        </is>
      </c>
      <c r="C295" s="9" t="inlineStr"/>
      <c r="D295" s="8">
        <f>IF(COUNT(H295,I295)&lt;2,"",ROUND(H295*I295,2))</f>
        <v/>
      </c>
      <c r="E295" s="25" t="n">
        <v>15</v>
      </c>
      <c r="F295" s="28">
        <f>IF(D295="","",ROUND(D295*E295,1))</f>
        <v/>
      </c>
      <c r="G295" s="2" t="n"/>
      <c r="H295" s="35" t="n"/>
      <c r="I295" s="35" t="n"/>
    </row>
    <row r="296" ht="39.7" customHeight="1">
      <c r="A296" s="16" t="inlineStr">
        <is>
          <t>4</t>
        </is>
      </c>
      <c r="B296" s="33" t="inlineStr">
        <is>
          <t>PISO</t>
        </is>
      </c>
      <c r="C296" s="9" t="n"/>
      <c r="D296" s="9" t="n"/>
      <c r="E296" s="9" t="n"/>
      <c r="F296" s="9" t="n"/>
      <c r="G296" s="2" t="n"/>
      <c r="H296" s="2" t="n"/>
      <c r="I296" s="2" t="n"/>
    </row>
    <row r="297" ht="62" customHeight="1">
      <c r="A297" s="9" t="n"/>
      <c r="B297" s="34" t="inlineStr">
        <is>
          <t>SOBRE TIERRA</t>
        </is>
      </c>
      <c r="C297" s="9" t="inlineStr"/>
      <c r="D297" s="8">
        <f>IF(COUNT(H297,I297)&lt;2,"",ROUND(H297*I297,2))</f>
        <v/>
      </c>
      <c r="E297" s="25" t="n">
        <v>10</v>
      </c>
      <c r="F297" s="28">
        <f>IF(D297="","",ROUND(D297*E297,1))</f>
        <v/>
      </c>
      <c r="G297" s="2" t="n"/>
      <c r="H297" s="35" t="n"/>
      <c r="I297" s="35" t="n"/>
    </row>
    <row r="298" ht="39.7" customHeight="1">
      <c r="A298" s="9" t="n"/>
      <c r="B298" s="34" t="inlineStr">
        <is>
          <t>SOBRE LOCAL OCUPADO</t>
        </is>
      </c>
      <c r="C298" s="9" t="inlineStr">
        <is>
          <t>por croquis</t>
        </is>
      </c>
      <c r="D298" s="8" t="n">
        <v>17</v>
      </c>
      <c r="E298" s="25" t="n">
        <v>15</v>
      </c>
      <c r="F298" s="28">
        <f>IF(D298="","",ROUND(D298*E298,1))</f>
        <v/>
      </c>
      <c r="G298" s="2" t="n"/>
      <c r="H298" s="35" t="n"/>
      <c r="I298" s="35" t="n"/>
    </row>
    <row r="299" ht="39.7" customHeight="1">
      <c r="A299" s="16" t="inlineStr">
        <is>
          <t>5</t>
        </is>
      </c>
      <c r="B299" s="33" t="inlineStr">
        <is>
          <t>INFILTRACION</t>
        </is>
      </c>
      <c r="C299" s="9" t="n"/>
      <c r="D299" s="16" t="inlineStr">
        <is>
          <t>VOLUMEN (m3)</t>
        </is>
      </c>
      <c r="E299" s="9" t="n"/>
      <c r="F299" s="9" t="n"/>
      <c r="G299" s="2" t="n"/>
      <c r="H299" s="2" t="n"/>
      <c r="I299" s="2" t="n"/>
    </row>
    <row r="300" ht="62" customHeight="1">
      <c r="A300" s="9" t="n"/>
      <c r="B300" s="34" t="inlineStr">
        <is>
          <t>UNA PARED EXTERIOR</t>
        </is>
      </c>
      <c r="C300" s="9" t="inlineStr"/>
      <c r="D300" s="8">
        <f>IF(COUNT(H300,I300)&lt;2,"",ROUND(H300*I300,2))</f>
        <v/>
      </c>
      <c r="E300" s="25" t="n">
        <v>6</v>
      </c>
      <c r="F300" s="28">
        <f>IF(D300="","",ROUND(D300*E300,1))</f>
        <v/>
      </c>
      <c r="G300" s="2" t="n"/>
      <c r="H300" s="35" t="n"/>
      <c r="I300" s="35" t="n"/>
    </row>
    <row r="301" ht="39.7" customHeight="1">
      <c r="A301" s="9" t="n"/>
      <c r="B301" s="34" t="inlineStr">
        <is>
          <t>DOS PAREDES EXTERIORES</t>
        </is>
      </c>
      <c r="C301" s="9" t="inlineStr">
        <is>
          <t>17.00 m2 x 3.00</t>
        </is>
      </c>
      <c r="D301" s="8" t="n">
        <v>51</v>
      </c>
      <c r="E301" s="25" t="n">
        <v>9</v>
      </c>
      <c r="F301" s="28">
        <f>IF(D301="","",ROUND(D301*E301,1))</f>
        <v/>
      </c>
      <c r="G301" s="2" t="n"/>
      <c r="H301" s="35" t="n"/>
      <c r="I301" s="35" t="n"/>
    </row>
    <row r="302" ht="62" customHeight="1">
      <c r="A302" s="9" t="n"/>
      <c r="B302" s="34" t="inlineStr">
        <is>
          <t>TRES O MAS PAREDES EXTERIORES</t>
        </is>
      </c>
      <c r="C302" s="9" t="inlineStr"/>
      <c r="D302" s="8">
        <f>IF(COUNT(H302,I302)&lt;2,"",ROUND(H302*I302,2))</f>
        <v/>
      </c>
      <c r="E302" s="25" t="n">
        <v>12</v>
      </c>
      <c r="F302" s="28">
        <f>IF(D302="","",ROUND(D302*E302,1))</f>
        <v/>
      </c>
      <c r="G302" s="2" t="n"/>
      <c r="H302" s="35" t="n"/>
      <c r="I302" s="35" t="n"/>
    </row>
    <row r="303" ht="70" customHeight="1">
      <c r="A303" s="16" t="inlineStr">
        <is>
          <t>6</t>
        </is>
      </c>
      <c r="B303" s="33" t="inlineStr">
        <is>
          <t>SUBTOTAL</t>
        </is>
      </c>
      <c r="C303" s="9" t="n"/>
      <c r="D303" s="9" t="n"/>
      <c r="E303" s="9" t="n"/>
      <c r="F303" s="36">
        <f>IF(F281="",0,F281)+IF(F282="",0,F282)+IF(F284="",0,F284)+IF(F285="",0,F285)+IF(F286="",0,F286)+IF(F287="",0,F287)+IF(F288="",0,F288)+IF(F289="",0,F289)+IF(F290="",0,F290)+IF(F291="",0,F291)+IF(F293="",0,F293)+IF(F294="",0,F294)+IF(F295="",0,F295)+IF(F297="",0,F297)+IF(F298="",0,F298)+IF(F300="",0,F300)+IF(F301="",0,F301)+IF(F302="",0,F302)</f>
        <v/>
      </c>
      <c r="G303" s="2" t="n"/>
      <c r="H303" s="2" t="n"/>
      <c r="I303" s="2" t="n"/>
    </row>
    <row r="304" ht="47" customHeight="1">
      <c r="A304" s="16" t="inlineStr">
        <is>
          <t>7</t>
        </is>
      </c>
      <c r="B304" s="33" t="inlineStr">
        <is>
          <t>PERDIDA TOTAL</t>
        </is>
      </c>
      <c r="C304" s="9">
        <f>TEXT(F303,"0.00")&amp;"  X  "&amp;Datos_balance!$B$4&amp;" (FI)  X  "&amp;Datos_balance!$B$5&amp;" (FO)  X  "&amp;Datos_balance!$B$6&amp;" (FZ)"</f>
        <v/>
      </c>
      <c r="D304" s="2" t="n"/>
      <c r="E304" s="2" t="n"/>
      <c r="F304" s="36">
        <f>ROUND(F303*Datos_balance!$B$4*Datos_balance!$B$5*Datos_balance!$B$6,1)</f>
        <v/>
      </c>
      <c r="G304" s="2" t="n"/>
      <c r="H304" s="2" t="n"/>
      <c r="I304" s="2" t="n"/>
    </row>
    <row r="305">
      <c r="A305" s="2" t="n"/>
      <c r="B305" s="2" t="n"/>
      <c r="C305" s="2" t="n"/>
      <c r="D305" s="2" t="n"/>
      <c r="E305" s="2" t="n"/>
      <c r="F305" s="2" t="n"/>
      <c r="G305" s="2" t="n"/>
      <c r="H305" s="2" t="n"/>
      <c r="I305" s="2" t="n"/>
    </row>
    <row r="306" ht="62" customHeight="1">
      <c r="A306" s="9" t="n"/>
      <c r="B306" s="10" t="inlineStr">
        <is>
          <t>Salto termico:  dt = (te+ts)/2 - ti</t>
        </is>
      </c>
      <c r="C306" s="9">
        <f>TEXT((Datos_balance!$B$9+Datos_balance!$B$10)/2,"0")&amp;" - "&amp;TEXT(Datos_balance!$B$11,"0")&amp;" = "&amp;TEXT((Datos_balance!$B$9+Datos_balance!$B$10)/2-Datos_balance!$B$11,"0")&amp;" C"</f>
        <v/>
      </c>
      <c r="D306" s="2" t="n"/>
      <c r="E306" s="2" t="n"/>
      <c r="F306" s="9" t="n"/>
      <c r="G306" s="2" t="n"/>
      <c r="H306" s="2" t="n"/>
      <c r="I306" s="2" t="n"/>
    </row>
    <row r="307" ht="39.7" customHeight="1">
      <c r="A307" s="9" t="n"/>
      <c r="B307" s="10" t="inlineStr">
        <is>
          <t>Kcal/h por elemento</t>
        </is>
      </c>
      <c r="C307" s="8">
        <f>ROUND(Datos_balance!$B$14*Datos_balance!$B$15,2)</f>
        <v/>
      </c>
      <c r="D307" s="2" t="n"/>
      <c r="E307" s="2" t="n"/>
      <c r="F307" s="9" t="n"/>
      <c r="G307" s="2" t="n"/>
      <c r="H307" s="2" t="n"/>
      <c r="I307" s="2" t="n"/>
    </row>
    <row r="308" ht="39.7" customHeight="1">
      <c r="A308" s="9" t="n"/>
      <c r="B308" s="10" t="inlineStr">
        <is>
          <t>Elementos necesarios</t>
        </is>
      </c>
      <c r="C308" s="25">
        <f>ROUNDUP(F304/(Datos_balance!$B$14*Datos_balance!$B$15),0)</f>
        <v/>
      </c>
      <c r="D308" s="2" t="n"/>
      <c r="E308" s="2" t="n"/>
      <c r="F308" s="9" t="n"/>
      <c r="G308" s="2" t="n"/>
      <c r="H308" s="2" t="n"/>
      <c r="I308" s="2" t="n"/>
    </row>
    <row r="309" ht="39.7" customHeight="1">
      <c r="A309" s="9" t="n"/>
      <c r="B309" s="10" t="inlineStr">
        <is>
          <t>Ancho del radiador (cm)</t>
        </is>
      </c>
      <c r="C309" s="25">
        <f>ROUNDUP(F304/(Datos_balance!$B$14*Datos_balance!$B$15),0)*Datos_balance!$B$16</f>
        <v/>
      </c>
      <c r="D309" s="2" t="n"/>
      <c r="E309" s="2" t="n"/>
      <c r="F309" s="9" t="n"/>
      <c r="G309" s="2" t="n"/>
      <c r="H309" s="2" t="n"/>
      <c r="I309" s="2" t="n"/>
    </row>
    <row r="310" ht="39.7" customHeight="1">
      <c r="A310" s="13" t="n"/>
      <c r="B310" s="14" t="inlineStr">
        <is>
          <t>Radiador adoptado</t>
        </is>
      </c>
      <c r="C310" s="13">
        <f>Datos_balance!$B$13</f>
        <v/>
      </c>
      <c r="D310" s="20" t="n"/>
      <c r="E310" s="20" t="n"/>
      <c r="F310" s="13" t="n"/>
      <c r="G310" s="2" t="n"/>
      <c r="H310" s="2" t="n"/>
      <c r="I310" s="2" t="n"/>
    </row>
    <row r="311">
      <c r="A311" s="2" t="n"/>
      <c r="B311" s="2" t="n"/>
      <c r="C311" s="2" t="n"/>
      <c r="D311" s="2" t="n"/>
      <c r="E311" s="2" t="n"/>
      <c r="F311" s="2" t="n"/>
      <c r="G311" s="2" t="n"/>
      <c r="H311" s="2" t="n"/>
      <c r="I311" s="2" t="n"/>
    </row>
    <row r="312">
      <c r="A312" s="2" t="n"/>
      <c r="B312" s="2" t="n"/>
      <c r="C312" s="2" t="n"/>
      <c r="D312" s="2" t="n"/>
      <c r="E312" s="2" t="n"/>
      <c r="F312" s="2" t="n"/>
      <c r="G312" s="2" t="n"/>
      <c r="H312" s="2" t="n"/>
      <c r="I312" s="2" t="n"/>
    </row>
    <row r="313" ht="39.7" customHeight="1">
      <c r="A313" s="5" t="inlineStr">
        <is>
          <t>LOCAL  14 - Play room   (PA)</t>
        </is>
      </c>
      <c r="B313" s="2" t="n"/>
      <c r="C313" s="2" t="n"/>
      <c r="D313" s="2" t="n"/>
      <c r="E313" s="2" t="n"/>
      <c r="F313" s="2" t="n"/>
      <c r="G313" s="2" t="n"/>
      <c r="H313" s="2" t="n"/>
      <c r="I313" s="2" t="n"/>
    </row>
    <row r="314" ht="39.7" customHeight="1">
      <c r="A314" s="3" t="inlineStr">
        <is>
          <t>Nro</t>
        </is>
      </c>
      <c r="B314" s="3" t="inlineStr">
        <is>
          <t>DESCRIPCION</t>
        </is>
      </c>
      <c r="C314" s="3" t="inlineStr">
        <is>
          <t>DIMENSIONES (m)</t>
        </is>
      </c>
      <c r="D314" s="3" t="inlineStr">
        <is>
          <t>AREA (m2)</t>
        </is>
      </c>
      <c r="E314" s="3" t="inlineStr">
        <is>
          <t>FACTOR</t>
        </is>
      </c>
      <c r="F314" s="3" t="inlineStr">
        <is>
          <t>PERDIDA CALOR (Kcal/h)</t>
        </is>
      </c>
      <c r="G314" s="2" t="n"/>
      <c r="H314" s="2" t="n"/>
      <c r="I314" s="2" t="n"/>
    </row>
    <row r="315" ht="39.7" customHeight="1">
      <c r="A315" s="16" t="inlineStr">
        <is>
          <t>1</t>
        </is>
      </c>
      <c r="B315" s="33" t="inlineStr">
        <is>
          <t>VENTANA</t>
        </is>
      </c>
      <c r="C315" s="9" t="n"/>
      <c r="D315" s="9" t="n"/>
      <c r="E315" s="9" t="n"/>
      <c r="F315" s="9" t="n"/>
      <c r="G315" s="2" t="n"/>
      <c r="H315" s="2" t="n"/>
      <c r="I315" s="2" t="n"/>
    </row>
    <row r="316" ht="62" customHeight="1">
      <c r="A316" s="9" t="n"/>
      <c r="B316" s="34" t="inlineStr">
        <is>
          <t>VA04 (2)</t>
        </is>
      </c>
      <c r="C316" s="9">
        <f>IF(COUNT(H316,I316)&lt;2,"",TEXT(H316,"0.00")&amp;" x "&amp;TEXT(I316,"0.00"))</f>
        <v/>
      </c>
      <c r="D316" s="8">
        <f>IF(COUNT(H316,I316)&lt;2,"",ROUND(H316*I316,2))</f>
        <v/>
      </c>
      <c r="E316" s="25" t="n">
        <v>60</v>
      </c>
      <c r="F316" s="28">
        <f>IF(D316="","",ROUND(D316*E316,1))</f>
        <v/>
      </c>
      <c r="G316" s="2" t="n"/>
      <c r="H316" s="35" t="n">
        <v>2</v>
      </c>
      <c r="I316" s="35" t="n">
        <v>2.52</v>
      </c>
    </row>
    <row r="317" ht="39.7" customHeight="1">
      <c r="A317" s="16" t="inlineStr">
        <is>
          <t>2</t>
        </is>
      </c>
      <c r="B317" s="33" t="inlineStr">
        <is>
          <t>PAREDES EXTERIORES</t>
        </is>
      </c>
      <c r="C317" s="9" t="n"/>
      <c r="D317" s="9" t="n"/>
      <c r="E317" s="9" t="n"/>
      <c r="F317" s="9" t="n"/>
      <c r="G317" s="2" t="n"/>
      <c r="H317" s="2" t="n"/>
      <c r="I317" s="2" t="n"/>
    </row>
    <row r="318" ht="62" customHeight="1">
      <c r="A318" s="9" t="n"/>
      <c r="B318" s="34" t="inlineStr">
        <is>
          <t>AISLADAS (    )</t>
        </is>
      </c>
      <c r="C318" s="9">
        <f>IF(COUNT(H318,I318)&lt;2,"",TEXT(H318,"0.00")&amp;" x "&amp;TEXT(I318,"0.00"))</f>
        <v/>
      </c>
      <c r="D318" s="8">
        <f>IF(COUNT(H318,I318)&lt;2,"",ROUND(H318*I318,2))</f>
        <v/>
      </c>
      <c r="E318" s="25" t="n">
        <v>20</v>
      </c>
      <c r="F318" s="28">
        <f>IF(D318="","",ROUND(D318*E318,1))</f>
        <v/>
      </c>
      <c r="G318" s="2" t="n"/>
      <c r="H318" s="35" t="n"/>
      <c r="I318" s="35" t="n"/>
    </row>
    <row r="319" ht="62" customHeight="1">
      <c r="A319" s="9" t="n"/>
      <c r="B319" s="34" t="inlineStr">
        <is>
          <t>AISLADAS (    )</t>
        </is>
      </c>
      <c r="C319" s="9">
        <f>IF(COUNT(H319,I319)&lt;2,"",TEXT(H319,"0.00")&amp;" x "&amp;TEXT(I319,"0.00"))</f>
        <v/>
      </c>
      <c r="D319" s="8">
        <f>IF(COUNT(H319,I319)&lt;2,"",ROUND(H319*I319,2))</f>
        <v/>
      </c>
      <c r="E319" s="25" t="n">
        <v>20</v>
      </c>
      <c r="F319" s="28">
        <f>IF(D319="","",ROUND(D319*E319,1))</f>
        <v/>
      </c>
      <c r="G319" s="2" t="n"/>
      <c r="H319" s="35" t="n"/>
      <c r="I319" s="35" t="n"/>
    </row>
    <row r="320" ht="62" customHeight="1">
      <c r="A320" s="9" t="n"/>
      <c r="B320" s="34" t="inlineStr">
        <is>
          <t>AISLADAS (    )</t>
        </is>
      </c>
      <c r="C320" s="9">
        <f>IF(COUNT(H320,I320)&lt;2,"",TEXT(H320,"0.00")&amp;" x "&amp;TEXT(I320,"0.00"))</f>
        <v/>
      </c>
      <c r="D320" s="8">
        <f>IF(COUNT(H320,I320)&lt;2,"",ROUND(H320*I320,2))</f>
        <v/>
      </c>
      <c r="E320" s="25" t="n">
        <v>20</v>
      </c>
      <c r="F320" s="28">
        <f>IF(D320="","",ROUND(D320*E320,1))</f>
        <v/>
      </c>
      <c r="G320" s="2" t="n"/>
      <c r="H320" s="35" t="n"/>
      <c r="I320" s="35"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INTERIORES (    )</t>
        </is>
      </c>
      <c r="C322" s="9">
        <f>IF(COUNT(H322,I322)&lt;2,"",TEXT(H322,"0.00")&amp;" x "&amp;TEXT(I322,"0.00"))</f>
        <v/>
      </c>
      <c r="D322" s="8">
        <f>IF(COUNT(H322,I322)&lt;2,"",ROUND(H322*I322,2))</f>
        <v/>
      </c>
      <c r="E322" s="25" t="n">
        <v>25</v>
      </c>
      <c r="F322" s="28">
        <f>IF(D322="","",ROUND(D322*E322,1))</f>
        <v/>
      </c>
      <c r="G322" s="2" t="n"/>
      <c r="H322" s="35" t="n">
        <v>4</v>
      </c>
      <c r="I322" s="35" t="n">
        <v>3</v>
      </c>
    </row>
    <row r="323" ht="62" customHeight="1">
      <c r="A323" s="9" t="n"/>
      <c r="B323" s="34" t="inlineStr">
        <is>
          <t>INTERIORES (    )</t>
        </is>
      </c>
      <c r="C323" s="9">
        <f>IF(COUNT(H323,I323)&lt;2,"",TEXT(H323,"0.00")&amp;" x "&amp;TEXT(I323,"0.00"))</f>
        <v/>
      </c>
      <c r="D323" s="8">
        <f>IF(COUNT(H323,I323)&lt;2,"",ROUND(H323*I323,2))</f>
        <v/>
      </c>
      <c r="E323" s="25" t="n">
        <v>25</v>
      </c>
      <c r="F323" s="28">
        <f>IF(D323="","",ROUND(D323*E323,1))</f>
        <v/>
      </c>
      <c r="G323" s="2" t="n"/>
      <c r="H323" s="35" t="n">
        <v>4.1</v>
      </c>
      <c r="I323" s="35" t="n">
        <v>3</v>
      </c>
    </row>
    <row r="324" ht="62" customHeight="1">
      <c r="A324" s="9" t="n"/>
      <c r="B324" s="34" t="inlineStr">
        <is>
          <t>INTERIORES (    )</t>
        </is>
      </c>
      <c r="C324" s="9">
        <f>IF(COUNT(H324,I324)&lt;2,"",TEXT(H324,"0.00")&amp;" x "&amp;TEXT(I324,"0.00"))</f>
        <v/>
      </c>
      <c r="D324" s="8">
        <f>IF(COUNT(H324,I324)&lt;2,"",ROUND(H324*I324,2))</f>
        <v/>
      </c>
      <c r="E324" s="25" t="n">
        <v>25</v>
      </c>
      <c r="F324" s="28">
        <f>IF(D324="","",ROUND(D324*E324,1))</f>
        <v/>
      </c>
      <c r="G324" s="2" t="n"/>
      <c r="H324" s="35" t="n">
        <v>4</v>
      </c>
      <c r="I324" s="35" t="n">
        <v>3</v>
      </c>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4.1</v>
      </c>
      <c r="I325" s="35" t="n">
        <v>3</v>
      </c>
    </row>
    <row r="326" ht="39.7" customHeight="1">
      <c r="A326" s="16" t="inlineStr">
        <is>
          <t>3</t>
        </is>
      </c>
      <c r="B326" s="33" t="inlineStr">
        <is>
          <t>TECHOS O CIELORRASOS</t>
        </is>
      </c>
      <c r="C326" s="9" t="n"/>
      <c r="D326" s="9" t="n"/>
      <c r="E326" s="9" t="n"/>
      <c r="F326" s="9" t="n"/>
      <c r="G326" s="2" t="n"/>
      <c r="H326" s="2" t="n"/>
      <c r="I326" s="2" t="n"/>
    </row>
    <row r="327" ht="62" customHeight="1">
      <c r="A327" s="9" t="n"/>
      <c r="B327" s="34" t="inlineStr">
        <is>
          <t>TECHO NO AISLADO</t>
        </is>
      </c>
      <c r="C327" s="9" t="inlineStr"/>
      <c r="D327" s="8">
        <f>IF(COUNT(H327,I327)&lt;2,"",ROUND(H327*I327,2))</f>
        <v/>
      </c>
      <c r="E327" s="25" t="n">
        <v>30</v>
      </c>
      <c r="F327" s="28">
        <f>IF(D327="","",ROUND(D327*E327,1))</f>
        <v/>
      </c>
      <c r="G327" s="2" t="n"/>
      <c r="H327" s="35" t="n"/>
      <c r="I327" s="35" t="n"/>
    </row>
    <row r="328" ht="39.7" customHeight="1">
      <c r="A328" s="9" t="n"/>
      <c r="B328" s="34" t="inlineStr">
        <is>
          <t>TECHO AISLADO</t>
        </is>
      </c>
      <c r="C328" s="9" t="inlineStr">
        <is>
          <t>por croquis</t>
        </is>
      </c>
      <c r="D328" s="8" t="n">
        <v>16.4</v>
      </c>
      <c r="E328" s="25" t="n">
        <v>20</v>
      </c>
      <c r="F328" s="28">
        <f>IF(D328="","",ROUND(D328*E328,1))</f>
        <v/>
      </c>
      <c r="G328" s="2" t="n"/>
      <c r="H328" s="35" t="n"/>
      <c r="I328" s="35" t="n"/>
    </row>
    <row r="329" ht="62" customHeight="1">
      <c r="A329" s="9" t="n"/>
      <c r="B329" s="34" t="inlineStr">
        <is>
          <t>TECHO ENTREPISO</t>
        </is>
      </c>
      <c r="C329" s="9" t="inlineStr"/>
      <c r="D329" s="8">
        <f>IF(COUNT(H329,I329)&lt;2,"",ROUND(H329*I329,2))</f>
        <v/>
      </c>
      <c r="E329" s="25" t="n">
        <v>15</v>
      </c>
      <c r="F329" s="28">
        <f>IF(D329="","",ROUND(D329*E329,1))</f>
        <v/>
      </c>
      <c r="G329" s="2" t="n"/>
      <c r="H329" s="35" t="n"/>
      <c r="I329" s="35" t="n"/>
    </row>
    <row r="330" ht="39.7" customHeight="1">
      <c r="A330" s="16" t="inlineStr">
        <is>
          <t>4</t>
        </is>
      </c>
      <c r="B330" s="33" t="inlineStr">
        <is>
          <t>PISO</t>
        </is>
      </c>
      <c r="C330" s="9" t="n"/>
      <c r="D330" s="9" t="n"/>
      <c r="E330" s="9" t="n"/>
      <c r="F330" s="9" t="n"/>
      <c r="G330" s="2" t="n"/>
      <c r="H330" s="2" t="n"/>
      <c r="I330" s="2" t="n"/>
    </row>
    <row r="331" ht="62" customHeight="1">
      <c r="A331" s="9" t="n"/>
      <c r="B331" s="34" t="inlineStr">
        <is>
          <t>SOBRE TIERRA</t>
        </is>
      </c>
      <c r="C331" s="9" t="inlineStr"/>
      <c r="D331" s="8">
        <f>IF(COUNT(H331,I331)&lt;2,"",ROUND(H331*I331,2))</f>
        <v/>
      </c>
      <c r="E331" s="25" t="n">
        <v>10</v>
      </c>
      <c r="F331" s="28">
        <f>IF(D331="","",ROUND(D331*E331,1))</f>
        <v/>
      </c>
      <c r="G331" s="2" t="n"/>
      <c r="H331" s="35" t="n"/>
      <c r="I331" s="35" t="n"/>
    </row>
    <row r="332" ht="39.7" customHeight="1">
      <c r="A332" s="9" t="n"/>
      <c r="B332" s="34" t="inlineStr">
        <is>
          <t>SOBRE LOCAL OCUPADO</t>
        </is>
      </c>
      <c r="C332" s="9" t="inlineStr">
        <is>
          <t>por croquis</t>
        </is>
      </c>
      <c r="D332" s="8" t="n">
        <v>16.4</v>
      </c>
      <c r="E332" s="25" t="n">
        <v>15</v>
      </c>
      <c r="F332" s="28">
        <f>IF(D332="","",ROUND(D332*E332,1))</f>
        <v/>
      </c>
      <c r="G332" s="2" t="n"/>
      <c r="H332" s="35" t="n"/>
      <c r="I332" s="35" t="n"/>
    </row>
    <row r="333" ht="39.7" customHeight="1">
      <c r="A333" s="16" t="inlineStr">
        <is>
          <t>5</t>
        </is>
      </c>
      <c r="B333" s="33" t="inlineStr">
        <is>
          <t>INFILTRACION</t>
        </is>
      </c>
      <c r="C333" s="9" t="n"/>
      <c r="D333" s="16" t="inlineStr">
        <is>
          <t>VOLUMEN (m3)</t>
        </is>
      </c>
      <c r="E333" s="9" t="n"/>
      <c r="F333" s="9" t="n"/>
      <c r="G333" s="2" t="n"/>
      <c r="H333" s="2" t="n"/>
      <c r="I333" s="2" t="n"/>
    </row>
    <row r="334" ht="62" customHeight="1">
      <c r="A334" s="9" t="n"/>
      <c r="B334" s="34" t="inlineStr">
        <is>
          <t>UNA PARED EXTERIOR</t>
        </is>
      </c>
      <c r="C334" s="9" t="inlineStr"/>
      <c r="D334" s="8">
        <f>IF(COUNT(H334,I334)&lt;2,"",ROUND(H334*I334,2))</f>
        <v/>
      </c>
      <c r="E334" s="25" t="n">
        <v>6</v>
      </c>
      <c r="F334" s="28">
        <f>IF(D334="","",ROUND(D334*E334,1))</f>
        <v/>
      </c>
      <c r="G334" s="2" t="n"/>
      <c r="H334" s="35" t="n"/>
      <c r="I334" s="35" t="n"/>
    </row>
    <row r="335" ht="39.7" customHeight="1">
      <c r="A335" s="9" t="n"/>
      <c r="B335" s="34" t="inlineStr">
        <is>
          <t>DOS PAREDES EXTERIORES</t>
        </is>
      </c>
      <c r="C335" s="9" t="inlineStr">
        <is>
          <t>16.40 m2 x 3.00</t>
        </is>
      </c>
      <c r="D335" s="8" t="n">
        <v>49.2</v>
      </c>
      <c r="E335" s="25" t="n">
        <v>9</v>
      </c>
      <c r="F335" s="28">
        <f>IF(D335="","",ROUND(D335*E335,1))</f>
        <v/>
      </c>
      <c r="G335" s="2" t="n"/>
      <c r="H335" s="35" t="n"/>
      <c r="I335" s="35" t="n"/>
    </row>
    <row r="336" ht="62" customHeight="1">
      <c r="A336" s="9" t="n"/>
      <c r="B336" s="34" t="inlineStr">
        <is>
          <t>TRES O MAS PAREDES EXTERIORES</t>
        </is>
      </c>
      <c r="C336" s="9" t="inlineStr"/>
      <c r="D336" s="8">
        <f>IF(COUNT(H336,I336)&lt;2,"",ROUND(H336*I336,2))</f>
        <v/>
      </c>
      <c r="E336" s="25" t="n">
        <v>12</v>
      </c>
      <c r="F336" s="28">
        <f>IF(D336="","",ROUND(D336*E336,1))</f>
        <v/>
      </c>
      <c r="G336" s="2" t="n"/>
      <c r="H336" s="35" t="n"/>
      <c r="I336" s="35" t="n"/>
    </row>
    <row r="337" ht="70" customHeight="1">
      <c r="A337" s="16" t="inlineStr">
        <is>
          <t>6</t>
        </is>
      </c>
      <c r="B337" s="33" t="inlineStr">
        <is>
          <t>SUBTOTAL</t>
        </is>
      </c>
      <c r="C337" s="9" t="n"/>
      <c r="D337" s="9" t="n"/>
      <c r="E337" s="9" t="n"/>
      <c r="F337" s="36">
        <f>IF(F316="",0,F316)+IF(F318="",0,F318)+IF(F319="",0,F319)+IF(F320="",0,F320)+IF(F321="",0,F321)+IF(F322="",0,F322)+IF(F323="",0,F323)+IF(F324="",0,F324)+IF(F325="",0,F325)+IF(F327="",0,F327)+IF(F328="",0,F328)+IF(F329="",0,F329)+IF(F331="",0,F331)+IF(F332="",0,F332)+IF(F334="",0,F334)+IF(F335="",0,F335)+IF(F336="",0,F336)</f>
        <v/>
      </c>
      <c r="G337" s="2" t="n"/>
      <c r="H337" s="2" t="n"/>
      <c r="I337" s="2" t="n"/>
    </row>
    <row r="338" ht="47" customHeight="1">
      <c r="A338" s="16" t="inlineStr">
        <is>
          <t>7</t>
        </is>
      </c>
      <c r="B338" s="33" t="inlineStr">
        <is>
          <t>PERDIDA TOTAL</t>
        </is>
      </c>
      <c r="C338" s="9">
        <f>TEXT(F337,"0.00")&amp;"  X  "&amp;Datos_balance!$B$4&amp;" (FI)  X  "&amp;Datos_balance!$B$5&amp;" (FO)  X  "&amp;Datos_balance!$B$6&amp;" (FZ)"</f>
        <v/>
      </c>
      <c r="D338" s="2" t="n"/>
      <c r="E338" s="2" t="n"/>
      <c r="F338" s="36">
        <f>ROUND(F337*Datos_balance!$B$4*Datos_balance!$B$5*Datos_balance!$B$6,1)</f>
        <v/>
      </c>
      <c r="G338" s="2" t="n"/>
      <c r="H338" s="2" t="n"/>
      <c r="I338" s="2" t="n"/>
    </row>
    <row r="339">
      <c r="A339" s="2" t="n"/>
      <c r="B339" s="2" t="n"/>
      <c r="C339" s="2" t="n"/>
      <c r="D339" s="2" t="n"/>
      <c r="E339" s="2" t="n"/>
      <c r="F339" s="2" t="n"/>
      <c r="G339" s="2" t="n"/>
      <c r="H339" s="2" t="n"/>
      <c r="I339" s="2" t="n"/>
    </row>
    <row r="340" ht="62" customHeight="1">
      <c r="A340" s="9" t="n"/>
      <c r="B340" s="10" t="inlineStr">
        <is>
          <t>Salto termico:  dt = (te+ts)/2 - ti</t>
        </is>
      </c>
      <c r="C340" s="9">
        <f>TEXT((Datos_balance!$B$9+Datos_balance!$B$10)/2,"0")&amp;" - "&amp;TEXT(Datos_balance!$B$11,"0")&amp;" = "&amp;TEXT((Datos_balance!$B$9+Datos_balance!$B$10)/2-Datos_balance!$B$11,"0")&amp;" C"</f>
        <v/>
      </c>
      <c r="D340" s="2" t="n"/>
      <c r="E340" s="2" t="n"/>
      <c r="F340" s="9" t="n"/>
      <c r="G340" s="2" t="n"/>
      <c r="H340" s="2" t="n"/>
      <c r="I340" s="2" t="n"/>
    </row>
    <row r="341" ht="39.7" customHeight="1">
      <c r="A341" s="9" t="n"/>
      <c r="B341" s="10" t="inlineStr">
        <is>
          <t>Kcal/h por elemento</t>
        </is>
      </c>
      <c r="C341" s="8">
        <f>ROUND(Datos_balance!$B$14*Datos_balance!$B$15,2)</f>
        <v/>
      </c>
      <c r="D341" s="2" t="n"/>
      <c r="E341" s="2" t="n"/>
      <c r="F341" s="9" t="n"/>
      <c r="G341" s="2" t="n"/>
      <c r="H341" s="2" t="n"/>
      <c r="I341" s="2" t="n"/>
    </row>
    <row r="342" ht="39.7" customHeight="1">
      <c r="A342" s="9" t="n"/>
      <c r="B342" s="10" t="inlineStr">
        <is>
          <t>Elementos necesarios</t>
        </is>
      </c>
      <c r="C342" s="25">
        <f>ROUNDUP(F338/(Datos_balance!$B$14*Datos_balance!$B$15),0)</f>
        <v/>
      </c>
      <c r="D342" s="2" t="n"/>
      <c r="E342" s="2" t="n"/>
      <c r="F342" s="9" t="n"/>
      <c r="G342" s="2" t="n"/>
      <c r="H342" s="2" t="n"/>
      <c r="I342" s="2" t="n"/>
    </row>
    <row r="343" ht="39.7" customHeight="1">
      <c r="A343" s="9" t="n"/>
      <c r="B343" s="10" t="inlineStr">
        <is>
          <t>Ancho del radiador (cm)</t>
        </is>
      </c>
      <c r="C343" s="25">
        <f>ROUNDUP(F338/(Datos_balance!$B$14*Datos_balance!$B$15),0)*Datos_balance!$B$16</f>
        <v/>
      </c>
      <c r="D343" s="2" t="n"/>
      <c r="E343" s="2" t="n"/>
      <c r="F343" s="9" t="n"/>
      <c r="G343" s="2" t="n"/>
      <c r="H343" s="2" t="n"/>
      <c r="I343" s="2" t="n"/>
    </row>
    <row r="344" ht="39.7" customHeight="1">
      <c r="A344" s="13" t="n"/>
      <c r="B344" s="14" t="inlineStr">
        <is>
          <t>Radiador adoptado</t>
        </is>
      </c>
      <c r="C344" s="13">
        <f>Datos_balance!$B$13</f>
        <v/>
      </c>
      <c r="D344" s="20" t="n"/>
      <c r="E344" s="20" t="n"/>
      <c r="F344" s="13" t="n"/>
      <c r="G344" s="2" t="n"/>
      <c r="H344" s="2" t="n"/>
      <c r="I344" s="2" t="n"/>
    </row>
    <row r="345">
      <c r="A345" s="2" t="n"/>
      <c r="B345" s="2" t="n"/>
      <c r="C345" s="2" t="n"/>
      <c r="D345" s="2" t="n"/>
      <c r="E345" s="2" t="n"/>
      <c r="F345" s="2" t="n"/>
      <c r="G345" s="2" t="n"/>
      <c r="H345" s="2" t="n"/>
      <c r="I345" s="2" t="n"/>
    </row>
    <row r="346">
      <c r="A346" s="2" t="n"/>
      <c r="B346" s="2" t="n"/>
      <c r="C346" s="2" t="n"/>
      <c r="D346" s="2" t="n"/>
      <c r="E346" s="2" t="n"/>
      <c r="F346" s="2" t="n"/>
      <c r="G346" s="2" t="n"/>
      <c r="H346" s="2" t="n"/>
      <c r="I346" s="2" t="n"/>
    </row>
    <row r="347" ht="39.7" customHeight="1">
      <c r="A347" s="5" t="inlineStr">
        <is>
          <t>LOCAL  15 - Dormitorio Sur   (PA)</t>
        </is>
      </c>
      <c r="B347" s="2" t="n"/>
      <c r="C347" s="2" t="n"/>
      <c r="D347" s="2" t="n"/>
      <c r="E347" s="2" t="n"/>
      <c r="F347" s="2" t="n"/>
      <c r="G347" s="2" t="n"/>
      <c r="H347" s="2" t="n"/>
      <c r="I347" s="2" t="n"/>
    </row>
    <row r="348" ht="39.7" customHeight="1">
      <c r="A348" s="3" t="inlineStr">
        <is>
          <t>Nro</t>
        </is>
      </c>
      <c r="B348" s="3" t="inlineStr">
        <is>
          <t>DESCRIPCION</t>
        </is>
      </c>
      <c r="C348" s="3" t="inlineStr">
        <is>
          <t>DIMENSIONES (m)</t>
        </is>
      </c>
      <c r="D348" s="3" t="inlineStr">
        <is>
          <t>AREA (m2)</t>
        </is>
      </c>
      <c r="E348" s="3" t="inlineStr">
        <is>
          <t>FACTOR</t>
        </is>
      </c>
      <c r="F348" s="3" t="inlineStr">
        <is>
          <t>PERDIDA CALOR (Kcal/h)</t>
        </is>
      </c>
      <c r="G348" s="2" t="n"/>
      <c r="H348" s="2" t="n"/>
      <c r="I348" s="2" t="n"/>
    </row>
    <row r="349" ht="39.7" customHeight="1">
      <c r="A349" s="16" t="inlineStr">
        <is>
          <t>1</t>
        </is>
      </c>
      <c r="B349" s="33" t="inlineStr">
        <is>
          <t>VENTANA</t>
        </is>
      </c>
      <c r="C349" s="9" t="n"/>
      <c r="D349" s="9" t="n"/>
      <c r="E349" s="9" t="n"/>
      <c r="F349" s="9" t="n"/>
      <c r="G349" s="2" t="n"/>
      <c r="H349" s="2" t="n"/>
      <c r="I349" s="2" t="n"/>
    </row>
    <row r="350" ht="62" customHeight="1">
      <c r="A350" s="9" t="n"/>
      <c r="B350" s="34" t="inlineStr">
        <is>
          <t>PV04</t>
        </is>
      </c>
      <c r="C350" s="9">
        <f>IF(COUNT(H350,I350)&lt;2,"",TEXT(H350,"0.00")&amp;" x "&amp;TEXT(I350,"0.00"))</f>
        <v/>
      </c>
      <c r="D350" s="8">
        <f>IF(COUNT(H350,I350)&lt;2,"",ROUND(H350*I350,2))</f>
        <v/>
      </c>
      <c r="E350" s="25" t="n">
        <v>60</v>
      </c>
      <c r="F350" s="28">
        <f>IF(D350="","",ROUND(D350*E350,1))</f>
        <v/>
      </c>
      <c r="G350" s="2" t="n"/>
      <c r="H350" s="35" t="n">
        <v>2.06</v>
      </c>
      <c r="I350" s="35" t="n">
        <v>3</v>
      </c>
    </row>
    <row r="351" ht="62" customHeight="1">
      <c r="A351" s="9" t="n"/>
      <c r="B351" s="34" t="inlineStr">
        <is>
          <t>PV04 (2)</t>
        </is>
      </c>
      <c r="C351" s="9">
        <f>IF(COUNT(H351,I351)&lt;2,"",TEXT(H351,"0.00")&amp;" x "&amp;TEXT(I351,"0.00"))</f>
        <v/>
      </c>
      <c r="D351" s="8">
        <f>IF(COUNT(H351,I351)&lt;2,"",ROUND(H351*I351,2))</f>
        <v/>
      </c>
      <c r="E351" s="25" t="n">
        <v>60</v>
      </c>
      <c r="F351" s="28">
        <f>IF(D351="","",ROUND(D351*E351,1))</f>
        <v/>
      </c>
      <c r="G351" s="2" t="n"/>
      <c r="H351" s="35" t="n">
        <v>1.5</v>
      </c>
      <c r="I351" s="35" t="n">
        <v>2.95</v>
      </c>
    </row>
    <row r="352" ht="39.7" customHeight="1">
      <c r="A352" s="16" t="inlineStr">
        <is>
          <t>2</t>
        </is>
      </c>
      <c r="B352" s="33" t="inlineStr">
        <is>
          <t>PAREDES EXTERIORES</t>
        </is>
      </c>
      <c r="C352" s="9" t="n"/>
      <c r="D352" s="9" t="n"/>
      <c r="E352" s="9" t="n"/>
      <c r="F352" s="9" t="n"/>
      <c r="G352" s="2" t="n"/>
      <c r="H352" s="2" t="n"/>
      <c r="I352" s="2" t="n"/>
    </row>
    <row r="353" ht="62" customHeight="1">
      <c r="A353" s="9" t="n"/>
      <c r="B353" s="34" t="inlineStr">
        <is>
          <t>AISLADAS (    )</t>
        </is>
      </c>
      <c r="C353" s="9">
        <f>IF(COUNT(H353,I353)&lt;2,"",TEXT(H353,"0.00")&amp;" x "&amp;TEXT(I353,"0.00"))</f>
        <v/>
      </c>
      <c r="D353" s="8">
        <f>IF(COUNT(H353,I353)&lt;2,"",ROUND(H353*I353,2))</f>
        <v/>
      </c>
      <c r="E353" s="25" t="n">
        <v>20</v>
      </c>
      <c r="F353" s="28">
        <f>IF(D353="","",ROUND(D353*E353,1))</f>
        <v/>
      </c>
      <c r="G353" s="2" t="n"/>
      <c r="H353" s="35" t="n"/>
      <c r="I353" s="35" t="n"/>
    </row>
    <row r="354" ht="62" customHeight="1">
      <c r="A354" s="9" t="n"/>
      <c r="B354" s="34" t="inlineStr">
        <is>
          <t>AISLADAS (    )</t>
        </is>
      </c>
      <c r="C354" s="9">
        <f>IF(COUNT(H354,I354)&lt;2,"",TEXT(H354,"0.00")&amp;" x "&amp;TEXT(I354,"0.00"))</f>
        <v/>
      </c>
      <c r="D354" s="8">
        <f>IF(COUNT(H354,I354)&lt;2,"",ROUND(H354*I354,2))</f>
        <v/>
      </c>
      <c r="E354" s="25" t="n">
        <v>20</v>
      </c>
      <c r="F354" s="28">
        <f>IF(D354="","",ROUND(D354*E354,1))</f>
        <v/>
      </c>
      <c r="G354" s="2" t="n"/>
      <c r="H354" s="35" t="n"/>
      <c r="I354" s="35"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INTERIORES (    )</t>
        </is>
      </c>
      <c r="C357" s="9">
        <f>IF(COUNT(H357,I357)&lt;2,"",TEXT(H357,"0.00")&amp;" x "&amp;TEXT(I357,"0.00"))</f>
        <v/>
      </c>
      <c r="D357" s="8">
        <f>IF(COUNT(H357,I357)&lt;2,"",ROUND(H357*I357,2))</f>
        <v/>
      </c>
      <c r="E357" s="25" t="n">
        <v>25</v>
      </c>
      <c r="F357" s="28">
        <f>IF(D357="","",ROUND(D357*E357,1))</f>
        <v/>
      </c>
      <c r="G357" s="2" t="n"/>
      <c r="H357" s="35" t="n">
        <v>3.5</v>
      </c>
      <c r="I357" s="35" t="n">
        <v>3</v>
      </c>
    </row>
    <row r="358" ht="62" customHeight="1">
      <c r="A358" s="9" t="n"/>
      <c r="B358" s="34" t="inlineStr">
        <is>
          <t>INTERIORES (    )</t>
        </is>
      </c>
      <c r="C358" s="9">
        <f>IF(COUNT(H358,I358)&lt;2,"",TEXT(H358,"0.00")&amp;" x "&amp;TEXT(I358,"0.00"))</f>
        <v/>
      </c>
      <c r="D358" s="8">
        <f>IF(COUNT(H358,I358)&lt;2,"",ROUND(H358*I358,2))</f>
        <v/>
      </c>
      <c r="E358" s="25" t="n">
        <v>25</v>
      </c>
      <c r="F358" s="28">
        <f>IF(D358="","",ROUND(D358*E358,1))</f>
        <v/>
      </c>
      <c r="G358" s="2" t="n"/>
      <c r="H358" s="35" t="n">
        <v>4.05</v>
      </c>
      <c r="I358" s="35" t="n">
        <v>3</v>
      </c>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3.5</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4.05</v>
      </c>
      <c r="I360" s="35" t="n">
        <v>3</v>
      </c>
    </row>
    <row r="361" ht="39.7" customHeight="1">
      <c r="A361" s="16" t="inlineStr">
        <is>
          <t>3</t>
        </is>
      </c>
      <c r="B361" s="33" t="inlineStr">
        <is>
          <t>TECHOS O CIELORRASOS</t>
        </is>
      </c>
      <c r="C361" s="9" t="n"/>
      <c r="D361" s="9" t="n"/>
      <c r="E361" s="9" t="n"/>
      <c r="F361" s="9" t="n"/>
      <c r="G361" s="2" t="n"/>
      <c r="H361" s="2" t="n"/>
      <c r="I361" s="2" t="n"/>
    </row>
    <row r="362" ht="62" customHeight="1">
      <c r="A362" s="9" t="n"/>
      <c r="B362" s="34" t="inlineStr">
        <is>
          <t>TECHO NO AISLADO</t>
        </is>
      </c>
      <c r="C362" s="9" t="inlineStr"/>
      <c r="D362" s="8">
        <f>IF(COUNT(H362,I362)&lt;2,"",ROUND(H362*I362,2))</f>
        <v/>
      </c>
      <c r="E362" s="25" t="n">
        <v>30</v>
      </c>
      <c r="F362" s="28">
        <f>IF(D362="","",ROUND(D362*E362,1))</f>
        <v/>
      </c>
      <c r="G362" s="2" t="n"/>
      <c r="H362" s="35" t="n"/>
      <c r="I362" s="35" t="n"/>
    </row>
    <row r="363" ht="39.7" customHeight="1">
      <c r="A363" s="9" t="n"/>
      <c r="B363" s="34" t="inlineStr">
        <is>
          <t>TECHO AISLADO</t>
        </is>
      </c>
      <c r="C363" s="9" t="inlineStr">
        <is>
          <t>por croquis</t>
        </is>
      </c>
      <c r="D363" s="8" t="n">
        <v>14.17</v>
      </c>
      <c r="E363" s="25" t="n">
        <v>20</v>
      </c>
      <c r="F363" s="28">
        <f>IF(D363="","",ROUND(D363*E363,1))</f>
        <v/>
      </c>
      <c r="G363" s="2" t="n"/>
      <c r="H363" s="35" t="n"/>
      <c r="I363" s="35" t="n"/>
    </row>
    <row r="364" ht="62" customHeight="1">
      <c r="A364" s="9" t="n"/>
      <c r="B364" s="34" t="inlineStr">
        <is>
          <t>TECHO ENTREPISO</t>
        </is>
      </c>
      <c r="C364" s="9" t="inlineStr"/>
      <c r="D364" s="8">
        <f>IF(COUNT(H364,I364)&lt;2,"",ROUND(H364*I364,2))</f>
        <v/>
      </c>
      <c r="E364" s="25" t="n">
        <v>15</v>
      </c>
      <c r="F364" s="28">
        <f>IF(D364="","",ROUND(D364*E364,1))</f>
        <v/>
      </c>
      <c r="G364" s="2" t="n"/>
      <c r="H364" s="35" t="n"/>
      <c r="I364" s="35" t="n"/>
    </row>
    <row r="365" ht="39.7" customHeight="1">
      <c r="A365" s="16" t="inlineStr">
        <is>
          <t>4</t>
        </is>
      </c>
      <c r="B365" s="33" t="inlineStr">
        <is>
          <t>PISO</t>
        </is>
      </c>
      <c r="C365" s="9" t="n"/>
      <c r="D365" s="9" t="n"/>
      <c r="E365" s="9" t="n"/>
      <c r="F365" s="9" t="n"/>
      <c r="G365" s="2" t="n"/>
      <c r="H365" s="2" t="n"/>
      <c r="I365" s="2" t="n"/>
    </row>
    <row r="366" ht="62" customHeight="1">
      <c r="A366" s="9" t="n"/>
      <c r="B366" s="34" t="inlineStr">
        <is>
          <t>SOBRE TIERRA</t>
        </is>
      </c>
      <c r="C366" s="9" t="inlineStr"/>
      <c r="D366" s="8">
        <f>IF(COUNT(H366,I366)&lt;2,"",ROUND(H366*I366,2))</f>
        <v/>
      </c>
      <c r="E366" s="25" t="n">
        <v>10</v>
      </c>
      <c r="F366" s="28">
        <f>IF(D366="","",ROUND(D366*E366,1))</f>
        <v/>
      </c>
      <c r="G366" s="2" t="n"/>
      <c r="H366" s="35" t="n"/>
      <c r="I366" s="35" t="n"/>
    </row>
    <row r="367" ht="39.7" customHeight="1">
      <c r="A367" s="9" t="n"/>
      <c r="B367" s="34" t="inlineStr">
        <is>
          <t>SOBRE LOCAL OCUPADO</t>
        </is>
      </c>
      <c r="C367" s="9" t="inlineStr">
        <is>
          <t>por croquis</t>
        </is>
      </c>
      <c r="D367" s="8" t="n">
        <v>14.17</v>
      </c>
      <c r="E367" s="25" t="n">
        <v>15</v>
      </c>
      <c r="F367" s="28">
        <f>IF(D367="","",ROUND(D367*E367,1))</f>
        <v/>
      </c>
      <c r="G367" s="2" t="n"/>
      <c r="H367" s="35" t="n"/>
      <c r="I367" s="35" t="n"/>
    </row>
    <row r="368" ht="39.7" customHeight="1">
      <c r="A368" s="16" t="inlineStr">
        <is>
          <t>5</t>
        </is>
      </c>
      <c r="B368" s="33" t="inlineStr">
        <is>
          <t>INFILTRACION</t>
        </is>
      </c>
      <c r="C368" s="9" t="n"/>
      <c r="D368" s="16" t="inlineStr">
        <is>
          <t>VOLUMEN (m3)</t>
        </is>
      </c>
      <c r="E368" s="9" t="n"/>
      <c r="F368" s="9" t="n"/>
      <c r="G368" s="2" t="n"/>
      <c r="H368" s="2" t="n"/>
      <c r="I368" s="2" t="n"/>
    </row>
    <row r="369" ht="62" customHeight="1">
      <c r="A369" s="9" t="n"/>
      <c r="B369" s="34" t="inlineStr">
        <is>
          <t>UNA PARED EXTERIOR</t>
        </is>
      </c>
      <c r="C369" s="9" t="inlineStr"/>
      <c r="D369" s="8">
        <f>IF(COUNT(H369,I369)&lt;2,"",ROUND(H369*I369,2))</f>
        <v/>
      </c>
      <c r="E369" s="25" t="n">
        <v>6</v>
      </c>
      <c r="F369" s="28">
        <f>IF(D369="","",ROUND(D369*E369,1))</f>
        <v/>
      </c>
      <c r="G369" s="2" t="n"/>
      <c r="H369" s="35" t="n"/>
      <c r="I369" s="35" t="n"/>
    </row>
    <row r="370" ht="39.7" customHeight="1">
      <c r="A370" s="9" t="n"/>
      <c r="B370" s="34" t="inlineStr">
        <is>
          <t>DOS PAREDES EXTERIORES</t>
        </is>
      </c>
      <c r="C370" s="9" t="inlineStr">
        <is>
          <t>14.17 m2 x 3.00</t>
        </is>
      </c>
      <c r="D370" s="8" t="n">
        <v>42.51</v>
      </c>
      <c r="E370" s="25" t="n">
        <v>9</v>
      </c>
      <c r="F370" s="28">
        <f>IF(D370="","",ROUND(D370*E370,1))</f>
        <v/>
      </c>
      <c r="G370" s="2" t="n"/>
      <c r="H370" s="35" t="n"/>
      <c r="I370" s="35" t="n"/>
    </row>
    <row r="371" ht="62" customHeight="1">
      <c r="A371" s="9" t="n"/>
      <c r="B371" s="34" t="inlineStr">
        <is>
          <t>TRES O MAS PAREDES EXTERIORES</t>
        </is>
      </c>
      <c r="C371" s="9" t="inlineStr"/>
      <c r="D371" s="8">
        <f>IF(COUNT(H371,I371)&lt;2,"",ROUND(H371*I371,2))</f>
        <v/>
      </c>
      <c r="E371" s="25" t="n">
        <v>12</v>
      </c>
      <c r="F371" s="28">
        <f>IF(D371="","",ROUND(D371*E371,1))</f>
        <v/>
      </c>
      <c r="G371" s="2" t="n"/>
      <c r="H371" s="35" t="n"/>
      <c r="I371" s="35" t="n"/>
    </row>
    <row r="372" ht="70" customHeight="1">
      <c r="A372" s="16" t="inlineStr">
        <is>
          <t>6</t>
        </is>
      </c>
      <c r="B372" s="33" t="inlineStr">
        <is>
          <t>SUBTOTAL</t>
        </is>
      </c>
      <c r="C372" s="9" t="n"/>
      <c r="D372" s="9" t="n"/>
      <c r="E372" s="9" t="n"/>
      <c r="F372" s="36">
        <f>IF(F350="",0,F350)+IF(F351="",0,F351)+IF(F353="",0,F353)+IF(F354="",0,F354)+IF(F355="",0,F355)+IF(F356="",0,F356)+IF(F357="",0,F357)+IF(F358="",0,F358)+IF(F359="",0,F359)+IF(F360="",0,F360)+IF(F362="",0,F362)+IF(F363="",0,F363)+IF(F364="",0,F364)+IF(F366="",0,F366)+IF(F367="",0,F367)+IF(F369="",0,F369)+IF(F370="",0,F370)+IF(F371="",0,F371)</f>
        <v/>
      </c>
      <c r="G372" s="2" t="n"/>
      <c r="H372" s="2" t="n"/>
      <c r="I372" s="2" t="n"/>
    </row>
    <row r="373" ht="47" customHeight="1">
      <c r="A373" s="16" t="inlineStr">
        <is>
          <t>7</t>
        </is>
      </c>
      <c r="B373" s="33" t="inlineStr">
        <is>
          <t>PERDIDA TOTAL</t>
        </is>
      </c>
      <c r="C373" s="9">
        <f>TEXT(F372,"0.00")&amp;"  X  "&amp;Datos_balance!$B$4&amp;" (FI)  X  "&amp;Datos_balance!$B$5&amp;" (FO)  X  "&amp;Datos_balance!$B$6&amp;" (FZ)"</f>
        <v/>
      </c>
      <c r="D373" s="2" t="n"/>
      <c r="E373" s="2" t="n"/>
      <c r="F373" s="36">
        <f>ROUND(F372*Datos_balance!$B$4*Datos_balance!$B$5*Datos_balance!$B$6,1)</f>
        <v/>
      </c>
      <c r="G373" s="2" t="n"/>
      <c r="H373" s="2" t="n"/>
      <c r="I373" s="2" t="n"/>
    </row>
    <row r="374">
      <c r="A374" s="2" t="n"/>
      <c r="B374" s="2" t="n"/>
      <c r="C374" s="2" t="n"/>
      <c r="D374" s="2" t="n"/>
      <c r="E374" s="2" t="n"/>
      <c r="F374" s="2" t="n"/>
      <c r="G374" s="2" t="n"/>
      <c r="H374" s="2" t="n"/>
      <c r="I374" s="2" t="n"/>
    </row>
    <row r="375" ht="62" customHeight="1">
      <c r="A375" s="9" t="n"/>
      <c r="B375" s="10" t="inlineStr">
        <is>
          <t>Salto termico:  dt = (te+ts)/2 - ti</t>
        </is>
      </c>
      <c r="C375" s="9">
        <f>TEXT((Datos_balance!$B$9+Datos_balance!$B$10)/2,"0")&amp;" - "&amp;TEXT(Datos_balance!$B$11,"0")&amp;" = "&amp;TEXT((Datos_balance!$B$9+Datos_balance!$B$10)/2-Datos_balance!$B$11,"0")&amp;" C"</f>
        <v/>
      </c>
      <c r="D375" s="2" t="n"/>
      <c r="E375" s="2" t="n"/>
      <c r="F375" s="9" t="n"/>
      <c r="G375" s="2" t="n"/>
      <c r="H375" s="2" t="n"/>
      <c r="I375" s="2" t="n"/>
    </row>
    <row r="376" ht="39.7" customHeight="1">
      <c r="A376" s="9" t="n"/>
      <c r="B376" s="10" t="inlineStr">
        <is>
          <t>Kcal/h por elemento</t>
        </is>
      </c>
      <c r="C376" s="8">
        <f>ROUND(Datos_balance!$B$14*Datos_balance!$B$15,2)</f>
        <v/>
      </c>
      <c r="D376" s="2" t="n"/>
      <c r="E376" s="2" t="n"/>
      <c r="F376" s="9" t="n"/>
      <c r="G376" s="2" t="n"/>
      <c r="H376" s="2" t="n"/>
      <c r="I376" s="2" t="n"/>
    </row>
    <row r="377" ht="39.7" customHeight="1">
      <c r="A377" s="9" t="n"/>
      <c r="B377" s="10" t="inlineStr">
        <is>
          <t>Elementos necesarios</t>
        </is>
      </c>
      <c r="C377" s="25">
        <f>ROUNDUP(F373/(Datos_balance!$B$14*Datos_balance!$B$15),0)</f>
        <v/>
      </c>
      <c r="D377" s="2" t="n"/>
      <c r="E377" s="2" t="n"/>
      <c r="F377" s="9" t="n"/>
      <c r="G377" s="2" t="n"/>
      <c r="H377" s="2" t="n"/>
      <c r="I377" s="2" t="n"/>
    </row>
    <row r="378" ht="39.7" customHeight="1">
      <c r="A378" s="9" t="n"/>
      <c r="B378" s="10" t="inlineStr">
        <is>
          <t>Ancho del radiador (cm)</t>
        </is>
      </c>
      <c r="C378" s="25">
        <f>ROUNDUP(F373/(Datos_balance!$B$14*Datos_balance!$B$15),0)*Datos_balance!$B$16</f>
        <v/>
      </c>
      <c r="D378" s="2" t="n"/>
      <c r="E378" s="2" t="n"/>
      <c r="F378" s="9" t="n"/>
      <c r="G378" s="2" t="n"/>
      <c r="H378" s="2" t="n"/>
      <c r="I378" s="2" t="n"/>
    </row>
    <row r="379" ht="39.7" customHeight="1">
      <c r="A379" s="13" t="n"/>
      <c r="B379" s="14" t="inlineStr">
        <is>
          <t>Radiador adoptado</t>
        </is>
      </c>
      <c r="C379" s="13">
        <f>Datos_balance!$B$13</f>
        <v/>
      </c>
      <c r="D379" s="20" t="n"/>
      <c r="E379" s="20" t="n"/>
      <c r="F379" s="13" t="n"/>
      <c r="G379" s="2" t="n"/>
      <c r="H379" s="2" t="n"/>
      <c r="I379" s="2" t="n"/>
    </row>
    <row r="380">
      <c r="A380" s="2" t="n"/>
      <c r="B380" s="2" t="n"/>
      <c r="C380" s="2" t="n"/>
      <c r="D380" s="2" t="n"/>
      <c r="E380" s="2" t="n"/>
      <c r="F380" s="2" t="n"/>
      <c r="G380" s="2" t="n"/>
      <c r="H380" s="2" t="n"/>
      <c r="I380" s="2" t="n"/>
    </row>
    <row r="381">
      <c r="A381" s="2" t="n"/>
      <c r="B381" s="2" t="n"/>
      <c r="C381" s="2" t="n"/>
      <c r="D381" s="2" t="n"/>
      <c r="E381" s="2" t="n"/>
      <c r="F381" s="2" t="n"/>
      <c r="G381" s="2" t="n"/>
      <c r="H381" s="2" t="n"/>
      <c r="I381" s="2" t="n"/>
    </row>
    <row r="382" ht="39.7" customHeight="1">
      <c r="A382" s="5" t="inlineStr">
        <is>
          <t>LOCAL  17 - Bano   (PA)</t>
        </is>
      </c>
      <c r="B382" s="2" t="n"/>
      <c r="C382" s="2" t="n"/>
      <c r="D382" s="2" t="n"/>
      <c r="E382" s="2" t="n"/>
      <c r="F382" s="2" t="n"/>
      <c r="G382" s="2" t="n"/>
      <c r="H382" s="2" t="n"/>
      <c r="I382" s="2" t="n"/>
    </row>
    <row r="383" ht="39.7" customHeight="1">
      <c r="A383" s="3" t="inlineStr">
        <is>
          <t>Nro</t>
        </is>
      </c>
      <c r="B383" s="3" t="inlineStr">
        <is>
          <t>DESCRIPCION</t>
        </is>
      </c>
      <c r="C383" s="3" t="inlineStr">
        <is>
          <t>DIMENSIONES (m)</t>
        </is>
      </c>
      <c r="D383" s="3" t="inlineStr">
        <is>
          <t>AREA (m2)</t>
        </is>
      </c>
      <c r="E383" s="3" t="inlineStr">
        <is>
          <t>FACTOR</t>
        </is>
      </c>
      <c r="F383" s="3" t="inlineStr">
        <is>
          <t>PERDIDA CALOR (Kcal/h)</t>
        </is>
      </c>
      <c r="G383" s="2" t="n"/>
      <c r="H383" s="2" t="n"/>
      <c r="I383" s="2" t="n"/>
    </row>
    <row r="384" ht="39.7" customHeight="1">
      <c r="A384" s="16" t="inlineStr">
        <is>
          <t>1</t>
        </is>
      </c>
      <c r="B384" s="33" t="inlineStr">
        <is>
          <t>VENTANA</t>
        </is>
      </c>
      <c r="C384" s="9" t="n"/>
      <c r="D384" s="9" t="n"/>
      <c r="E384" s="9" t="n"/>
      <c r="F384" s="9" t="n"/>
      <c r="G384" s="2" t="n"/>
      <c r="H384" s="2" t="n"/>
      <c r="I384" s="2" t="n"/>
    </row>
    <row r="385" ht="62" customHeight="1">
      <c r="A385" s="9" t="n"/>
      <c r="B385" s="34" t="inlineStr">
        <is>
          <t>VA03</t>
        </is>
      </c>
      <c r="C385" s="9">
        <f>IF(COUNT(H385,I385)&lt;2,"",TEXT(H385,"0.00")&amp;" x "&amp;TEXT(I385,"0.00"))</f>
        <v/>
      </c>
      <c r="D385" s="8">
        <f>IF(COUNT(H385,I385)&lt;2,"",ROUND(H385*I385,2))</f>
        <v/>
      </c>
      <c r="E385" s="25" t="n">
        <v>60</v>
      </c>
      <c r="F385" s="28">
        <f>IF(D385="","",ROUND(D385*E385,1))</f>
        <v/>
      </c>
      <c r="G385" s="2" t="n"/>
      <c r="H385" s="35" t="n">
        <v>0.75</v>
      </c>
      <c r="I385" s="35" t="n">
        <v>2.52</v>
      </c>
    </row>
    <row r="386" ht="39.7" customHeight="1">
      <c r="A386" s="16" t="inlineStr">
        <is>
          <t>2</t>
        </is>
      </c>
      <c r="B386" s="33" t="inlineStr">
        <is>
          <t>PAREDES EXTERIORES</t>
        </is>
      </c>
      <c r="C386" s="9" t="n"/>
      <c r="D386" s="9" t="n"/>
      <c r="E386" s="9" t="n"/>
      <c r="F386" s="9" t="n"/>
      <c r="G386" s="2" t="n"/>
      <c r="H386" s="2" t="n"/>
      <c r="I386" s="2" t="n"/>
    </row>
    <row r="387" ht="62" customHeight="1">
      <c r="A387" s="9" t="n"/>
      <c r="B387" s="34" t="inlineStr">
        <is>
          <t>AISLADAS (    )</t>
        </is>
      </c>
      <c r="C387" s="9">
        <f>IF(COUNT(H387,I387)&lt;2,"",TEXT(H387,"0.00")&amp;" x "&amp;TEXT(I387,"0.00"))</f>
        <v/>
      </c>
      <c r="D387" s="8">
        <f>IF(COUNT(H387,I387)&lt;2,"",ROUND(H387*I387,2))</f>
        <v/>
      </c>
      <c r="E387" s="25" t="n">
        <v>20</v>
      </c>
      <c r="F387" s="28">
        <f>IF(D387="","",ROUND(D387*E387,1))</f>
        <v/>
      </c>
      <c r="G387" s="2" t="n"/>
      <c r="H387" s="35" t="n"/>
      <c r="I387" s="35" t="n"/>
    </row>
    <row r="388" ht="62" customHeight="1">
      <c r="A388" s="9" t="n"/>
      <c r="B388" s="34" t="inlineStr">
        <is>
          <t>AISLADAS (    )</t>
        </is>
      </c>
      <c r="C388" s="9">
        <f>IF(COUNT(H388,I388)&lt;2,"",TEXT(H388,"0.00")&amp;" x "&amp;TEXT(I388,"0.00"))</f>
        <v/>
      </c>
      <c r="D388" s="8">
        <f>IF(COUNT(H388,I388)&lt;2,"",ROUND(H388*I388,2))</f>
        <v/>
      </c>
      <c r="E388" s="25" t="n">
        <v>20</v>
      </c>
      <c r="F388" s="28">
        <f>IF(D388="","",ROUND(D388*E388,1))</f>
        <v/>
      </c>
      <c r="G388" s="2" t="n"/>
      <c r="H388" s="35" t="n"/>
      <c r="I388" s="35" t="n"/>
    </row>
    <row r="389" ht="62" customHeight="1">
      <c r="A389" s="9" t="n"/>
      <c r="B389" s="34" t="inlineStr">
        <is>
          <t>AISLADAS (    )</t>
        </is>
      </c>
      <c r="C389" s="9">
        <f>IF(COUNT(H389,I389)&lt;2,"",TEXT(H389,"0.00")&amp;" x "&amp;TEXT(I389,"0.00"))</f>
        <v/>
      </c>
      <c r="D389" s="8">
        <f>IF(COUNT(H389,I389)&lt;2,"",ROUND(H389*I389,2))</f>
        <v/>
      </c>
      <c r="E389" s="25" t="n">
        <v>20</v>
      </c>
      <c r="F389" s="28">
        <f>IF(D389="","",ROUND(D389*E389,1))</f>
        <v/>
      </c>
      <c r="G389" s="2" t="n"/>
      <c r="H389" s="35" t="n"/>
      <c r="I389" s="35" t="n"/>
    </row>
    <row r="390" ht="62" customHeight="1">
      <c r="A390" s="9" t="n"/>
      <c r="B390" s="34" t="inlineStr">
        <is>
          <t>AISLADAS (    )</t>
        </is>
      </c>
      <c r="C390" s="9">
        <f>IF(COUNT(H390,I390)&lt;2,"",TEXT(H390,"0.00")&amp;" x "&amp;TEXT(I390,"0.00"))</f>
        <v/>
      </c>
      <c r="D390" s="8">
        <f>IF(COUNT(H390,I390)&lt;2,"",ROUND(H390*I390,2))</f>
        <v/>
      </c>
      <c r="E390" s="25" t="n">
        <v>20</v>
      </c>
      <c r="F390" s="28">
        <f>IF(D390="","",ROUND(D390*E390,1))</f>
        <v/>
      </c>
      <c r="G390" s="2" t="n"/>
      <c r="H390" s="35" t="n"/>
      <c r="I390" s="35" t="n"/>
    </row>
    <row r="391" ht="62" customHeight="1">
      <c r="A391" s="9" t="n"/>
      <c r="B391" s="34" t="inlineStr">
        <is>
          <t>INTERIORES (    )</t>
        </is>
      </c>
      <c r="C391" s="9">
        <f>IF(COUNT(H391,I391)&lt;2,"",TEXT(H391,"0.00")&amp;" x "&amp;TEXT(I391,"0.00"))</f>
        <v/>
      </c>
      <c r="D391" s="8">
        <f>IF(COUNT(H391,I391)&lt;2,"",ROUND(H391*I391,2))</f>
        <v/>
      </c>
      <c r="E391" s="25" t="n">
        <v>25</v>
      </c>
      <c r="F391" s="28">
        <f>IF(D391="","",ROUND(D391*E391,1))</f>
        <v/>
      </c>
      <c r="G391" s="2" t="n"/>
      <c r="H391" s="35" t="n">
        <v>2.2</v>
      </c>
      <c r="I391" s="35" t="n">
        <v>3</v>
      </c>
    </row>
    <row r="392" ht="62" customHeight="1">
      <c r="A392" s="9" t="n"/>
      <c r="B392" s="34" t="inlineStr">
        <is>
          <t>INTERIORES (    )</t>
        </is>
      </c>
      <c r="C392" s="9">
        <f>IF(COUNT(H392,I392)&lt;2,"",TEXT(H392,"0.00")&amp;" x "&amp;TEXT(I392,"0.00"))</f>
        <v/>
      </c>
      <c r="D392" s="8">
        <f>IF(COUNT(H392,I392)&lt;2,"",ROUND(H392*I392,2))</f>
        <v/>
      </c>
      <c r="E392" s="25" t="n">
        <v>25</v>
      </c>
      <c r="F392" s="28">
        <f>IF(D392="","",ROUND(D392*E392,1))</f>
        <v/>
      </c>
      <c r="G392" s="2" t="n"/>
      <c r="H392" s="35" t="n">
        <v>1.6</v>
      </c>
      <c r="I392" s="35" t="n">
        <v>3</v>
      </c>
    </row>
    <row r="393" ht="62" customHeight="1">
      <c r="A393" s="9" t="n"/>
      <c r="B393" s="34" t="inlineStr">
        <is>
          <t>INTERIORES (    )</t>
        </is>
      </c>
      <c r="C393" s="9">
        <f>IF(COUNT(H393,I393)&lt;2,"",TEXT(H393,"0.00")&amp;" x "&amp;TEXT(I393,"0.00"))</f>
        <v/>
      </c>
      <c r="D393" s="8">
        <f>IF(COUNT(H393,I393)&lt;2,"",ROUND(H393*I393,2))</f>
        <v/>
      </c>
      <c r="E393" s="25" t="n">
        <v>25</v>
      </c>
      <c r="F393" s="28">
        <f>IF(D393="","",ROUND(D393*E393,1))</f>
        <v/>
      </c>
      <c r="G393" s="2" t="n"/>
      <c r="H393" s="35" t="n">
        <v>2.2</v>
      </c>
      <c r="I393" s="35" t="n">
        <v>3</v>
      </c>
    </row>
    <row r="394" ht="62" customHeight="1">
      <c r="A394" s="9" t="n"/>
      <c r="B394" s="34" t="inlineStr">
        <is>
          <t>INTERIORES (    )</t>
        </is>
      </c>
      <c r="C394" s="9">
        <f>IF(COUNT(H394,I394)&lt;2,"",TEXT(H394,"0.00")&amp;" x "&amp;TEXT(I394,"0.00"))</f>
        <v/>
      </c>
      <c r="D394" s="8">
        <f>IF(COUNT(H394,I394)&lt;2,"",ROUND(H394*I394,2))</f>
        <v/>
      </c>
      <c r="E394" s="25" t="n">
        <v>25</v>
      </c>
      <c r="F394" s="28">
        <f>IF(D394="","",ROUND(D394*E394,1))</f>
        <v/>
      </c>
      <c r="G394" s="2" t="n"/>
      <c r="H394" s="35" t="n">
        <v>1.6</v>
      </c>
      <c r="I394" s="35" t="n">
        <v>3</v>
      </c>
    </row>
    <row r="395" ht="39.7" customHeight="1">
      <c r="A395" s="16" t="inlineStr">
        <is>
          <t>3</t>
        </is>
      </c>
      <c r="B395" s="33" t="inlineStr">
        <is>
          <t>TECHOS O CIELORRASOS</t>
        </is>
      </c>
      <c r="C395" s="9" t="n"/>
      <c r="D395" s="9" t="n"/>
      <c r="E395" s="9" t="n"/>
      <c r="F395" s="9" t="n"/>
      <c r="G395" s="2" t="n"/>
      <c r="H395" s="2" t="n"/>
      <c r="I395" s="2" t="n"/>
    </row>
    <row r="396" ht="62" customHeight="1">
      <c r="A396" s="9" t="n"/>
      <c r="B396" s="34" t="inlineStr">
        <is>
          <t>TECHO NO AISLADO</t>
        </is>
      </c>
      <c r="C396" s="9" t="inlineStr"/>
      <c r="D396" s="8">
        <f>IF(COUNT(H396,I396)&lt;2,"",ROUND(H396*I396,2))</f>
        <v/>
      </c>
      <c r="E396" s="25" t="n">
        <v>30</v>
      </c>
      <c r="F396" s="28">
        <f>IF(D396="","",ROUND(D396*E396,1))</f>
        <v/>
      </c>
      <c r="G396" s="2" t="n"/>
      <c r="H396" s="35" t="n"/>
      <c r="I396" s="35" t="n"/>
    </row>
    <row r="397" ht="39.7" customHeight="1">
      <c r="A397" s="9" t="n"/>
      <c r="B397" s="34" t="inlineStr">
        <is>
          <t>TECHO AISLADO</t>
        </is>
      </c>
      <c r="C397" s="9" t="inlineStr">
        <is>
          <t>por croquis</t>
        </is>
      </c>
      <c r="D397" s="8" t="n">
        <v>3.52</v>
      </c>
      <c r="E397" s="25" t="n">
        <v>20</v>
      </c>
      <c r="F397" s="28">
        <f>IF(D397="","",ROUND(D397*E397,1))</f>
        <v/>
      </c>
      <c r="G397" s="2" t="n"/>
      <c r="H397" s="35" t="n"/>
      <c r="I397" s="35" t="n"/>
    </row>
    <row r="398" ht="62" customHeight="1">
      <c r="A398" s="9" t="n"/>
      <c r="B398" s="34" t="inlineStr">
        <is>
          <t>TECHO ENTREPISO</t>
        </is>
      </c>
      <c r="C398" s="9" t="inlineStr"/>
      <c r="D398" s="8">
        <f>IF(COUNT(H398,I398)&lt;2,"",ROUND(H398*I398,2))</f>
        <v/>
      </c>
      <c r="E398" s="25" t="n">
        <v>15</v>
      </c>
      <c r="F398" s="28">
        <f>IF(D398="","",ROUND(D398*E398,1))</f>
        <v/>
      </c>
      <c r="G398" s="2" t="n"/>
      <c r="H398" s="35" t="n"/>
      <c r="I398" s="35" t="n"/>
    </row>
    <row r="399" ht="39.7" customHeight="1">
      <c r="A399" s="16" t="inlineStr">
        <is>
          <t>4</t>
        </is>
      </c>
      <c r="B399" s="33" t="inlineStr">
        <is>
          <t>PISO</t>
        </is>
      </c>
      <c r="C399" s="9" t="n"/>
      <c r="D399" s="9" t="n"/>
      <c r="E399" s="9" t="n"/>
      <c r="F399" s="9" t="n"/>
      <c r="G399" s="2" t="n"/>
      <c r="H399" s="2" t="n"/>
      <c r="I399" s="2" t="n"/>
    </row>
    <row r="400" ht="62" customHeight="1">
      <c r="A400" s="9" t="n"/>
      <c r="B400" s="34" t="inlineStr">
        <is>
          <t>SOBRE TIERRA</t>
        </is>
      </c>
      <c r="C400" s="9" t="inlineStr"/>
      <c r="D400" s="8">
        <f>IF(COUNT(H400,I400)&lt;2,"",ROUND(H400*I400,2))</f>
        <v/>
      </c>
      <c r="E400" s="25" t="n">
        <v>10</v>
      </c>
      <c r="F400" s="28">
        <f>IF(D400="","",ROUND(D400*E400,1))</f>
        <v/>
      </c>
      <c r="G400" s="2" t="n"/>
      <c r="H400" s="35" t="n"/>
      <c r="I400" s="35" t="n"/>
    </row>
    <row r="401" ht="39.7" customHeight="1">
      <c r="A401" s="9" t="n"/>
      <c r="B401" s="34" t="inlineStr">
        <is>
          <t>SOBRE LOCAL OCUPADO</t>
        </is>
      </c>
      <c r="C401" s="9" t="inlineStr">
        <is>
          <t>por croquis</t>
        </is>
      </c>
      <c r="D401" s="8" t="n">
        <v>3.52</v>
      </c>
      <c r="E401" s="25" t="n">
        <v>15</v>
      </c>
      <c r="F401" s="28">
        <f>IF(D401="","",ROUND(D401*E401,1))</f>
        <v/>
      </c>
      <c r="G401" s="2" t="n"/>
      <c r="H401" s="35" t="n"/>
      <c r="I401" s="35" t="n"/>
    </row>
    <row r="402" ht="39.7" customHeight="1">
      <c r="A402" s="16" t="inlineStr">
        <is>
          <t>5</t>
        </is>
      </c>
      <c r="B402" s="33" t="inlineStr">
        <is>
          <t>INFILTRACION</t>
        </is>
      </c>
      <c r="C402" s="9" t="n"/>
      <c r="D402" s="16" t="inlineStr">
        <is>
          <t>VOLUMEN (m3)</t>
        </is>
      </c>
      <c r="E402" s="9" t="n"/>
      <c r="F402" s="9" t="n"/>
      <c r="G402" s="2" t="n"/>
      <c r="H402" s="2" t="n"/>
      <c r="I402" s="2" t="n"/>
    </row>
    <row r="403" ht="39.7" customHeight="1">
      <c r="A403" s="9" t="n"/>
      <c r="B403" s="34" t="inlineStr">
        <is>
          <t>UNA PARED EXTERIOR</t>
        </is>
      </c>
      <c r="C403" s="9" t="inlineStr">
        <is>
          <t>3.52 m2 x 3.00</t>
        </is>
      </c>
      <c r="D403" s="8" t="n">
        <v>10.56</v>
      </c>
      <c r="E403" s="25" t="n">
        <v>6</v>
      </c>
      <c r="F403" s="28">
        <f>IF(D403="","",ROUND(D403*E403,1))</f>
        <v/>
      </c>
      <c r="G403" s="2" t="n"/>
      <c r="H403" s="35" t="n"/>
      <c r="I403" s="35" t="n"/>
    </row>
    <row r="404" ht="62" customHeight="1">
      <c r="A404" s="9" t="n"/>
      <c r="B404" s="34" t="inlineStr">
        <is>
          <t>DOS PAREDES EXTERIORES</t>
        </is>
      </c>
      <c r="C404" s="9" t="inlineStr"/>
      <c r="D404" s="8">
        <f>IF(COUNT(H404,I404)&lt;2,"",ROUND(H404*I404,2))</f>
        <v/>
      </c>
      <c r="E404" s="25" t="n">
        <v>9</v>
      </c>
      <c r="F404" s="28">
        <f>IF(D404="","",ROUND(D404*E404,1))</f>
        <v/>
      </c>
      <c r="G404" s="2" t="n"/>
      <c r="H404" s="35" t="n"/>
      <c r="I404" s="35" t="n"/>
    </row>
    <row r="405" ht="62" customHeight="1">
      <c r="A405" s="9" t="n"/>
      <c r="B405" s="34" t="inlineStr">
        <is>
          <t>TRES O MAS PAREDES EXTERIORES</t>
        </is>
      </c>
      <c r="C405" s="9" t="inlineStr"/>
      <c r="D405" s="8">
        <f>IF(COUNT(H405,I405)&lt;2,"",ROUND(H405*I405,2))</f>
        <v/>
      </c>
      <c r="E405" s="25" t="n">
        <v>12</v>
      </c>
      <c r="F405" s="28">
        <f>IF(D405="","",ROUND(D405*E405,1))</f>
        <v/>
      </c>
      <c r="G405" s="2" t="n"/>
      <c r="H405" s="35" t="n"/>
      <c r="I405" s="35" t="n"/>
    </row>
    <row r="406" ht="70" customHeight="1">
      <c r="A406" s="16" t="inlineStr">
        <is>
          <t>6</t>
        </is>
      </c>
      <c r="B406" s="33" t="inlineStr">
        <is>
          <t>SUBTOTAL</t>
        </is>
      </c>
      <c r="C406" s="9" t="n"/>
      <c r="D406" s="9" t="n"/>
      <c r="E406" s="9" t="n"/>
      <c r="F406" s="36">
        <f>IF(F385="",0,F385)+IF(F387="",0,F387)+IF(F388="",0,F388)+IF(F389="",0,F389)+IF(F390="",0,F390)+IF(F391="",0,F391)+IF(F392="",0,F392)+IF(F393="",0,F393)+IF(F394="",0,F394)+IF(F396="",0,F396)+IF(F397="",0,F397)+IF(F398="",0,F398)+IF(F400="",0,F400)+IF(F401="",0,F401)+IF(F403="",0,F403)+IF(F404="",0,F404)+IF(F405="",0,F405)</f>
        <v/>
      </c>
      <c r="G406" s="2" t="n"/>
      <c r="H406" s="2" t="n"/>
      <c r="I406" s="2" t="n"/>
    </row>
    <row r="407" ht="47" customHeight="1">
      <c r="A407" s="16" t="inlineStr">
        <is>
          <t>7</t>
        </is>
      </c>
      <c r="B407" s="33" t="inlineStr">
        <is>
          <t>PERDIDA TOTAL</t>
        </is>
      </c>
      <c r="C407" s="9">
        <f>TEXT(F406,"0.00")&amp;"  X  "&amp;Datos_balance!$B$4&amp;" (FI)  X  "&amp;Datos_balance!$B$5&amp;" (FO)  X  "&amp;Datos_balance!$B$6&amp;" (FZ)"</f>
        <v/>
      </c>
      <c r="D407" s="2" t="n"/>
      <c r="E407" s="2" t="n"/>
      <c r="F407" s="36">
        <f>ROUND(F406*Datos_balance!$B$4*Datos_balance!$B$5*Datos_balance!$B$6,1)</f>
        <v/>
      </c>
      <c r="G407" s="2" t="n"/>
      <c r="H407" s="2" t="n"/>
      <c r="I407" s="2" t="n"/>
    </row>
    <row r="408">
      <c r="A408" s="2" t="n"/>
      <c r="B408" s="2" t="n"/>
      <c r="C408" s="2" t="n"/>
      <c r="D408" s="2" t="n"/>
      <c r="E408" s="2" t="n"/>
      <c r="F408" s="2" t="n"/>
      <c r="G408" s="2" t="n"/>
      <c r="H408" s="2" t="n"/>
      <c r="I408" s="2" t="n"/>
    </row>
    <row r="409" ht="62" customHeight="1">
      <c r="A409" s="9" t="n"/>
      <c r="B409" s="10" t="inlineStr">
        <is>
          <t>Salto termico:  dt = (te+ts)/2 - ti</t>
        </is>
      </c>
      <c r="C409" s="9">
        <f>TEXT((Datos_balance!$B$9+Datos_balance!$B$10)/2,"0")&amp;" - "&amp;TEXT(Datos_balance!$B$11,"0")&amp;" = "&amp;TEXT((Datos_balance!$B$9+Datos_balance!$B$10)/2-Datos_balance!$B$11,"0")&amp;" C"</f>
        <v/>
      </c>
      <c r="D409" s="2" t="n"/>
      <c r="E409" s="2" t="n"/>
      <c r="F409" s="9" t="n"/>
      <c r="G409" s="2" t="n"/>
      <c r="H409" s="2" t="n"/>
      <c r="I409" s="2" t="n"/>
    </row>
    <row r="410" ht="39.7" customHeight="1">
      <c r="A410" s="9" t="n"/>
      <c r="B410" s="10" t="inlineStr">
        <is>
          <t>Kcal/h del toallero Scala/Domino 80</t>
        </is>
      </c>
      <c r="C410" s="25">
        <f>ROUND(Datos_balance!$B$18*Datos_balance!$B$15,0)</f>
        <v/>
      </c>
      <c r="D410" s="2" t="n"/>
      <c r="E410" s="2" t="n"/>
      <c r="F410" s="9" t="n"/>
      <c r="G410" s="2" t="n"/>
      <c r="H410" s="2" t="n"/>
      <c r="I410" s="2" t="n"/>
    </row>
    <row r="411" ht="39.7" customHeight="1">
      <c r="A411" s="9" t="n"/>
      <c r="B411" s="10" t="inlineStr">
        <is>
          <t>Kcal/h del toallero Scala/Domino 150</t>
        </is>
      </c>
      <c r="C411" s="25">
        <f>ROUND(Datos_balance!$B$19*Datos_balance!$B$15,0)</f>
        <v/>
      </c>
      <c r="D411" s="2" t="n"/>
      <c r="E411" s="2" t="n"/>
      <c r="F411" s="9" t="n"/>
      <c r="G411" s="2" t="n"/>
      <c r="H411" s="2" t="n"/>
      <c r="I411" s="2" t="n"/>
    </row>
    <row r="412" ht="47" customHeight="1">
      <c r="A412" s="9" t="n"/>
      <c r="B412" s="10" t="inlineStr">
        <is>
          <t>Toalleros necesarios</t>
        </is>
      </c>
      <c r="C412" s="25">
        <f>IF(F407&lt;=Datos_balance!$B$18*Datos_balance!$B$15,1,ROUNDUP(F407/(Datos_balance!$B$19*Datos_balance!$B$15),0))</f>
        <v/>
      </c>
      <c r="D412" s="2" t="n"/>
      <c r="E412" s="2" t="n"/>
      <c r="F412" s="9" t="n"/>
      <c r="G412" s="2" t="n"/>
      <c r="H412" s="2" t="n"/>
      <c r="I412" s="2" t="n"/>
    </row>
    <row r="413" ht="47" customHeight="1">
      <c r="A413" s="13" t="n"/>
      <c r="B413" s="14" t="inlineStr">
        <is>
          <t>Toallero adoptado</t>
        </is>
      </c>
      <c r="C413" s="13">
        <f>IF(F407&lt;=Datos_balance!$B$18*Datos_balance!$B$15,"Peisa Scala / Domino 80  (500 x 800 mm)","Peisa Scala / Domino 150  (500 x 1500 mm)")</f>
        <v/>
      </c>
      <c r="D413" s="20" t="n"/>
      <c r="E413" s="20" t="n"/>
      <c r="F413" s="13" t="n"/>
      <c r="G413" s="2" t="n"/>
      <c r="H413" s="2" t="n"/>
      <c r="I413" s="2" t="n"/>
    </row>
  </sheetData>
  <mergeCells count="85">
    <mergeCell ref="C274:E274"/>
    <mergeCell ref="C31:E31"/>
    <mergeCell ref="C373:E373"/>
    <mergeCell ref="C413:E413"/>
    <mergeCell ref="A3:F3"/>
    <mergeCell ref="C379:E379"/>
    <mergeCell ref="A175:F175"/>
    <mergeCell ref="C241:E241"/>
    <mergeCell ref="C307:E307"/>
    <mergeCell ref="C342:E342"/>
    <mergeCell ref="A347:F347"/>
    <mergeCell ref="C101:E101"/>
    <mergeCell ref="C204:E204"/>
    <mergeCell ref="C375:E375"/>
    <mergeCell ref="C275:E275"/>
    <mergeCell ref="C344:E344"/>
    <mergeCell ref="C206:E206"/>
    <mergeCell ref="C377:E377"/>
    <mergeCell ref="C309:E309"/>
    <mergeCell ref="C205:E205"/>
    <mergeCell ref="C99:E99"/>
    <mergeCell ref="C168:E168"/>
    <mergeCell ref="C238:E238"/>
    <mergeCell ref="C412:E412"/>
    <mergeCell ref="C273:E273"/>
    <mergeCell ref="C169:E169"/>
    <mergeCell ref="A278:F278"/>
    <mergeCell ref="C409:E409"/>
    <mergeCell ref="A141:F141"/>
    <mergeCell ref="C272:E272"/>
    <mergeCell ref="C32:E32"/>
    <mergeCell ref="C170:E170"/>
    <mergeCell ref="C338:E338"/>
    <mergeCell ref="C33:E33"/>
    <mergeCell ref="C269:E269"/>
    <mergeCell ref="C340:E340"/>
    <mergeCell ref="A105:F105"/>
    <mergeCell ref="A210:F210"/>
    <mergeCell ref="A71:F71"/>
    <mergeCell ref="C207:E207"/>
    <mergeCell ref="A313:F313"/>
    <mergeCell ref="C135:E135"/>
    <mergeCell ref="A244:F244"/>
    <mergeCell ref="C411:E411"/>
    <mergeCell ref="C67:E67"/>
    <mergeCell ref="C96:E96"/>
    <mergeCell ref="C136:E136"/>
    <mergeCell ref="C376:E376"/>
    <mergeCell ref="C30:E30"/>
    <mergeCell ref="C235:E235"/>
    <mergeCell ref="C62:E62"/>
    <mergeCell ref="C98:E98"/>
    <mergeCell ref="A36:F36"/>
    <mergeCell ref="C378:E378"/>
    <mergeCell ref="A1:F1"/>
    <mergeCell ref="C172:E172"/>
    <mergeCell ref="C64:E64"/>
    <mergeCell ref="C306:E306"/>
    <mergeCell ref="C171:E171"/>
    <mergeCell ref="C407:E407"/>
    <mergeCell ref="C137:E137"/>
    <mergeCell ref="C134:E134"/>
    <mergeCell ref="C201:E201"/>
    <mergeCell ref="C341:E341"/>
    <mergeCell ref="C138:E138"/>
    <mergeCell ref="C27:E27"/>
    <mergeCell ref="C132:E132"/>
    <mergeCell ref="C203:E203"/>
    <mergeCell ref="C240:E240"/>
    <mergeCell ref="C410:E410"/>
    <mergeCell ref="C66:E66"/>
    <mergeCell ref="C237:E237"/>
    <mergeCell ref="C308:E308"/>
    <mergeCell ref="C102:E102"/>
    <mergeCell ref="C100:E100"/>
    <mergeCell ref="A382:F382"/>
    <mergeCell ref="C304:E304"/>
    <mergeCell ref="C68:E68"/>
    <mergeCell ref="C239:E239"/>
    <mergeCell ref="C310:E310"/>
    <mergeCell ref="C166:E166"/>
    <mergeCell ref="C343:E343"/>
    <mergeCell ref="C29:E29"/>
    <mergeCell ref="C271:E271"/>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2026-10-26T18:40:29Z</dcterms:created>
  <dcterms:modified xmlns:dcterms="http://purl.org/dc/terms/" xmlns:xsi="http://www.w3.org/2001/XMLSchema-instance" xsi:type="dcterms:W3CDTF">2026-10-26T18:40:31Z</dcterms:modified>
</cp:coreProperties>
</file>