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n"/>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n"/>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n"/>
      <c r="J9" s="26" t="n">
        <v>2.8</v>
      </c>
      <c r="K9" s="25" t="inlineStr">
        <is>
          <t>Noreste</t>
        </is>
      </c>
      <c r="L9" s="26">
        <f>IF(I9="","",IFERROR(VLOOKUP(I9,Datos_higro!$A$21:$B$27,2,0),""))</f>
        <v/>
      </c>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n"/>
      <c r="J10" s="26" t="n">
        <v>2.8</v>
      </c>
      <c r="K10" s="25" t="inlineStr">
        <is>
          <t>Noreste</t>
        </is>
      </c>
      <c r="L10" s="26">
        <f>IF(I10="","",IFERROR(VLOOKUP(I10,Datos_higro!$A$21:$B$27,2,0),""))</f>
        <v/>
      </c>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n"/>
      <c r="J11" s="26" t="n">
        <v>2.8</v>
      </c>
      <c r="K11" s="25" t="inlineStr">
        <is>
          <t>Noreste</t>
        </is>
      </c>
      <c r="L11" s="26">
        <f>IF(I11="","",IFERROR(VLOOKUP(I11,Datos_higro!$A$21:$B$27,2,0),""))</f>
        <v/>
      </c>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f>IF(I12="","",IFERROR(VLOOKUP(I12,Datos_higro!$A$21:$B$27,2,0),""))</f>
        <v/>
      </c>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f>IF(I13="","",IFERROR(VLOOKUP(I13,Datos_higro!$A$21:$B$27,2,0),""))</f>
        <v/>
      </c>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n"/>
      <c r="J15" s="26" t="n">
        <v>2.8</v>
      </c>
      <c r="K15" s="25" t="inlineStr">
        <is>
          <t>Sudoeste</t>
        </is>
      </c>
      <c r="L15" s="26">
        <f>IF(I15="","",IFERROR(VLOOKUP(I15,Datos_higro!$A$21:$B$27,2,0),""))</f>
        <v/>
      </c>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n"/>
      <c r="J16" s="26" t="n">
        <v>2.8</v>
      </c>
      <c r="K16" s="25" t="inlineStr">
        <is>
          <t>Sudoeste</t>
        </is>
      </c>
      <c r="L16" s="26">
        <f>IF(I16="","",IFERROR(VLOOKUP(I16,Datos_higro!$A$21:$B$27,2,0),""))</f>
        <v/>
      </c>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f>IF(I17="","",IFERROR(VLOOKUP(I17,Datos_higro!$A$21:$B$27,2,0),""))</f>
        <v/>
      </c>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f>IF(I18="","",IFERROR(VLOOKUP(I18,Datos_higro!$A$21:$B$27,2,0),""))</f>
        <v/>
      </c>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n"/>
      <c r="J20" s="26" t="n">
        <v>2.8</v>
      </c>
      <c r="K20" s="25" t="inlineStr">
        <is>
          <t>Sudeste</t>
        </is>
      </c>
      <c r="L20" s="26">
        <f>IF(I20="","",IFERROR(VLOOKUP(I20,Datos_higro!$A$21:$B$27,2,0),""))</f>
        <v/>
      </c>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n"/>
      <c r="J21" s="26" t="n">
        <v>2.8</v>
      </c>
      <c r="K21" s="25" t="inlineStr">
        <is>
          <t>Sudeste</t>
        </is>
      </c>
      <c r="L21" s="26">
        <f>IF(I21="","",IFERROR(VLOOKUP(I21,Datos_higro!$A$21:$B$27,2,0),""))</f>
        <v/>
      </c>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n"/>
      <c r="J22" s="26" t="n">
        <v>2.8</v>
      </c>
      <c r="K22" s="25" t="inlineStr">
        <is>
          <t>Sudeste</t>
        </is>
      </c>
      <c r="L22" s="26">
        <f>IF(I22="","",IFERROR(VLOOKUP(I22,Datos_higro!$A$21:$B$27,2,0),""))</f>
        <v/>
      </c>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n"/>
      <c r="J23" s="26" t="n">
        <v>2.8</v>
      </c>
      <c r="K23" s="25" t="inlineStr">
        <is>
          <t>Sudeste</t>
        </is>
      </c>
      <c r="L23" s="26">
        <f>IF(I23="","",IFERROR(VLOOKUP(I23,Datos_higro!$A$21:$B$27,2,0),""))</f>
        <v/>
      </c>
      <c r="M23" s="30">
        <f>IF(OR(D23="",J23=""),"",IF(J23&lt;=G23,"CUMPLE","NO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n"/>
      <c r="J24" s="26" t="n">
        <v>2.8</v>
      </c>
      <c r="K24" s="25" t="inlineStr">
        <is>
          <t>Sudeste</t>
        </is>
      </c>
      <c r="L24" s="26">
        <f>IF(I24="","",IFERROR(VLOOKUP(I24,Datos_higro!$A$21:$B$27,2,0),""))</f>
        <v/>
      </c>
      <c r="M24" s="30">
        <f>IF(OR(D24="",J24=""),"",IF(J24&lt;=G24,"CUMPLE","NO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f>IF(I25="","",IFERROR(VLOOKUP(I25,Datos_higro!$A$21:$B$27,2,0),""))</f>
        <v/>
      </c>
      <c r="M25" s="30">
        <f>IF(OR(D25="",J25=""),"",IF(J25&lt;=G25,"CUMPLE","NO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f>IF(I26="","",IFERROR(VLOOKUP(I26,Datos_higro!$A$21:$B$27,2,0),""))</f>
        <v/>
      </c>
      <c r="M26" s="37">
        <f>IF(OR(D26="",J26=""),"",IF(J26&lt;=G26,"CUMPLE","NO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n"/>
      <c r="J28" s="26" t="n">
        <v>2.8</v>
      </c>
      <c r="K28" s="25" t="inlineStr">
        <is>
          <t>Noroeste</t>
        </is>
      </c>
      <c r="L28" s="26">
        <f>IF(I28="","",IFERROR(VLOOKUP(I28,Datos_higro!$A$21:$B$27,2,0),""))</f>
        <v/>
      </c>
      <c r="M28" s="30">
        <f>IF(OR(D28="",J28=""),"",IF(J28&lt;=G28,"CUMPLE","NO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n"/>
      <c r="J29" s="26" t="n">
        <v>2.8</v>
      </c>
      <c r="K29" s="25" t="inlineStr">
        <is>
          <t>Noroeste</t>
        </is>
      </c>
      <c r="L29" s="26">
        <f>IF(I29="","",IFERROR(VLOOKUP(I29,Datos_higro!$A$21:$B$27,2,0),""))</f>
        <v/>
      </c>
      <c r="M29" s="30">
        <f>IF(OR(D29="",J29=""),"",IF(J29&lt;=G29,"CUMPLE","NO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n"/>
      <c r="J30" s="26" t="n">
        <v>2.8</v>
      </c>
      <c r="K30" s="25" t="inlineStr">
        <is>
          <t>Noroeste</t>
        </is>
      </c>
      <c r="L30" s="26">
        <f>IF(I30="","",IFERROR(VLOOKUP(I30,Datos_higro!$A$21:$B$27,2,0),""))</f>
        <v/>
      </c>
      <c r="M30" s="30">
        <f>IF(OR(D30="",J30=""),"",IF(J30&lt;=G30,"CUMPLE","NO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n"/>
      <c r="J31" s="26" t="n">
        <v>2.8</v>
      </c>
      <c r="K31" s="25" t="inlineStr">
        <is>
          <t>Noroeste</t>
        </is>
      </c>
      <c r="L31" s="26">
        <f>IF(I31="","",IFERROR(VLOOKUP(I31,Datos_higro!$A$21:$B$27,2,0),""))</f>
        <v/>
      </c>
      <c r="M31" s="30">
        <f>IF(OR(D31="",J31=""),"",IF(J31&lt;=G31,"CUMPLE","NO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n"/>
      <c r="J32" s="26" t="n">
        <v>2.8</v>
      </c>
      <c r="K32" s="25" t="inlineStr">
        <is>
          <t>Noroeste</t>
        </is>
      </c>
      <c r="L32" s="26">
        <f>IF(I32="","",IFERROR(VLOOKUP(I32,Datos_higro!$A$21:$B$27,2,0),""))</f>
        <v/>
      </c>
      <c r="M32" s="30">
        <f>IF(OR(D32="",J32=""),"",IF(J32&lt;=G32,"CUMPLE","NO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f>IF(I33="","",IFERROR(VLOOKUP(I33,Datos_higro!$A$21:$B$27,2,0),""))</f>
        <v/>
      </c>
      <c r="M33" s="30">
        <f>IF(OR(D33="",J33=""),"",IF(J33&lt;=G33,"CUMPLE","NO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f>IF(I34="","",IFERROR(VLOOKUP(I34,Datos_higro!$A$21:$B$27,2,0),""))</f>
        <v/>
      </c>
      <c r="M34" s="37">
        <f>IF(OR(D34="",J34=""),"",IF(J34&lt;=G34,"CUMPLE","NO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n"/>
      <c r="J36" s="26" t="n">
        <v>2.8</v>
      </c>
      <c r="K36" s="25" t="n"/>
      <c r="L36" s="26">
        <f>IF(I36="","",IFERROR(VLOOKUP(I36,Datos_higro!$A$21:$B$27,2,0),""))</f>
        <v/>
      </c>
      <c r="M36" s="30">
        <f>IF(OR(D36="",J36=""),"",IF(J36&lt;=G36,"CUMPLE","NO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f>IF(I37="","",IFERROR(VLOOKUP(I37,Datos_higro!$A$21:$B$27,2,0),""))</f>
        <v/>
      </c>
      <c r="M37" s="30">
        <f>IF(OR(D37="",J37=""),"",IF(J37&lt;=G37,"CUMPLE","NO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f>IF(I38="","",IFERROR(VLOOKUP(I38,Datos_higro!$A$21:$B$27,2,0),""))</f>
        <v/>
      </c>
      <c r="M38" s="37">
        <f>IF(OR(D38="",J38=""),"",IF(J38&lt;=G38,"CUMPLE","NO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Orientacion: ya cargada. Factor de exposicion solar: se completa SOLO al elegir el tipo de</t>
        </is>
      </c>
      <c r="B45" s="2" t="n"/>
      <c r="C45" s="2" t="n"/>
      <c r="D45" s="2" t="n"/>
      <c r="E45" s="2" t="n"/>
      <c r="F45" s="2" t="n"/>
      <c r="G45" s="2" t="n"/>
      <c r="H45" s="2" t="n"/>
      <c r="I45" s="2" t="n"/>
      <c r="J45" s="2" t="n"/>
      <c r="K45" s="2" t="n"/>
      <c r="L45" s="2" t="n"/>
      <c r="M45" s="2" t="n"/>
    </row>
    <row r="46">
      <c r="A46" s="39" t="inlineStr">
        <is>
          <t>proteccion, con los valores de la tabla de Datos_higro (Sin Proteccion 0,88; Parasol</t>
        </is>
      </c>
      <c r="B46" s="2" t="n"/>
      <c r="C46" s="2" t="n"/>
      <c r="D46" s="2" t="n"/>
      <c r="E46" s="2" t="n"/>
      <c r="F46" s="2" t="n"/>
      <c r="G46" s="2" t="n"/>
      <c r="H46" s="2" t="n"/>
      <c r="I46" s="2" t="n"/>
      <c r="J46" s="2" t="n"/>
      <c r="K46" s="2" t="n"/>
      <c r="L46" s="2" t="n"/>
      <c r="M46" s="2" t="n"/>
    </row>
    <row r="47">
      <c r="A47" s="39" t="inlineStr">
        <is>
          <t>horizontal fijo 1:2 0,35), que son los mismos de la planilla de la catedra.</t>
        </is>
      </c>
      <c r="B47" s="2" t="n"/>
      <c r="C47" s="2" t="n"/>
      <c r="D47" s="2" t="n"/>
      <c r="E47" s="2" t="n"/>
      <c r="F47" s="2" t="n"/>
      <c r="G47" s="2" t="n"/>
      <c r="H47" s="2" t="n"/>
      <c r="I47" s="2" t="n"/>
      <c r="J47" s="2" t="n"/>
      <c r="K47" s="2" t="n"/>
      <c r="L47" s="2" t="n"/>
      <c r="M47" s="2" t="n"/>
    </row>
    <row r="48">
      <c r="A48" s="39" t="inlineStr">
        <is>
          <t>En Datos_higro esta ademas el FES maximo admitido por cuadrante segun la ordenanza, como</t>
        </is>
      </c>
      <c r="B48" s="2" t="n"/>
      <c r="C48" s="2" t="n"/>
      <c r="D48" s="2" t="n"/>
      <c r="E48" s="2" t="n"/>
      <c r="F48" s="2" t="n"/>
      <c r="G48" s="2" t="n"/>
      <c r="H48" s="2" t="n"/>
      <c r="I48" s="2" t="n"/>
      <c r="J48" s="2" t="n"/>
      <c r="K48" s="2" t="n"/>
      <c r="L48" s="2" t="n"/>
      <c r="M48" s="2" t="n"/>
    </row>
    <row r="49">
      <c r="A49" s="39" t="inlineStr">
        <is>
          <t>referencia: la verificacion no lo controla, igual que en la planilla de la catedra.</t>
        </is>
      </c>
      <c r="B49" s="2" t="n"/>
      <c r="C49" s="2" t="n"/>
      <c r="D49" s="2" t="n"/>
      <c r="E49" s="2" t="n"/>
      <c r="F49" s="2" t="n"/>
      <c r="G49" s="2" t="n"/>
      <c r="H49" s="2" t="n"/>
      <c r="I49" s="2" t="n"/>
      <c r="J49" s="2" t="n"/>
      <c r="K49" s="2" t="n"/>
      <c r="L49" s="2" t="n"/>
      <c r="M49" s="2" t="n"/>
    </row>
    <row r="50">
      <c r="A50" s="39" t="inlineStr"/>
      <c r="B50" s="2" t="n"/>
      <c r="C50" s="2" t="n"/>
      <c r="D50" s="2" t="n"/>
      <c r="E50" s="2" t="n"/>
      <c r="F50" s="2" t="n"/>
      <c r="G50" s="2" t="n"/>
      <c r="H50" s="2" t="n"/>
      <c r="I50" s="2" t="n"/>
      <c r="J50" s="2" t="n"/>
      <c r="K50" s="2" t="n"/>
      <c r="L50" s="2" t="n"/>
      <c r="M50" s="2" t="n"/>
    </row>
    <row r="51">
      <c r="A51" s="39" t="inlineStr">
        <is>
          <t>CARGADO de la planilla de carpinterias: designacion, ubicacion, ancho y tipo de vidrio</t>
        </is>
      </c>
      <c r="B51" s="2" t="n"/>
      <c r="C51" s="2" t="n"/>
      <c r="D51" s="2" t="n"/>
      <c r="E51" s="2" t="n"/>
      <c r="F51" s="2" t="n"/>
      <c r="G51" s="2" t="n"/>
      <c r="H51" s="2" t="n"/>
      <c r="I51" s="2" t="n"/>
      <c r="J51" s="2" t="n"/>
      <c r="K51" s="2" t="n"/>
      <c r="L51" s="2" t="n"/>
      <c r="M51" s="2" t="n"/>
    </row>
    <row r="52">
      <c r="A52" s="39" t="inlineStr">
        <is>
          <t>(DVH 6+9+3+3, carpinteria de aluminio linea A30 pintado negro, igual en todas las aberturas).</t>
        </is>
      </c>
      <c r="B52" s="2" t="n"/>
      <c r="C52" s="2" t="n"/>
      <c r="D52" s="2" t="n"/>
      <c r="E52" s="2" t="n"/>
      <c r="F52" s="2" t="n"/>
      <c r="G52" s="2" t="n"/>
      <c r="H52" s="2" t="n"/>
      <c r="I52" s="2" t="n"/>
      <c r="J52" s="2" t="n"/>
      <c r="K52" s="2" t="n"/>
      <c r="L52" s="2" t="n"/>
      <c r="M52" s="2" t="n"/>
    </row>
    <row r="53">
      <c r="A53" s="39" t="inlineStr"/>
      <c r="B53" s="2" t="n"/>
      <c r="C53" s="2" t="n"/>
      <c r="D53" s="2" t="n"/>
      <c r="E53" s="2" t="n"/>
      <c r="F53" s="2" t="n"/>
      <c r="G53" s="2" t="n"/>
      <c r="H53" s="2" t="n"/>
      <c r="I53" s="2" t="n"/>
      <c r="J53" s="2" t="n"/>
      <c r="K53" s="2" t="n"/>
      <c r="L53" s="2" t="n"/>
      <c r="M53" s="2" t="n"/>
    </row>
    <row r="54">
      <c r="A54" s="39" t="inlineStr">
        <is>
          <t>ALTURAS: medidas sobre el dibujo de las vistas de la planilla de carpinterias, con la escala</t>
        </is>
      </c>
      <c r="B54" s="2" t="n"/>
      <c r="C54" s="2" t="n"/>
      <c r="D54" s="2" t="n"/>
      <c r="E54" s="2" t="n"/>
      <c r="F54" s="2" t="n"/>
      <c r="G54" s="2" t="n"/>
      <c r="H54" s="2" t="n"/>
      <c r="I54" s="2" t="n"/>
      <c r="J54" s="2" t="n"/>
      <c r="K54" s="2" t="n"/>
      <c r="L54" s="2" t="n"/>
      <c r="M54" s="2" t="n"/>
    </row>
    <row r="55">
      <c r="A55" s="39" t="inlineStr">
        <is>
          <t>verificada contra los anchos acotados (error menor a 2 cm). La mayoria de las aberturas son de</t>
        </is>
      </c>
      <c r="B55" s="2" t="n"/>
      <c r="C55" s="2" t="n"/>
      <c r="D55" s="2" t="n"/>
      <c r="E55" s="2" t="n"/>
      <c r="F55" s="2" t="n"/>
      <c r="G55" s="2" t="n"/>
      <c r="H55" s="2" t="n"/>
      <c r="I55" s="2" t="n"/>
      <c r="J55" s="2" t="n"/>
      <c r="K55" s="2" t="n"/>
      <c r="L55" s="2" t="n"/>
      <c r="M55" s="2" t="n"/>
    </row>
    <row r="56">
      <c r="A56" s="39" t="inlineStr">
        <is>
          <t>piso a cielorraso, 3,00 m. VERIFICARLAS contra el plano antes de presentar.</t>
        </is>
      </c>
      <c r="B56" s="2" t="n"/>
      <c r="C56" s="2" t="n"/>
      <c r="D56" s="2" t="n"/>
      <c r="E56" s="2" t="n"/>
      <c r="F56" s="2" t="n"/>
      <c r="G56" s="2" t="n"/>
      <c r="H56" s="2" t="n"/>
      <c r="I56" s="2" t="n"/>
      <c r="J56" s="2" t="n"/>
      <c r="K56" s="2" t="n"/>
      <c r="L56" s="2" t="n"/>
      <c r="M56" s="2" t="n"/>
    </row>
    <row r="57">
      <c r="A57" s="39" t="inlineStr">
        <is>
          <t>PF04 es la unica con antepecho: arranca a 1,09 y mide 0,60 de alto. El resto llega al piso.</t>
        </is>
      </c>
      <c r="B57" s="2" t="n"/>
      <c r="C57" s="2" t="n"/>
      <c r="D57" s="2" t="n"/>
      <c r="E57" s="2" t="n"/>
      <c r="F57" s="2" t="n"/>
      <c r="G57" s="2" t="n"/>
      <c r="H57" s="2" t="n"/>
      <c r="I57" s="2" t="n"/>
      <c r="J57" s="2" t="n"/>
      <c r="K57" s="2" t="n"/>
      <c r="L57" s="2" t="n"/>
      <c r="M57" s="2" t="n"/>
    </row>
    <row r="58">
      <c r="A58" s="39" t="inlineStr">
        <is>
          <t>Las alturas de PV01 (3,00), PF04 (0,60) y PV04 (2) (2,95) las aporto el autor del proyecto.</t>
        </is>
      </c>
      <c r="B58" s="2" t="n"/>
      <c r="C58" s="2" t="n"/>
      <c r="D58" s="2" t="n"/>
      <c r="E58" s="2" t="n"/>
      <c r="F58" s="2" t="n"/>
      <c r="G58" s="2" t="n"/>
      <c r="H58" s="2" t="n"/>
      <c r="I58" s="2" t="n"/>
      <c r="J58" s="2" t="n"/>
      <c r="K58" s="2" t="n"/>
      <c r="L58" s="2" t="n"/>
      <c r="M58" s="2" t="n"/>
    </row>
    <row r="59">
      <c r="A59" s="39" t="inlineStr"/>
      <c r="B59" s="2" t="n"/>
      <c r="C59" s="2" t="n"/>
      <c r="D59" s="2" t="n"/>
      <c r="E59" s="2" t="n"/>
      <c r="F59" s="2" t="n"/>
      <c r="G59" s="2" t="n"/>
      <c r="H59" s="2" t="n"/>
      <c r="I59" s="2" t="n"/>
      <c r="J59" s="2" t="n"/>
      <c r="K59" s="2" t="n"/>
      <c r="L59" s="2" t="n"/>
      <c r="M59" s="2" t="n"/>
    </row>
    <row r="60">
      <c r="A60" s="39" t="inlineStr">
        <is>
          <t>ORIENTACION: el simbolo de norte del plano (circulo con aguja, en el patio interno) apunta a</t>
        </is>
      </c>
      <c r="B60" s="2" t="n"/>
      <c r="C60" s="2" t="n"/>
      <c r="D60" s="2" t="n"/>
      <c r="E60" s="2" t="n"/>
      <c r="F60" s="2" t="n"/>
      <c r="G60" s="2" t="n"/>
      <c r="H60" s="2" t="n"/>
      <c r="I60" s="2" t="n"/>
      <c r="J60" s="2" t="n"/>
      <c r="K60" s="2" t="n"/>
      <c r="L60" s="2" t="n"/>
      <c r="M60" s="2" t="n"/>
    </row>
    <row r="61">
      <c r="A61" s="39" t="inlineStr">
        <is>
          <t>45 grados hacia arriba y a la derecha de la hoja. Entonces las cuatro fachadas NO son N-S-E-O</t>
        </is>
      </c>
      <c r="B61" s="2" t="n"/>
      <c r="C61" s="2" t="n"/>
      <c r="D61" s="2" t="n"/>
      <c r="E61" s="2" t="n"/>
      <c r="F61" s="2" t="n"/>
      <c r="G61" s="2" t="n"/>
      <c r="H61" s="2" t="n"/>
      <c r="I61" s="2" t="n"/>
      <c r="J61" s="2" t="n"/>
      <c r="K61" s="2" t="n"/>
      <c r="L61" s="2" t="n"/>
      <c r="M61" s="2" t="n"/>
    </row>
    <row r="62">
      <c r="A62" s="39" t="inlineStr">
        <is>
          <t>sino: arriba = Noroeste, derecha = Noreste, abajo = Sudeste, izquierda = Sudoeste.</t>
        </is>
      </c>
      <c r="B62" s="2" t="n"/>
      <c r="C62" s="2" t="n"/>
      <c r="D62" s="2" t="n"/>
      <c r="E62" s="2" t="n"/>
      <c r="F62" s="2" t="n"/>
      <c r="G62" s="2" t="n"/>
      <c r="H62" s="2" t="n"/>
      <c r="I62" s="2" t="n"/>
      <c r="J62" s="2" t="n"/>
      <c r="K62" s="2" t="n"/>
      <c r="L62" s="2" t="n"/>
      <c r="M62" s="2" t="n"/>
    </row>
    <row r="63">
      <c r="A63" s="39" t="inlineStr">
        <is>
          <t>Cada abertura se asigno a la fachada por su posicion en planta. Las del patio interno se</t>
        </is>
      </c>
      <c r="B63" s="2" t="n"/>
      <c r="C63" s="2" t="n"/>
      <c r="D63" s="2" t="n"/>
      <c r="E63" s="2" t="n"/>
      <c r="F63" s="2" t="n"/>
      <c r="G63" s="2" t="n"/>
      <c r="H63" s="2" t="n"/>
      <c r="I63" s="2" t="n"/>
      <c r="J63" s="2" t="n"/>
      <c r="K63" s="2" t="n"/>
      <c r="L63" s="2" t="n"/>
      <c r="M63" s="2" t="n"/>
    </row>
    <row r="64">
      <c r="A64" s="39" t="inlineStr">
        <is>
          <t>orientan por la pared en la que estan: miran hacia adentro del patio.</t>
        </is>
      </c>
      <c r="B64" s="2" t="n"/>
      <c r="C64" s="2" t="n"/>
      <c r="D64" s="2" t="n"/>
      <c r="E64" s="2" t="n"/>
      <c r="F64" s="2" t="n"/>
      <c r="G64" s="2" t="n"/>
      <c r="H64" s="2" t="n"/>
      <c r="I64" s="2" t="n"/>
      <c r="J64" s="2" t="n"/>
      <c r="K64" s="2" t="n"/>
      <c r="L64" s="2" t="n"/>
      <c r="M64" s="2" t="n"/>
    </row>
    <row r="65">
      <c r="A65" s="39" t="inlineStr">
        <is>
          <t>Los rotulos Dormitorio Norte y Dormitorio Sur del plano no coinciden con el norte real;</t>
        </is>
      </c>
      <c r="B65" s="2" t="n"/>
      <c r="C65" s="2" t="n"/>
      <c r="D65" s="2" t="n"/>
      <c r="E65" s="2" t="n"/>
      <c r="F65" s="2" t="n"/>
      <c r="G65" s="2" t="n"/>
      <c r="H65" s="2" t="n"/>
      <c r="I65" s="2" t="n"/>
      <c r="J65" s="2" t="n"/>
      <c r="K65" s="2" t="n"/>
      <c r="L65" s="2" t="n"/>
      <c r="M65" s="2" t="n"/>
    </row>
    <row r="66">
      <c r="A66" s="39" t="inlineStr">
        <is>
          <t>parecen ser nombres de uso, no orientaciones.</t>
        </is>
      </c>
      <c r="B66" s="2" t="n"/>
      <c r="C66" s="2" t="n"/>
      <c r="D66" s="2" t="n"/>
      <c r="E66" s="2" t="n"/>
      <c r="F66" s="2" t="n"/>
      <c r="G66" s="2" t="n"/>
      <c r="H66" s="2" t="n"/>
      <c r="I66" s="2" t="n"/>
      <c r="J66" s="2" t="n"/>
      <c r="K66" s="2" t="n"/>
      <c r="L66" s="2" t="n"/>
      <c r="M66" s="2" t="n"/>
    </row>
    <row r="67">
      <c r="A67" s="39" t="inlineStr"/>
      <c r="B67" s="2" t="n"/>
      <c r="C67" s="2" t="n"/>
      <c r="D67" s="2" t="n"/>
      <c r="E67" s="2" t="n"/>
      <c r="F67" s="2" t="n"/>
      <c r="G67" s="2" t="n"/>
      <c r="H67" s="2" t="n"/>
      <c r="I67" s="2" t="n"/>
      <c r="J67" s="2" t="n"/>
      <c r="K67" s="2" t="n"/>
      <c r="L67" s="2" t="n"/>
      <c r="M67" s="2" t="n"/>
    </row>
    <row r="68">
      <c r="A68" s="39" t="inlineStr">
        <is>
          <t>PF01 figura dos veces en el plano, en las dos paredes laterales del patio interno, y por eso</t>
        </is>
      </c>
      <c r="B68" s="2" t="n"/>
      <c r="C68" s="2" t="n"/>
      <c r="D68" s="2" t="n"/>
      <c r="E68" s="2" t="n"/>
      <c r="F68" s="2" t="n"/>
      <c r="G68" s="2" t="n"/>
      <c r="H68" s="2" t="n"/>
      <c r="I68" s="2" t="n"/>
      <c r="J68" s="2" t="n"/>
      <c r="K68" s="2" t="n"/>
      <c r="L68" s="2" t="n"/>
      <c r="M68" s="2" t="n"/>
    </row>
    <row r="69">
      <c r="A69" s="39" t="inlineStr">
        <is>
          <t>se cargan dos filas. Si fuera una sola abertura rotulada dos veces, borrar la segunda.</t>
        </is>
      </c>
      <c r="B69" s="2" t="n"/>
      <c r="C69" s="2" t="n"/>
      <c r="D69" s="2" t="n"/>
      <c r="E69" s="2" t="n"/>
      <c r="F69" s="2" t="n"/>
      <c r="G69" s="2" t="n"/>
      <c r="H69" s="2" t="n"/>
      <c r="I69" s="2" t="n"/>
      <c r="J69" s="2" t="n"/>
      <c r="K69" s="2" t="n"/>
      <c r="L69" s="2" t="n"/>
      <c r="M69" s="2" t="n"/>
    </row>
    <row r="70">
      <c r="A70" s="39" t="inlineStr"/>
      <c r="B70" s="2" t="n"/>
      <c r="C70" s="2" t="n"/>
      <c r="D70" s="2" t="n"/>
      <c r="E70" s="2" t="n"/>
      <c r="F70" s="2" t="n"/>
      <c r="G70" s="2" t="n"/>
      <c r="H70" s="2" t="n"/>
      <c r="I70" s="2" t="n"/>
      <c r="J70" s="2" t="n"/>
      <c r="K70" s="2" t="n"/>
      <c r="L70" s="2" t="n"/>
      <c r="M70" s="2" t="n"/>
    </row>
    <row r="71">
      <c r="A71" s="39" t="inlineStr">
        <is>
          <t>Las puertas interiores de madera PM01 a PM08 no se cargan: no son cerramientos exteriores.</t>
        </is>
      </c>
      <c r="B71" s="2" t="n"/>
      <c r="C71" s="2" t="n"/>
      <c r="D71" s="2" t="n"/>
      <c r="E71" s="2" t="n"/>
      <c r="F71" s="2" t="n"/>
      <c r="G71" s="2" t="n"/>
      <c r="H71" s="2" t="n"/>
      <c r="I71" s="2" t="n"/>
      <c r="J71" s="2" t="n"/>
      <c r="K71" s="2" t="n"/>
      <c r="L71" s="2" t="n"/>
      <c r="M71" s="2" t="n"/>
    </row>
    <row r="72">
      <c r="A72" s="39" t="inlineStr"/>
      <c r="B72" s="2" t="n"/>
      <c r="C72" s="2" t="n"/>
      <c r="D72" s="2" t="n"/>
      <c r="E72" s="2" t="n"/>
      <c r="F72" s="2" t="n"/>
      <c r="G72" s="2" t="n"/>
      <c r="H72" s="2" t="n"/>
      <c r="I72" s="2" t="n"/>
      <c r="J72" s="2" t="n"/>
      <c r="K72" s="2" t="n"/>
      <c r="L72" s="2" t="n"/>
      <c r="M72" s="2" t="n"/>
    </row>
    <row r="73">
      <c r="A73" s="39" t="inlineStr">
        <is>
          <t>DATO DE CONTRASTE: la planilla de iluminacion y ventilacion da la superficie vidriada</t>
        </is>
      </c>
      <c r="B73" s="2" t="n"/>
      <c r="C73" s="2" t="n"/>
      <c r="D73" s="2" t="n"/>
      <c r="E73" s="2" t="n"/>
      <c r="F73" s="2" t="n"/>
      <c r="G73" s="2" t="n"/>
      <c r="H73" s="2" t="n"/>
      <c r="I73" s="2" t="n"/>
      <c r="J73" s="2" t="n"/>
      <c r="K73" s="2" t="n"/>
      <c r="L73" s="2" t="n"/>
      <c r="M73" s="2" t="n"/>
    </row>
    <row r="74">
      <c r="A74" s="39" t="inlineStr">
        <is>
          <t>proyectada de cada local. La suma da 97,4 m2, que es el orden de magnitud que deberia</t>
        </is>
      </c>
      <c r="B74" s="2" t="n"/>
      <c r="C74" s="2" t="n"/>
      <c r="D74" s="2" t="n"/>
      <c r="E74" s="2" t="n"/>
      <c r="F74" s="2" t="n"/>
      <c r="G74" s="2" t="n"/>
      <c r="H74" s="2" t="n"/>
      <c r="I74" s="2" t="n"/>
      <c r="J74" s="2" t="n"/>
      <c r="K74" s="2" t="n"/>
      <c r="L74" s="2" t="n"/>
      <c r="M74" s="2" t="n"/>
    </row>
    <row r="75">
      <c r="A75" s="39" t="inlineStr">
        <is>
          <t>dar el total de vanos de los cuatro planos. Sirve para controlar que no falte ninguno.</t>
        </is>
      </c>
      <c r="B75" s="2" t="n"/>
      <c r="C75" s="2" t="n"/>
      <c r="D75" s="2" t="n"/>
      <c r="E75" s="2" t="n"/>
      <c r="F75" s="2" t="n"/>
      <c r="G75" s="2" t="n"/>
      <c r="H75" s="2" t="n"/>
      <c r="I75" s="2" t="n"/>
      <c r="J75" s="2" t="n"/>
      <c r="K75" s="2" t="n"/>
      <c r="L75" s="2" t="n"/>
      <c r="M75"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=Datos_higro!$A$10:$A$17</formula1>
    </dataValidation>
    <dataValidation sqref="I6:I38" showDropDown="0" showInputMessage="0" showErrorMessage="0" allowBlank="1" type="list">
      <formula1>=Datos_higro!$A$21:$A$27</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2026-10-23T21:35:18Z</dcterms:created>
  <dcterms:modified xmlns:dcterms="http://purl.org/dc/terms/" xmlns:xsi="http://www.w3.org/2001/XMLSchema-instance" xsi:type="dcterms:W3CDTF">2026-10-23T21:35:18Z</dcterms:modified>
</cp:coreProperties>
</file>