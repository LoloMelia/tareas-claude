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vigas'!$A$1:$X$33</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columnas'!$A$1:$N$15</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5">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2" fontId="15" fillId="8" borderId="1" applyAlignment="1" pivotButton="0" quotePrefix="0" xfId="0">
      <alignment horizontal="center" vertical="center" wrapText="1"/>
    </xf>
    <xf numFmtId="2" fontId="15" fillId="8" borderId="2" applyAlignment="1" pivotButton="0" quotePrefix="0" xfId="0">
      <alignment horizontal="center" vertical="center" wrapText="1"/>
    </xf>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s>
</file>

<file path=xl/drawings/_rels/drawing2.xml.rels><Relationships xmlns="http://schemas.openxmlformats.org/package/2006/relationships"><Relationship Type="http://schemas.openxmlformats.org/officeDocument/2006/relationships/image" Target="/xl/media/image31.png" Id="rId1"/><Relationship Type="http://schemas.openxmlformats.org/officeDocument/2006/relationships/image" Target="/xl/media/image32.png" Id="rId2"/><Relationship Type="http://schemas.openxmlformats.org/officeDocument/2006/relationships/image" Target="/xl/media/image33.png" Id="rId3"/><Relationship Type="http://schemas.openxmlformats.org/officeDocument/2006/relationships/image" Target="/xl/media/image34.png" Id="rId4"/><Relationship Type="http://schemas.openxmlformats.org/officeDocument/2006/relationships/image" Target="/xl/media/image35.png" Id="rId5"/><Relationship Type="http://schemas.openxmlformats.org/officeDocument/2006/relationships/image" Target="/xl/media/image36.png" Id="rId6"/><Relationship Type="http://schemas.openxmlformats.org/officeDocument/2006/relationships/image" Target="/xl/media/image37.png" Id="rId7"/><Relationship Type="http://schemas.openxmlformats.org/officeDocument/2006/relationships/image" Target="/xl/media/image38.png" Id="rId8"/><Relationship Type="http://schemas.openxmlformats.org/officeDocument/2006/relationships/image" Target="/xl/media/image39.png" Id="rId9"/><Relationship Type="http://schemas.openxmlformats.org/officeDocument/2006/relationships/image" Target="/xl/media/image40.png" Id="rId10"/><Relationship Type="http://schemas.openxmlformats.org/officeDocument/2006/relationships/image" Target="/xl/media/image41.png" Id="rId11"/><Relationship Type="http://schemas.openxmlformats.org/officeDocument/2006/relationships/image" Target="/xl/media/image42.png" Id="rId12"/></Relationships>
</file>

<file path=xl/drawings/_rels/drawing3.xml.rels><Relationships xmlns="http://schemas.openxmlformats.org/package/2006/relationships"><Relationship Type="http://schemas.openxmlformats.org/officeDocument/2006/relationships/image" Target="/xl/media/image43.png" Id="rId1"/><Relationship Type="http://schemas.openxmlformats.org/officeDocument/2006/relationships/image" Target="/xl/media/image44.png" Id="rId2"/><Relationship Type="http://schemas.openxmlformats.org/officeDocument/2006/relationships/image" Target="/xl/media/image45.png" Id="rId3"/><Relationship Type="http://schemas.openxmlformats.org/officeDocument/2006/relationships/image" Target="/xl/media/image46.png" Id="rId4"/><Relationship Type="http://schemas.openxmlformats.org/officeDocument/2006/relationships/image" Target="/xl/media/image47.png" Id="rId5"/><Relationship Type="http://schemas.openxmlformats.org/officeDocument/2006/relationships/image" Target="/xl/media/image48.png" Id="rId6"/><Relationship Type="http://schemas.openxmlformats.org/officeDocument/2006/relationships/image" Target="/xl/media/image49.png" Id="rId7"/><Relationship Type="http://schemas.openxmlformats.org/officeDocument/2006/relationships/image" Target="/xl/media/image50.png" Id="rId8"/><Relationship Type="http://schemas.openxmlformats.org/officeDocument/2006/relationships/image" Target="/xl/media/image51.png" Id="rId9"/><Relationship Type="http://schemas.openxmlformats.org/officeDocument/2006/relationships/image" Target="/xl/media/image52.png" Id="rId10"/><Relationship Type="http://schemas.openxmlformats.org/officeDocument/2006/relationships/image" Target="/xl/media/image53.png" Id="rId11"/><Relationship Type="http://schemas.openxmlformats.org/officeDocument/2006/relationships/image" Target="/xl/media/image54.png" Id="rId12"/><Relationship Type="http://schemas.openxmlformats.org/officeDocument/2006/relationships/image" Target="/xl/media/image55.png" Id="rId13"/><Relationship Type="http://schemas.openxmlformats.org/officeDocument/2006/relationships/image" Target="/xl/media/image56.png" Id="rId14"/><Relationship Type="http://schemas.openxmlformats.org/officeDocument/2006/relationships/image" Target="/xl/media/image57.png" Id="rId15"/><Relationship Type="http://schemas.openxmlformats.org/officeDocument/2006/relationships/image" Target="/xl/media/image58.png" Id="rId16"/><Relationship Type="http://schemas.openxmlformats.org/officeDocument/2006/relationships/image" Target="/xl/media/image59.png" Id="rId17"/><Relationship Type="http://schemas.openxmlformats.org/officeDocument/2006/relationships/image" Target="/xl/media/image60.png" Id="rId18"/><Relationship Type="http://schemas.openxmlformats.org/officeDocument/2006/relationships/image" Target="/xl/media/image61.png" Id="rId19"/><Relationship Type="http://schemas.openxmlformats.org/officeDocument/2006/relationships/image" Target="/xl/media/image62.png" Id="rId20"/><Relationship Type="http://schemas.openxmlformats.org/officeDocument/2006/relationships/image" Target="/xl/media/image63.png" Id="rId21"/><Relationship Type="http://schemas.openxmlformats.org/officeDocument/2006/relationships/image" Target="/xl/media/image64.png" Id="rId22"/><Relationship Type="http://schemas.openxmlformats.org/officeDocument/2006/relationships/image" Target="/xl/media/image65.png" Id="rId23"/><Relationship Type="http://schemas.openxmlformats.org/officeDocument/2006/relationships/image" Target="/xl/media/image66.png" Id="rId24"/><Relationship Type="http://schemas.openxmlformats.org/officeDocument/2006/relationships/image" Target="/xl/media/image67.png" Id="rId25"/><Relationship Type="http://schemas.openxmlformats.org/officeDocument/2006/relationships/image" Target="/xl/media/image68.png" Id="rId26"/><Relationship Type="http://schemas.openxmlformats.org/officeDocument/2006/relationships/image" Target="/xl/media/image69.png" Id="rId27"/><Relationship Type="http://schemas.openxmlformats.org/officeDocument/2006/relationships/image" Target="/xl/media/image70.png" Id="rId28"/><Relationship Type="http://schemas.openxmlformats.org/officeDocument/2006/relationships/image" Target="/xl/media/image71.png" Id="rId29"/><Relationship Type="http://schemas.openxmlformats.org/officeDocument/2006/relationships/image" Target="/xl/media/image72.png" Id="rId30"/><Relationship Type="http://schemas.openxmlformats.org/officeDocument/2006/relationships/image" Target="/xl/media/image73.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v>2.689</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v>2.1</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v>1.549</v>
      </c>
      <c r="AE9" s="10" t="n">
        <v>2.6</v>
      </c>
      <c r="AF9" s="10" t="n">
        <v>3</v>
      </c>
    </row>
    <row r="10" ht="46" customHeight="1">
      <c r="A10" s="26" t="n"/>
      <c r="B10" s="23" t="inlineStr">
        <is>
          <t>VI 07a</t>
        </is>
      </c>
      <c r="C10" s="8" t="n">
        <v>3.37</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3</v>
      </c>
      <c r="R10" s="10" t="n">
        <v>12</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Viga de borde: recibe la reaccion de la losa excentrica y queda sometida a TORSION, no verificada en esta planilla.</t>
        </is>
      </c>
      <c r="Y10" s="10" t="inlineStr">
        <is>
          <t>Continua</t>
        </is>
      </c>
      <c r="Z10" s="10" t="inlineStr">
        <is>
          <t>Invertida</t>
        </is>
      </c>
      <c r="AA10" s="10" t="n">
        <v>12</v>
      </c>
      <c r="AB10" s="11">
        <f>IF(Z10="Colgante",MIN(C10*100/4,J10+16*AA10),J10)</f>
        <v/>
      </c>
      <c r="AC10" s="11">
        <f>IF(Z10="Invertida",MIN(C10*100/4,J10+16*AA10),J10)</f>
        <v/>
      </c>
      <c r="AD10" s="10" t="n">
        <v>0.78</v>
      </c>
      <c r="AE10" s="10" t="n">
        <v>2.6</v>
      </c>
      <c r="AF10" s="10" t="n">
        <v>3</v>
      </c>
    </row>
    <row r="11" ht="46" customHeight="1">
      <c r="A11" s="26" t="n"/>
      <c r="B11" s="23" t="inlineStr">
        <is>
          <t>VI 07b</t>
        </is>
      </c>
      <c r="C11" s="8" t="n">
        <v>4.03</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v>0</v>
      </c>
      <c r="AE11" s="10" t="n">
        <v>2.6</v>
      </c>
      <c r="AF11" s="10" t="n">
        <v>3</v>
      </c>
    </row>
    <row r="12" ht="46" customHeight="1">
      <c r="A12" s="26" t="n"/>
      <c r="B12" s="23" t="inlineStr">
        <is>
          <t>VI 07c</t>
        </is>
      </c>
      <c r="C12" s="8" t="n">
        <v>8.6</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4</v>
      </c>
      <c r="O12" s="10" t="n">
        <v>20</v>
      </c>
      <c r="P12" s="25">
        <f>IF(NOT(ISNUMBER(I12)),"---",IF(I12&lt;=0,"---",IF(I12*100/(Datos_vigas!$B$8*AC12*K12^2*Datos_vigas!$B$5)&gt;=0.5,"REVISAR",MAX((1-SQRT(1-2*I12*100/(Datos_vigas!$B$8*AC12*K12^2*Datos_vigas!$B$5)))*AC12*K12*Datos_vigas!$B$5/Datos_vigas!$B$6,0.0033*J12*K12))))</f>
        <v/>
      </c>
      <c r="Q12" s="10" t="n">
        <v>4</v>
      </c>
      <c r="R12" s="10" t="n">
        <v>25</v>
      </c>
      <c r="S12" s="25">
        <f>F12/(J12*0.85*K12)</f>
        <v/>
      </c>
      <c r="T12" s="25">
        <f>G12/(J12*0.85*K12)</f>
        <v/>
      </c>
      <c r="U12" s="10" t="n">
        <v>8</v>
      </c>
      <c r="V12" s="10" t="n">
        <v>10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Armadura en 2 capas (rec. 6 cm). Apoya en columna COL 02 de 15x30 y en el tabique T05b. Viga de borde: recibe la reaccion de la losa excentrica y queda sometida a TORSION, no verificada en esta planilla.</t>
        </is>
      </c>
      <c r="Y12" s="10" t="inlineStr">
        <is>
          <t>Empotrada-apoyada</t>
        </is>
      </c>
      <c r="Z12" s="10" t="inlineStr">
        <is>
          <t>Invertida</t>
        </is>
      </c>
      <c r="AA12" s="10" t="n">
        <v>12</v>
      </c>
      <c r="AB12" s="11">
        <f>IF(Z12="Colgante",MIN(C12*100/4,J12+16*AA12),J12)</f>
        <v/>
      </c>
      <c r="AC12" s="11">
        <f>IF(Z12="Invertida",MIN(C12*100/4,J12+16*AA12),J12)</f>
        <v/>
      </c>
      <c r="AD12" s="10" t="n">
        <v>3.71</v>
      </c>
      <c r="AE12" s="10" t="n">
        <v>2.6</v>
      </c>
      <c r="AF12" s="10" t="n">
        <v>6</v>
      </c>
    </row>
    <row r="13" ht="46" customHeight="1">
      <c r="A13" s="26" t="n"/>
      <c r="B13" s="23" t="inlineStr">
        <is>
          <t>VI 08a</t>
        </is>
      </c>
      <c r="C13" s="8" t="n">
        <v>3.65</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3</v>
      </c>
      <c r="O13" s="10" t="n">
        <v>12</v>
      </c>
      <c r="P13" s="25">
        <f>IF(NOT(ISNUMBER(I13)),"---",IF(I13&lt;=0,"---",IF(I13*100/(Datos_vigas!$B$8*AC13*K13^2*Datos_vigas!$B$5)&gt;=0.5,"REVISAR",MAX((1-SQRT(1-2*I13*100/(Datos_vigas!$B$8*AC13*K13^2*Datos_vigas!$B$5)))*AC13*K13*Datos_vigas!$B$5/Datos_vigas!$B$6,0.0033*J13*K13))))</f>
        <v/>
      </c>
      <c r="Q13" s="10" t="n">
        <v>3</v>
      </c>
      <c r="R13" s="10" t="n">
        <v>12</v>
      </c>
      <c r="S13" s="25">
        <f>F13/(J13*0.85*K13)</f>
        <v/>
      </c>
      <c r="T13" s="25">
        <f>G13/(J13*0.85*K13)</f>
        <v/>
      </c>
      <c r="U13" s="10" t="n">
        <v>6</v>
      </c>
      <c r="V13" s="10" t="n">
        <v>30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n"/>
      <c r="Y13" s="10" t="inlineStr">
        <is>
          <t>Continua</t>
        </is>
      </c>
      <c r="Z13" s="10" t="inlineStr">
        <is>
          <t>Invertida</t>
        </is>
      </c>
      <c r="AA13" s="10" t="n">
        <v>12</v>
      </c>
      <c r="AB13" s="11">
        <f>IF(Z13="Colgante",MIN(C13*100/4,J13+16*AA13),J13)</f>
        <v/>
      </c>
      <c r="AC13" s="11">
        <f>IF(Z13="Invertida",MIN(C13*100/4,J13+16*AA13),J13)</f>
        <v/>
      </c>
      <c r="AD13" s="10" t="n">
        <v>1.065</v>
      </c>
      <c r="AE13" s="10" t="n">
        <v>2.6</v>
      </c>
      <c r="AF13" s="10" t="n">
        <v>3</v>
      </c>
    </row>
    <row r="14" ht="46" customHeight="1">
      <c r="A14" s="26" t="n"/>
      <c r="B14" s="23" t="inlineStr">
        <is>
          <t>VI 08b</t>
        </is>
      </c>
      <c r="C14" s="8" t="n">
        <v>4.87</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v>1.065</v>
      </c>
      <c r="AE14" s="10" t="n">
        <v>2.6</v>
      </c>
      <c r="AF14" s="10" t="n">
        <v>3</v>
      </c>
    </row>
    <row r="15" ht="46" customHeight="1">
      <c r="A15" s="26" t="n"/>
      <c r="B15" s="23" t="inlineStr">
        <is>
          <t>VI 09</t>
        </is>
      </c>
      <c r="C15" s="8" t="n">
        <v>4.87</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inlineStr">
        <is>
          <t>---</t>
        </is>
      </c>
      <c r="R15" s="10" t="inlineStr">
        <is>
          <t>---</t>
        </is>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Simplemente apoyada</t>
        </is>
      </c>
      <c r="Z15" s="10" t="inlineStr">
        <is>
          <t>Invertida</t>
        </is>
      </c>
      <c r="AA15" s="10" t="n">
        <v>12</v>
      </c>
      <c r="AB15" s="11">
        <f>IF(Z15="Colgante",MIN(C15*100/4,J15+16*AA15),J15)</f>
        <v/>
      </c>
      <c r="AC15" s="11">
        <f>IF(Z15="Invertida",MIN(C15*100/4,J15+16*AA15),J15)</f>
        <v/>
      </c>
      <c r="AD15" s="10" t="n">
        <v>1.549</v>
      </c>
      <c r="AE15" s="10" t="n">
        <v>2.6</v>
      </c>
      <c r="AF15" s="10" t="n">
        <v>3</v>
      </c>
    </row>
    <row r="16" ht="46" customHeight="1">
      <c r="A16" s="26" t="n"/>
      <c r="B16" s="23" t="inlineStr">
        <is>
          <t>VI 10a</t>
        </is>
      </c>
      <c r="C16" s="8" t="n">
        <v>2.55</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n">
        <v>3</v>
      </c>
      <c r="R16" s="10" t="n">
        <v>12</v>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Continua</t>
        </is>
      </c>
      <c r="Z16" s="10" t="inlineStr">
        <is>
          <t>Invertida</t>
        </is>
      </c>
      <c r="AA16" s="10" t="n">
        <v>12</v>
      </c>
      <c r="AB16" s="11">
        <f>IF(Z16="Colgante",MIN(C16*100/4,J16+16*AA16),J16)</f>
        <v/>
      </c>
      <c r="AC16" s="11">
        <f>IF(Z16="Invertida",MIN(C16*100/4,J16+16*AA16),J16)</f>
        <v/>
      </c>
      <c r="AD16" s="10" t="n">
        <v>0</v>
      </c>
      <c r="AE16" s="10" t="n">
        <v>2.6</v>
      </c>
      <c r="AF16" s="10" t="n">
        <v>3</v>
      </c>
    </row>
    <row r="17" ht="46" customHeight="1">
      <c r="A17" s="26" t="n"/>
      <c r="B17" s="23" t="inlineStr">
        <is>
          <t>VI 10b</t>
        </is>
      </c>
      <c r="C17" s="8" t="n">
        <v>4</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v>1.825</v>
      </c>
      <c r="AE17" s="10" t="n">
        <v>2.6</v>
      </c>
      <c r="AF17" s="10" t="n">
        <v>3</v>
      </c>
    </row>
    <row r="18" ht="46" customHeight="1">
      <c r="A18" s="26" t="n"/>
      <c r="B18" s="23" t="inlineStr">
        <is>
          <t>VI 10c</t>
        </is>
      </c>
      <c r="C18" s="8" t="n">
        <v>3.6</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v>0</v>
      </c>
      <c r="AE18" s="10" t="n">
        <v>2.6</v>
      </c>
      <c r="AF18" s="10" t="n">
        <v>3</v>
      </c>
    </row>
    <row r="19" ht="46" customHeight="1">
      <c r="A19" s="26" t="n"/>
      <c r="B19" s="23" t="inlineStr">
        <is>
          <t>VI 11a</t>
        </is>
      </c>
      <c r="C19" s="8" t="n">
        <v>7.68</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2</v>
      </c>
      <c r="O19" s="10" t="n">
        <v>20</v>
      </c>
      <c r="P19" s="25">
        <f>IF(NOT(ISNUMBER(I19)),"---",IF(I19&lt;=0,"---",IF(I19*100/(Datos_vigas!$B$8*AC19*K19^2*Datos_vigas!$B$5)&gt;=0.5,"REVISAR",MAX((1-SQRT(1-2*I19*100/(Datos_vigas!$B$8*AC19*K19^2*Datos_vigas!$B$5)))*AC19*K19*Datos_vigas!$B$5/Datos_vigas!$B$6,0.0033*J19*K19))))</f>
        <v/>
      </c>
      <c r="Q19" s="10" t="n">
        <v>2</v>
      </c>
      <c r="R19" s="10" t="n">
        <v>25</v>
      </c>
      <c r="S19" s="25">
        <f>F19/(J19*0.85*K19)</f>
        <v/>
      </c>
      <c r="T19" s="25">
        <f>G19/(J19*0.85*K19)</f>
        <v/>
      </c>
      <c r="U19" s="10" t="n">
        <v>6</v>
      </c>
      <c r="V19" s="10" t="n">
        <v>10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19" s="10" t="inlineStr">
        <is>
          <t>Empotrada-apoyada</t>
        </is>
      </c>
      <c r="Z19" s="10" t="inlineStr">
        <is>
          <t>Invertida</t>
        </is>
      </c>
      <c r="AA19" s="10" t="n">
        <v>12</v>
      </c>
      <c r="AB19" s="11">
        <f>IF(Z19="Colgante",MIN(C19*100/4,J19+16*AA19),J19)</f>
        <v/>
      </c>
      <c r="AC19" s="11">
        <f>IF(Z19="Invertida",MIN(C19*100/4,J19+16*AA19),J19)</f>
        <v/>
      </c>
      <c r="AD19" s="10" t="n">
        <v>1.825</v>
      </c>
      <c r="AE19" s="10" t="n">
        <v>2.6</v>
      </c>
      <c r="AF19" s="10" t="n">
        <v>3</v>
      </c>
    </row>
    <row r="20" ht="46" customHeight="1">
      <c r="A20" s="26" t="n"/>
      <c r="B20" s="23" t="inlineStr">
        <is>
          <t>VI 11b</t>
        </is>
      </c>
      <c r="C20" s="8" t="n">
        <v>3.45</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3</v>
      </c>
      <c r="O20" s="10" t="n">
        <v>12</v>
      </c>
      <c r="P20" s="25">
        <f>IF(NOT(ISNUMBER(I20)),"---",IF(I20&lt;=0,"---",IF(I20*100/(Datos_vigas!$B$8*AC20*K20^2*Datos_vigas!$B$5)&gt;=0.5,"REVISAR",MAX((1-SQRT(1-2*I20*100/(Datos_vigas!$B$8*AC20*K20^2*Datos_vigas!$B$5)))*AC20*K20*Datos_vigas!$B$5/Datos_vigas!$B$6,0.0033*J20*K20))))</f>
        <v/>
      </c>
      <c r="Q20" s="10" t="n">
        <v>3</v>
      </c>
      <c r="R20" s="10" t="n">
        <v>12</v>
      </c>
      <c r="S20" s="25">
        <f>F20/(J20*0.85*K20)</f>
        <v/>
      </c>
      <c r="T20" s="25">
        <f>G20/(J20*0.85*K20)</f>
        <v/>
      </c>
      <c r="U20" s="10" t="n">
        <v>6</v>
      </c>
      <c r="V20" s="10" t="n">
        <v>30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Viga de borde: recibe la reaccion de la losa excentrica y queda sometida a TORSION, no verificada en esta planilla.</t>
        </is>
      </c>
      <c r="Y20" s="10" t="inlineStr">
        <is>
          <t>Continua</t>
        </is>
      </c>
      <c r="Z20" s="10" t="inlineStr">
        <is>
          <t>Invertida</t>
        </is>
      </c>
      <c r="AA20" s="10" t="n">
        <v>12</v>
      </c>
      <c r="AB20" s="11">
        <f>IF(Z20="Colgante",MIN(C20*100/4,J20+16*AA20),J20)</f>
        <v/>
      </c>
      <c r="AC20" s="11">
        <f>IF(Z20="Invertida",MIN(C20*100/4,J20+16*AA20),J20)</f>
        <v/>
      </c>
      <c r="AD20" s="10" t="n">
        <v>0</v>
      </c>
      <c r="AE20" s="10" t="n">
        <v>2.6</v>
      </c>
      <c r="AF20" s="10" t="n">
        <v>3</v>
      </c>
    </row>
    <row r="21" ht="46" customHeight="1">
      <c r="A21" s="26" t="n"/>
      <c r="B21" s="23" t="inlineStr">
        <is>
          <t>VI 11c</t>
        </is>
      </c>
      <c r="C21" s="8" t="n">
        <v>5.02</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v>1.549</v>
      </c>
      <c r="AE21" s="10" t="n">
        <v>2.6</v>
      </c>
      <c r="AF21" s="10" t="n">
        <v>3</v>
      </c>
    </row>
    <row r="22" ht="46" customHeight="1">
      <c r="A22" s="26" t="n"/>
      <c r="B22" s="23" t="inlineStr">
        <is>
          <t>VCH 03a</t>
        </is>
      </c>
      <c r="C22" s="8" t="n">
        <v>3.71</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40</v>
      </c>
      <c r="K22" s="11">
        <f>L22-AF22</f>
        <v/>
      </c>
      <c r="L22" s="10" t="n">
        <v>13</v>
      </c>
      <c r="M22" s="25">
        <f>IF(NOT(ISNUMBER(H22)),"---",IF(H22&lt;=0,"---",IF(H22*100/(Datos_vigas!$B$8*AB22*K22^2*Datos_vigas!$B$5)&gt;=0.5,"REVISAR",MAX((1-SQRT(1-2*H22*100/(Datos_vigas!$B$8*AB22*K22^2*Datos_vigas!$B$5)))*AB22*K22*Datos_vigas!$B$5/Datos_vigas!$B$6,0.0033*J22*K22))))</f>
        <v/>
      </c>
      <c r="N22" s="10" t="n">
        <v>8</v>
      </c>
      <c r="O22" s="10" t="n">
        <v>12</v>
      </c>
      <c r="P22" s="25">
        <f>IF(NOT(ISNUMBER(I22)),"---",IF(I22&lt;=0,"---",IF(I22*100/(Datos_vigas!$B$8*AC22*K22^2*Datos_vigas!$B$5)&gt;=0.5,"REVISAR",MAX((1-SQRT(1-2*I22*100/(Datos_vigas!$B$8*AC22*K22^2*Datos_vigas!$B$5)))*AC22*K22*Datos_vigas!$B$5/Datos_vigas!$B$6,0.0033*J22*K22))))</f>
        <v/>
      </c>
      <c r="Q22" s="10" t="n">
        <v>5</v>
      </c>
      <c r="R22" s="10" t="n">
        <v>6</v>
      </c>
      <c r="S22" s="25">
        <f>F22/(J22*0.85*K22)</f>
        <v/>
      </c>
      <c r="T22" s="25">
        <f>G22/(J22*0.85*K22)</f>
        <v/>
      </c>
      <c r="U22" s="10" t="n">
        <v>12</v>
      </c>
      <c r="V22" s="10" t="n">
        <v>5</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Excede cuantia maxima y no llega a la altura minima por flecha. Revisar el ancho tributario real. Separacion de estribos menor a 10 cm: revisar constructividad.</t>
        </is>
      </c>
      <c r="Y22" s="10" t="inlineStr">
        <is>
          <t>Continua</t>
        </is>
      </c>
      <c r="Z22" s="10" t="inlineStr">
        <is>
          <t>Colgante</t>
        </is>
      </c>
      <c r="AA22" s="10" t="n">
        <v>12</v>
      </c>
      <c r="AB22" s="11">
        <f>IF(Z22="Colgante",MIN(C22*100/4,J22+16*AA22),J22)</f>
        <v/>
      </c>
      <c r="AC22" s="11">
        <f>IF(Z22="Invertida",MIN(C22*100/4,J22+16*AA22),J22)</f>
        <v/>
      </c>
      <c r="AD22" s="10" t="n">
        <v>2.1</v>
      </c>
      <c r="AE22" s="10" t="n">
        <v>2.6</v>
      </c>
      <c r="AF22" s="10" t="n">
        <v>3</v>
      </c>
    </row>
    <row r="23" ht="46" customHeight="1">
      <c r="A23" s="26" t="n"/>
      <c r="B23" s="23" t="inlineStr">
        <is>
          <t>VCH 03b</t>
        </is>
      </c>
      <c r="C23" s="8" t="n">
        <v>2.13</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10</v>
      </c>
      <c r="O23" s="10" t="n">
        <v>6</v>
      </c>
      <c r="P23" s="25">
        <f>IF(NOT(ISNUMBER(I23)),"---",IF(I23&lt;=0,"---",IF(I23*100/(Datos_vigas!$B$8*AC23*K23^2*Datos_vigas!$B$5)&gt;=0.5,"REVISAR",MAX((1-SQRT(1-2*I23*100/(Datos_vigas!$B$8*AC23*K23^2*Datos_vigas!$B$5)))*AC23*K23*Datos_vigas!$B$5/Datos_vigas!$B$6,0.0033*J23*K23))))</f>
        <v/>
      </c>
      <c r="Q23" s="10" t="n">
        <v>8</v>
      </c>
      <c r="R23" s="10" t="n">
        <v>8</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2.1</v>
      </c>
      <c r="AE23" s="10" t="n">
        <v>2.6</v>
      </c>
      <c r="AF23" s="10" t="n">
        <v>3</v>
      </c>
    </row>
    <row r="24" ht="46" customHeight="1">
      <c r="A24" s="27" t="n"/>
      <c r="B24" s="28" t="inlineStr">
        <is>
          <t>VCH 05</t>
        </is>
      </c>
      <c r="C24" s="15" t="n">
        <v>3.71</v>
      </c>
      <c r="D24" s="29">
        <f>(Datos_vigas!$B$10*(VLOOKUP($A$4,Datos_vigas!$A$14:$E$15,2,0)*AD24+Datos_vigas!$B$7*J24*L24/10000+Datos_vigas!$B$16*AE24)+Datos_vigas!$B$11*VLOOKUP($A$4,Datos_vigas!$A$14:$E$15,3,0)*AD24)</f>
        <v/>
      </c>
      <c r="E24" s="18" t="n"/>
      <c r="F24" s="29">
        <f>VLOOKUP(Y24,Datos_vigas!$A$19:$E$23,4,0)*D24*C24</f>
        <v/>
      </c>
      <c r="G24" s="29">
        <f>F24</f>
        <v/>
      </c>
      <c r="H24" s="29">
        <f>VLOOKUP(Y24,Datos_vigas!$A$19:$E$23,2,0)*D24*C24^2</f>
        <v/>
      </c>
      <c r="I24" s="29">
        <f>IF(VLOOKUP(Y24,Datos_vigas!$A$19:$E$23,3,0)=0,"---",VLOOKUP(Y24,Datos_vigas!$A$19:$E$23,3,0)*D24*C24^2)</f>
        <v/>
      </c>
      <c r="J24" s="17" t="n">
        <v>12</v>
      </c>
      <c r="K24" s="18">
        <f>L24-AF24</f>
        <v/>
      </c>
      <c r="L24" s="17" t="n">
        <v>45</v>
      </c>
      <c r="M24" s="30">
        <f>IF(NOT(ISNUMBER(H24)),"---",IF(H24&lt;=0,"---",IF(H24*100/(Datos_vigas!$B$8*AB24*K24^2*Datos_vigas!$B$5)&gt;=0.5,"REVISAR",MAX((1-SQRT(1-2*H24*100/(Datos_vigas!$B$8*AB24*K24^2*Datos_vigas!$B$5)))*AB24*K24*Datos_vigas!$B$5/Datos_vigas!$B$6,0.0033*J24*K24))))</f>
        <v/>
      </c>
      <c r="N24" s="17" t="n">
        <v>2</v>
      </c>
      <c r="O24" s="17" t="n">
        <v>12</v>
      </c>
      <c r="P24" s="30">
        <f>IF(NOT(ISNUMBER(I24)),"---",IF(I24&lt;=0,"---",IF(I24*100/(Datos_vigas!$B$8*AC24*K24^2*Datos_vigas!$B$5)&gt;=0.5,"REVISAR",MAX((1-SQRT(1-2*I24*100/(Datos_vigas!$B$8*AC24*K24^2*Datos_vigas!$B$5)))*AC24*K24*Datos_vigas!$B$5/Datos_vigas!$B$6,0.0033*J24*K24))))</f>
        <v/>
      </c>
      <c r="Q24" s="17" t="inlineStr">
        <is>
          <t>---</t>
        </is>
      </c>
      <c r="R24" s="17" t="inlineStr">
        <is>
          <t>---</t>
        </is>
      </c>
      <c r="S24" s="30">
        <f>F24/(J24*0.85*K24)</f>
        <v/>
      </c>
      <c r="T24" s="30">
        <f>G24/(J24*0.85*K24)</f>
        <v/>
      </c>
      <c r="U24" s="17" t="n">
        <v>6</v>
      </c>
      <c r="V24" s="17" t="n">
        <v>20</v>
      </c>
      <c r="W24" s="18">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8" t="n"/>
      <c r="Y24" s="17" t="inlineStr">
        <is>
          <t>Simplemente apoyada</t>
        </is>
      </c>
      <c r="Z24" s="17" t="inlineStr">
        <is>
          <t>Colgante</t>
        </is>
      </c>
      <c r="AA24" s="17" t="n">
        <v>12</v>
      </c>
      <c r="AB24" s="18">
        <f>IF(Z24="Colgante",MIN(C24*100/4,J24+16*AA24),J24)</f>
        <v/>
      </c>
      <c r="AC24" s="18">
        <f>IF(Z24="Invertida",MIN(C24*100/4,J24+16*AA24),J24)</f>
        <v/>
      </c>
      <c r="AD24" s="17" t="n">
        <v>0</v>
      </c>
      <c r="AE24" s="17" t="n">
        <v>2.6</v>
      </c>
      <c r="AF24" s="17" t="n">
        <v>3</v>
      </c>
    </row>
    <row r="25" ht="46" customHeight="1">
      <c r="A25" s="22" t="inlineStr">
        <is>
          <t>TECHO</t>
        </is>
      </c>
      <c r="B25" s="23" t="inlineStr">
        <is>
          <t>VI 12</t>
        </is>
      </c>
      <c r="C25" s="8" t="n">
        <v>9.9</v>
      </c>
      <c r="D25" s="24">
        <f>(Datos_vigas!$B$10*(VLOOKUP($A$25,Datos_vigas!$A$14:$E$15,2,0)*AD25+Datos_vigas!$B$7*J25*L25/10000+Datos_vigas!$B$16*AE25)+Datos_vigas!$B$11*VLOOKUP($A$25,Datos_vigas!$A$14:$E$15,3,0)*AD25)</f>
        <v/>
      </c>
      <c r="E25" s="11" t="n"/>
      <c r="F25" s="24">
        <f>VLOOKUP(Y25,Datos_vigas!$A$19:$E$23,4,0)*D25*C25</f>
        <v/>
      </c>
      <c r="G25" s="24">
        <f>F25</f>
        <v/>
      </c>
      <c r="H25" s="24">
        <f>VLOOKUP(Y25,Datos_vigas!$A$19:$E$23,2,0)*D25*C25^2</f>
        <v/>
      </c>
      <c r="I25" s="24">
        <f>IF(VLOOKUP(Y25,Datos_vigas!$A$19:$E$23,3,0)=0,"---",VLOOKUP(Y25,Datos_vigas!$A$19:$E$23,3,0)*D25*C25^2)</f>
        <v/>
      </c>
      <c r="J25" s="10" t="n">
        <v>15</v>
      </c>
      <c r="K25" s="11">
        <f>L25-AF25</f>
        <v/>
      </c>
      <c r="L25" s="10" t="n">
        <v>70</v>
      </c>
      <c r="M25" s="25">
        <f>IF(NOT(ISNUMBER(H25)),"---",IF(H25&lt;=0,"---",IF(H25*100/(Datos_vigas!$B$8*AB25*K25^2*Datos_vigas!$B$5)&gt;=0.5,"REVISAR",MAX((1-SQRT(1-2*H25*100/(Datos_vigas!$B$8*AB25*K25^2*Datos_vigas!$B$5)))*AB25*K25*Datos_vigas!$B$5/Datos_vigas!$B$6,0.0033*J25*K25))))</f>
        <v/>
      </c>
      <c r="N25" s="10" t="n">
        <v>2</v>
      </c>
      <c r="O25" s="10" t="n">
        <v>25</v>
      </c>
      <c r="P25" s="25">
        <f>IF(NOT(ISNUMBER(I25)),"---",IF(I25&lt;=0,"---",IF(I25*100/(Datos_vigas!$B$8*AC25*K25^2*Datos_vigas!$B$5)&gt;=0.5,"REVISAR",MAX((1-SQRT(1-2*I25*100/(Datos_vigas!$B$8*AC25*K25^2*Datos_vigas!$B$5)))*AC25*K25*Datos_vigas!$B$5/Datos_vigas!$B$6,0.0033*J25*K25))))</f>
        <v/>
      </c>
      <c r="Q25" s="10" t="n">
        <v>2</v>
      </c>
      <c r="R25" s="10" t="n">
        <v>25</v>
      </c>
      <c r="S25" s="25">
        <f>F25/(J25*0.85*K25)</f>
        <v/>
      </c>
      <c r="T25" s="25">
        <f>G25/(J25*0.85*K25)</f>
        <v/>
      </c>
      <c r="U25" s="10" t="n">
        <v>6</v>
      </c>
      <c r="V25" s="10" t="n">
        <v>15</v>
      </c>
      <c r="W25" s="11">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1" t="n"/>
      <c r="Y25" s="10" t="inlineStr">
        <is>
          <t>Continua</t>
        </is>
      </c>
      <c r="Z25" s="10" t="inlineStr">
        <is>
          <t>Invertida</t>
        </is>
      </c>
      <c r="AA25" s="10" t="n">
        <v>12</v>
      </c>
      <c r="AB25" s="11">
        <f>IF(Z25="Colgante",MIN(C25*100/4,J25+16*AA25),J25)</f>
        <v/>
      </c>
      <c r="AC25" s="11">
        <f>IF(Z25="Invertida",MIN(C25*100/4,J25+16*AA25),J25)</f>
        <v/>
      </c>
      <c r="AD25" s="10" t="n">
        <v>2.1</v>
      </c>
      <c r="AE25" s="10" t="n">
        <v>1</v>
      </c>
      <c r="AF25" s="10" t="n">
        <v>3</v>
      </c>
    </row>
    <row r="26" ht="46" customHeight="1">
      <c r="A26" s="26" t="n"/>
      <c r="B26" s="23" t="inlineStr">
        <is>
          <t>VI 13a</t>
        </is>
      </c>
      <c r="C26" s="8" t="n">
        <v>6</v>
      </c>
      <c r="D26" s="24">
        <f>(Datos_vigas!$B$10*(VLOOKUP($A$25,Datos_vigas!$A$14:$E$15,2,0)*AD26+Datos_vigas!$B$7*J26*L26/10000+Datos_vigas!$B$16*AE26)+Datos_vigas!$B$11*VLOOKUP($A$25,Datos_vigas!$A$14:$E$15,3,0)*AD26)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70</v>
      </c>
      <c r="M26" s="25">
        <f>IF(NOT(ISNUMBER(H26)),"---",IF(H26&lt;=0,"---",IF(H26*100/(Datos_vigas!$B$8*AB26*K26^2*Datos_vigas!$B$5)&gt;=0.5,"REVISAR",MAX((1-SQRT(1-2*H26*100/(Datos_vigas!$B$8*AB26*K26^2*Datos_vigas!$B$5)))*AB26*K26*Datos_vigas!$B$5/Datos_vigas!$B$6,0.0033*J26*K26))))</f>
        <v/>
      </c>
      <c r="N26" s="10" t="n">
        <v>2</v>
      </c>
      <c r="O26" s="10" t="n">
        <v>16</v>
      </c>
      <c r="P26" s="25">
        <f>IF(NOT(ISNUMBER(I26)),"---",IF(I26&lt;=0,"---",IF(I26*100/(Datos_vigas!$B$8*AC26*K26^2*Datos_vigas!$B$5)&gt;=0.5,"REVISAR",MAX((1-SQRT(1-2*I26*100/(Datos_vigas!$B$8*AC26*K26^2*Datos_vigas!$B$5)))*AC26*K26*Datos_vigas!$B$5/Datos_vigas!$B$6,0.0033*J26*K26))))</f>
        <v/>
      </c>
      <c r="Q26" s="10" t="n">
        <v>2</v>
      </c>
      <c r="R26" s="10" t="n">
        <v>20</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v>3.799</v>
      </c>
      <c r="AE26" s="10" t="n">
        <v>1</v>
      </c>
      <c r="AF26" s="10" t="n">
        <v>3</v>
      </c>
    </row>
    <row r="27" ht="46" customHeight="1">
      <c r="A27" s="26" t="n"/>
      <c r="B27" s="23" t="inlineStr">
        <is>
          <t>VI 13b</t>
        </is>
      </c>
      <c r="C27" s="8" t="n">
        <v>3.75</v>
      </c>
      <c r="D27" s="24">
        <f>(Datos_vigas!$B$10*(VLOOKUP($A$25,Datos_vigas!$A$14:$E$15,2,0)*AD27+Datos_vigas!$B$7*J27*L27/10000+Datos_vigas!$B$16*AE27)+Datos_vigas!$B$11*VLOOKUP($A$25,Datos_vigas!$A$14:$E$15,3,0)*AD27)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70</v>
      </c>
      <c r="M27" s="25">
        <f>IF(NOT(ISNUMBER(H27)),"---",IF(H27&lt;=0,"---",IF(H27*100/(Datos_vigas!$B$8*AB27*K27^2*Datos_vigas!$B$5)&gt;=0.5,"REVISAR",MAX((1-SQRT(1-2*H27*100/(Datos_vigas!$B$8*AB27*K27^2*Datos_vigas!$B$5)))*AB27*K27*Datos_vigas!$B$5/Datos_vigas!$B$6,0.0033*J27*K27))))</f>
        <v/>
      </c>
      <c r="N27" s="10" t="n">
        <v>3</v>
      </c>
      <c r="O27" s="10" t="n">
        <v>12</v>
      </c>
      <c r="P27" s="25">
        <f>IF(NOT(ISNUMBER(I27)),"---",IF(I27&lt;=0,"---",IF(I27*100/(Datos_vigas!$B$8*AC27*K27^2*Datos_vigas!$B$5)&gt;=0.5,"REVISAR",MAX((1-SQRT(1-2*I27*100/(Datos_vigas!$B$8*AC27*K27^2*Datos_vigas!$B$5)))*AC27*K27*Datos_vigas!$B$5/Datos_vigas!$B$6,0.0033*J27*K27))))</f>
        <v/>
      </c>
      <c r="Q27" s="10" t="n">
        <v>3</v>
      </c>
      <c r="R27" s="10" t="n">
        <v>12</v>
      </c>
      <c r="S27" s="25">
        <f>F27/(J27*0.85*K27)</f>
        <v/>
      </c>
      <c r="T27" s="25">
        <f>G27/(J27*0.85*K27)</f>
        <v/>
      </c>
      <c r="U27" s="10" t="n">
        <v>6</v>
      </c>
      <c r="V27" s="10" t="n">
        <v>30</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v>2.1</v>
      </c>
      <c r="AE27" s="10" t="n">
        <v>1</v>
      </c>
      <c r="AF27" s="10" t="n">
        <v>3</v>
      </c>
    </row>
    <row r="28" ht="46" customHeight="1">
      <c r="A28" s="26" t="n"/>
      <c r="B28" s="23" t="inlineStr">
        <is>
          <t>VI 14</t>
        </is>
      </c>
      <c r="C28" s="8" t="n">
        <v>6</v>
      </c>
      <c r="D28" s="24">
        <f>(Datos_vigas!$B$10*(VLOOKUP($A$25,Datos_vigas!$A$14:$E$15,2,0)*AD28+Datos_vigas!$B$7*J28*L28/10000+Datos_vigas!$B$16*AE28)+Datos_vigas!$B$11*VLOOKUP($A$25,Datos_vigas!$A$14:$E$15,3,0)*AD28)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v>1.699</v>
      </c>
      <c r="AE28" s="10" t="n">
        <v>1</v>
      </c>
      <c r="AF28" s="10" t="n">
        <v>3</v>
      </c>
    </row>
    <row r="29" ht="46" customHeight="1">
      <c r="A29" s="26" t="n"/>
      <c r="B29" s="23" t="inlineStr">
        <is>
          <t>VI 15a</t>
        </is>
      </c>
      <c r="C29" s="8" t="n">
        <v>4.03</v>
      </c>
      <c r="D29" s="24">
        <f>(Datos_vigas!$B$10*(VLOOKUP($A$25,Datos_vigas!$A$14:$E$15,2,0)*AD29+Datos_vigas!$B$7*J29*L29/10000+Datos_vigas!$B$16*AE29)+Datos_vigas!$B$11*VLOOKUP($A$25,Datos_vigas!$A$14:$E$15,3,0)*AD29)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3" t="inlineStr">
        <is>
          <t>Viga de borde: recibe la reaccion de la losa excentrica y queda sometida a TORSION, no verificada en esta planilla.</t>
        </is>
      </c>
      <c r="Y29" s="10" t="inlineStr">
        <is>
          <t>Continua</t>
        </is>
      </c>
      <c r="Z29" s="10" t="inlineStr">
        <is>
          <t>Invertida</t>
        </is>
      </c>
      <c r="AA29" s="10" t="n">
        <v>12</v>
      </c>
      <c r="AB29" s="11">
        <f>IF(Z29="Colgante",MIN(C29*100/4,J29+16*AA29),J29)</f>
        <v/>
      </c>
      <c r="AC29" s="11">
        <f>IF(Z29="Invertida",MIN(C29*100/4,J29+16*AA29),J29)</f>
        <v/>
      </c>
      <c r="AD29" s="10" t="n">
        <v>0</v>
      </c>
      <c r="AE29" s="10" t="n">
        <v>1</v>
      </c>
      <c r="AF29" s="10" t="n">
        <v>3</v>
      </c>
    </row>
    <row r="30" ht="46" customHeight="1">
      <c r="A30" s="26" t="n"/>
      <c r="B30" s="23" t="inlineStr">
        <is>
          <t>VI 15b</t>
        </is>
      </c>
      <c r="C30" s="8" t="n">
        <v>4.85</v>
      </c>
      <c r="D30" s="24">
        <f>(Datos_vigas!$B$10*(VLOOKUP($A$25,Datos_vigas!$A$14:$E$15,2,0)*AD30+Datos_vigas!$B$7*J30*L30/10000+Datos_vigas!$B$16*AE30)+Datos_vigas!$B$11*VLOOKUP($A$25,Datos_vigas!$A$14:$E$15,3,0)*AD30)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v>1.699</v>
      </c>
      <c r="AE30" s="10" t="n">
        <v>1</v>
      </c>
      <c r="AF30" s="10" t="n">
        <v>3</v>
      </c>
    </row>
    <row r="31" ht="46" customHeight="1">
      <c r="A31" s="26" t="n"/>
      <c r="B31" s="23" t="inlineStr">
        <is>
          <t>VI 16a</t>
        </is>
      </c>
      <c r="C31" s="8" t="n">
        <v>3.58</v>
      </c>
      <c r="D31" s="24">
        <f>(Datos_vigas!$B$10*(VLOOKUP($A$25,Datos_vigas!$A$14:$E$15,2,0)*AD31+Datos_vigas!$B$7*J31*L31/10000+Datos_vigas!$B$16*AE31)+Datos_vigas!$B$11*VLOOKUP($A$25,Datos_vigas!$A$14:$E$15,3,0)*AD31)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n"/>
      <c r="Y31" s="10" t="inlineStr">
        <is>
          <t>Continua</t>
        </is>
      </c>
      <c r="Z31" s="10" t="inlineStr">
        <is>
          <t>Invertida</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16b</t>
        </is>
      </c>
      <c r="C32" s="8" t="n">
        <v>1.12</v>
      </c>
      <c r="D32" s="24">
        <f>(Datos_vigas!$B$10*(VLOOKUP($A$25,Datos_vigas!$A$14:$E$15,2,0)*AD32+Datos_vigas!$B$7*J32*L32/10000+Datos_vigas!$B$16*AE32)+Datos_vigas!$B$11*VLOOKUP($A$25,Datos_vigas!$A$14:$E$15,3,0)*AD32)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v>1.699</v>
      </c>
      <c r="AE32" s="10" t="n">
        <v>1</v>
      </c>
      <c r="AF32" s="10" t="n">
        <v>3</v>
      </c>
    </row>
    <row r="33" ht="46" customHeight="1">
      <c r="A33" s="27" t="n"/>
      <c r="B33" s="28" t="inlineStr">
        <is>
          <t>VI 17</t>
        </is>
      </c>
      <c r="C33" s="15" t="n">
        <v>4.35</v>
      </c>
      <c r="D33" s="29">
        <f>(Datos_vigas!$B$10*(VLOOKUP($A$25,Datos_vigas!$A$14:$E$15,2,0)*AD33+Datos_vigas!$B$7*J33*L33/10000+Datos_vigas!$B$16*AE33)+Datos_vigas!$B$11*VLOOKUP($A$25,Datos_vigas!$A$14:$E$15,3,0)*AD33)</f>
        <v/>
      </c>
      <c r="E33" s="18" t="n"/>
      <c r="F33" s="29">
        <f>VLOOKUP(Y33,Datos_vigas!$A$19:$E$23,4,0)*D33*C33</f>
        <v/>
      </c>
      <c r="G33" s="29">
        <f>F33</f>
        <v/>
      </c>
      <c r="H33" s="29">
        <f>VLOOKUP(Y33,Datos_vigas!$A$19:$E$23,2,0)*D33*C33^2</f>
        <v/>
      </c>
      <c r="I33" s="29">
        <f>IF(VLOOKUP(Y33,Datos_vigas!$A$19:$E$23,3,0)=0,"---",VLOOKUP(Y33,Datos_vigas!$A$19:$E$23,3,0)*D33*C33^2)</f>
        <v/>
      </c>
      <c r="J33" s="17" t="n">
        <v>15</v>
      </c>
      <c r="K33" s="18">
        <f>L33-AF33</f>
        <v/>
      </c>
      <c r="L33" s="17" t="n">
        <v>70</v>
      </c>
      <c r="M33" s="30">
        <f>IF(NOT(ISNUMBER(H33)),"---",IF(H33&lt;=0,"---",IF(H33*100/(Datos_vigas!$B$8*AB33*K33^2*Datos_vigas!$B$5)&gt;=0.5,"REVISAR",MAX((1-SQRT(1-2*H33*100/(Datos_vigas!$B$8*AB33*K33^2*Datos_vigas!$B$5)))*AB33*K33*Datos_vigas!$B$5/Datos_vigas!$B$6,0.0033*J33*K33))))</f>
        <v/>
      </c>
      <c r="N33" s="17" t="n">
        <v>3</v>
      </c>
      <c r="O33" s="17" t="n">
        <v>12</v>
      </c>
      <c r="P33" s="30">
        <f>IF(NOT(ISNUMBER(I33)),"---",IF(I33&lt;=0,"---",IF(I33*100/(Datos_vigas!$B$8*AC33*K33^2*Datos_vigas!$B$5)&gt;=0.5,"REVISAR",MAX((1-SQRT(1-2*I33*100/(Datos_vigas!$B$8*AC33*K33^2*Datos_vigas!$B$5)))*AC33*K33*Datos_vigas!$B$5/Datos_vigas!$B$6,0.0033*J33*K33))))</f>
        <v/>
      </c>
      <c r="Q33" s="17" t="inlineStr">
        <is>
          <t>---</t>
        </is>
      </c>
      <c r="R33" s="17" t="inlineStr">
        <is>
          <t>---</t>
        </is>
      </c>
      <c r="S33" s="30">
        <f>F33/(J33*0.85*K33)</f>
        <v/>
      </c>
      <c r="T33" s="30">
        <f>G33/(J33*0.85*K33)</f>
        <v/>
      </c>
      <c r="U33" s="17" t="n">
        <v>6</v>
      </c>
      <c r="V33" s="17" t="n">
        <v>30</v>
      </c>
      <c r="W33" s="18">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8" t="n"/>
      <c r="Y33" s="17" t="inlineStr">
        <is>
          <t>Simplemente apoyada</t>
        </is>
      </c>
      <c r="Z33" s="17" t="inlineStr">
        <is>
          <t>Invertida</t>
        </is>
      </c>
      <c r="AA33" s="17" t="n">
        <v>12</v>
      </c>
      <c r="AB33" s="18">
        <f>IF(Z33="Colgante",MIN(C33*100/4,J33+16*AA33),J33)</f>
        <v/>
      </c>
      <c r="AC33" s="18">
        <f>IF(Z33="Invertida",MIN(C33*100/4,J33+16*AA33),J33)</f>
        <v/>
      </c>
      <c r="AD33" s="17" t="n">
        <v>0</v>
      </c>
      <c r="AE33" s="17" t="n">
        <v>1</v>
      </c>
      <c r="AF33" s="17" t="n">
        <v>3</v>
      </c>
    </row>
  </sheetData>
  <mergeCells count="18">
    <mergeCell ref="F2:G2"/>
    <mergeCell ref="A4:A24"/>
    <mergeCell ref="J2:L2"/>
    <mergeCell ref="D2:E2"/>
    <mergeCell ref="A25:A33"/>
    <mergeCell ref="A1:AF1"/>
    <mergeCell ref="P2:R2"/>
    <mergeCell ref="S2:U2"/>
    <mergeCell ref="I2:I3"/>
    <mergeCell ref="V2"/>
    <mergeCell ref="B2:B3"/>
    <mergeCell ref="A2:A3"/>
    <mergeCell ref="Y2:AF2"/>
    <mergeCell ref="C2:C3"/>
    <mergeCell ref="X2:X3"/>
    <mergeCell ref="M2:O2"/>
    <mergeCell ref="H2:H3"/>
    <mergeCell ref="W2:W3"/>
  </mergeCells>
  <conditionalFormatting sqref="W4:W33">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3" showDropDown="0" showInputMessage="0" showErrorMessage="0" allowBlank="1" type="list">
      <formula1>=Datos_vigas!$A$19:$A$23</formula1>
    </dataValidation>
    <dataValidation sqref="Z4:Z33" showDropDown="0" showInputMessage="0" showErrorMessage="0" allowBlank="1" type="list">
      <formula1>"Invertida,Colgante"</formula1>
    </dataValidation>
    <dataValidation sqref="O4:O33 R4:R33 U4:U33"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15.96</v>
      </c>
      <c r="E11" s="10" t="n">
        <v>15</v>
      </c>
      <c r="F11" s="10" t="n">
        <v>30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02 del plano. Carga PROVISORIA por bajada automatica; es un piso, la real es mayor (ver Memoria, punto 5).</t>
        </is>
      </c>
      <c r="O11" s="9">
        <f>I11*PI()*(J11/10)^2/4</f>
        <v/>
      </c>
      <c r="P11" s="9">
        <f>Datos_columnas!$B$7*0.8*(0.85*Datos_columnas!$B$4*(G11-O11)+Datos_columnas!$B$5*O11)/1000</f>
        <v/>
      </c>
      <c r="Q11" s="38">
        <f>100*C11/(0.3*MIN(E11,F11))</f>
        <v/>
      </c>
      <c r="R11" s="9" t="n">
        <v>15.96</v>
      </c>
    </row>
    <row r="12" ht="17" customHeight="1">
      <c r="A12" s="26" t="n"/>
      <c r="B12" s="23" t="inlineStr">
        <is>
          <t>C5</t>
        </is>
      </c>
      <c r="C12" s="8" t="n">
        <v>3.15</v>
      </c>
      <c r="D12" s="37" t="n">
        <v>19.38</v>
      </c>
      <c r="E12" s="10" t="n">
        <v>20</v>
      </c>
      <c r="F12" s="10" t="n">
        <v>20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04 del plano. Carga PROVISORIA por bajada automatica; es un piso, la real es mayor (ver Memoria, punto 5).</t>
        </is>
      </c>
      <c r="O12" s="9">
        <f>I12*PI()*(J12/10)^2/4</f>
        <v/>
      </c>
      <c r="P12" s="9">
        <f>Datos_columnas!$B$7*0.8*(0.85*Datos_columnas!$B$4*(G12-O12)+Datos_columnas!$B$5*O12)/1000</f>
        <v/>
      </c>
      <c r="Q12" s="38">
        <f>100*C12/(0.3*MIN(E12,F12))</f>
        <v/>
      </c>
      <c r="R12" s="9" t="n">
        <v>19.38</v>
      </c>
    </row>
    <row r="13" ht="17" customHeight="1">
      <c r="A13" s="26" t="n"/>
      <c r="B13" s="23" t="inlineStr">
        <is>
          <t>C6</t>
        </is>
      </c>
      <c r="C13" s="8" t="n">
        <v>3.15</v>
      </c>
      <c r="D13" s="37" t="n">
        <v>27.95</v>
      </c>
      <c r="E13" s="10" t="n">
        <v>30</v>
      </c>
      <c r="F13" s="10" t="n">
        <v>15</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03 del plano. Carga PROVISORIA por bajada automatica; es un piso, la real es mayor (ver Memoria, punto 5).</t>
        </is>
      </c>
      <c r="O13" s="9">
        <f>I13*PI()*(J13/10)^2/4</f>
        <v/>
      </c>
      <c r="P13" s="9">
        <f>Datos_columnas!$B$7*0.8*(0.85*Datos_columnas!$B$4*(G13-O13)+Datos_columnas!$B$5*O13)/1000</f>
        <v/>
      </c>
      <c r="Q13" s="38">
        <f>100*C13/(0.3*MIN(E13,F13))</f>
        <v/>
      </c>
      <c r="R13" s="9" t="n">
        <v>27.95</v>
      </c>
    </row>
    <row r="14" ht="17" customHeight="1">
      <c r="A14" s="26" t="n"/>
      <c r="B14" s="23" t="inlineStr">
        <is>
          <t>C7</t>
        </is>
      </c>
      <c r="C14" s="8" t="n">
        <v>3.15</v>
      </c>
      <c r="D14" s="37" t="n">
        <v>50.09</v>
      </c>
      <c r="E14" s="10" t="n">
        <v>15</v>
      </c>
      <c r="F14" s="10" t="n">
        <v>30</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02 del plano. Carga PROVISORIA por bajada automatica; es un piso, la real es mayor (ver Memoria, punto 5).</t>
        </is>
      </c>
      <c r="O14" s="9">
        <f>I14*PI()*(J14/10)^2/4</f>
        <v/>
      </c>
      <c r="P14" s="9">
        <f>Datos_columnas!$B$7*0.8*(0.85*Datos_columnas!$B$4*(G14-O14)+Datos_columnas!$B$5*O14)/1000</f>
        <v/>
      </c>
      <c r="Q14" s="38">
        <f>100*C14/(0.3*MIN(E14,F14))</f>
        <v/>
      </c>
      <c r="R14" s="9" t="n">
        <v>50.09</v>
      </c>
    </row>
    <row r="15" ht="17" customHeight="1">
      <c r="A15" s="27" t="n"/>
      <c r="B15" s="28" t="inlineStr">
        <is>
          <t>C8</t>
        </is>
      </c>
      <c r="C15" s="15" t="n">
        <v>3.15</v>
      </c>
      <c r="D15" s="39" t="n">
        <v>49.7</v>
      </c>
      <c r="E15" s="17" t="n">
        <v>15</v>
      </c>
      <c r="F15" s="17" t="n">
        <v>30</v>
      </c>
      <c r="G15" s="18">
        <f>E15*F15</f>
        <v/>
      </c>
      <c r="H15" s="30">
        <f>Datos_columnas!$B$8*G15</f>
        <v/>
      </c>
      <c r="I15" s="17" t="n">
        <v>4</v>
      </c>
      <c r="J15" s="17" t="n">
        <v>12</v>
      </c>
      <c r="K15" s="17" t="n">
        <v>6</v>
      </c>
      <c r="L15" s="18">
        <f>FLOOR(MIN(12*J15/10,48*K15/10,MIN(E15,F15)),5)</f>
        <v/>
      </c>
      <c r="M15" s="18">
        <f>IF(D15="","FALTA CARGA",IF(O15&lt;H15,"ARM. INSUFIC.",IF(D15&gt;P15,"NO VERIFICA",IF(D15&gt;0.85*P15,"AL LIMITE",IF(Q15&gt;34,"VERIF. ESBELTEZ","VERIFICA")))))</f>
        <v/>
      </c>
      <c r="N15" s="20" t="inlineStr">
        <is>
          <t>COL 02 del plano. Carga PROVISORIA por bajada automatica; es un piso, la real es mayor (ver Memoria, punto 5).</t>
        </is>
      </c>
      <c r="O15" s="16">
        <f>I15*PI()*(J15/10)^2/4</f>
        <v/>
      </c>
      <c r="P15" s="16">
        <f>Datos_columnas!$B$7*0.8*(0.85*Datos_columnas!$B$4*(G15-O15)+Datos_columnas!$B$5*O15)/1000</f>
        <v/>
      </c>
      <c r="Q15" s="40">
        <f>100*C15/(0.3*MIN(E15,F15))</f>
        <v/>
      </c>
      <c r="R15" s="16" t="n">
        <v>49.7</v>
      </c>
    </row>
  </sheetData>
  <mergeCells count="13">
    <mergeCell ref="A4:A7"/>
    <mergeCell ref="E2:G2"/>
    <mergeCell ref="A8:A15"/>
    <mergeCell ref="N2:N3"/>
    <mergeCell ref="K2:L2"/>
    <mergeCell ref="D2:D3"/>
    <mergeCell ref="H2:J2"/>
    <mergeCell ref="B2:B3"/>
    <mergeCell ref="A2:A3"/>
    <mergeCell ref="A1:R1"/>
    <mergeCell ref="C2:C3"/>
    <mergeCell ref="M2:M3"/>
    <mergeCell ref="O2:R2"/>
  </mergeCells>
  <conditionalFormatting sqref="M4:M15">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5 K4:K15"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C4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t>
        </is>
      </c>
      <c r="C8" s="11" t="inlineStr">
        <is>
          <t>CBZ 01</t>
        </is>
      </c>
      <c r="D8" s="10" t="n">
        <v>70</v>
      </c>
      <c r="E8" s="10" t="n">
        <v>70</v>
      </c>
      <c r="F8" s="10" t="n">
        <v>65</v>
      </c>
      <c r="G8" s="8" t="n"/>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t>
        </is>
      </c>
    </row>
    <row r="9" ht="17" customHeight="1">
      <c r="A9" s="23" t="inlineStr">
        <is>
          <t>CB6</t>
        </is>
      </c>
      <c r="B9" s="11" t="inlineStr">
        <is>
          <t>C5 (20x20)</t>
        </is>
      </c>
      <c r="C9" s="11" t="inlineStr">
        <is>
          <t>CBZ 03</t>
        </is>
      </c>
      <c r="D9" s="10" t="n">
        <v>144</v>
      </c>
      <c r="E9" s="10" t="n">
        <v>70</v>
      </c>
      <c r="F9" s="10" t="n">
        <v>70</v>
      </c>
      <c r="G9" s="8" t="n">
        <v>19.38</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C6 (30x15)</t>
        </is>
      </c>
      <c r="C10" s="11" t="inlineStr">
        <is>
          <t>CBZ 02</t>
        </is>
      </c>
      <c r="D10" s="10" t="n">
        <v>129</v>
      </c>
      <c r="E10" s="10" t="n">
        <v>70</v>
      </c>
      <c r="F10" s="10" t="n">
        <v>70</v>
      </c>
      <c r="G10" s="8" t="n">
        <v>27.95</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C8 (15x30)</t>
        </is>
      </c>
      <c r="C11" s="11" t="inlineStr">
        <is>
          <t>CBZ 03</t>
        </is>
      </c>
      <c r="D11" s="10" t="n">
        <v>144</v>
      </c>
      <c r="E11" s="10" t="n">
        <v>70</v>
      </c>
      <c r="F11" s="10" t="n">
        <v>70</v>
      </c>
      <c r="G11" s="8" t="n">
        <v>49.7</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C7 (15x30)</t>
        </is>
      </c>
      <c r="C12" s="18" t="inlineStr">
        <is>
          <t>CBZ 02</t>
        </is>
      </c>
      <c r="D12" s="17" t="n">
        <v>129</v>
      </c>
      <c r="E12" s="17" t="n">
        <v>70</v>
      </c>
      <c r="F12" s="17" t="n">
        <v>70</v>
      </c>
      <c r="G12" s="15" t="n">
        <v>50.09</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L2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1" customWidth="1" min="3" max="3"/>
    <col width="10" customWidth="1" min="4" max="4"/>
    <col width="10" customWidth="1" min="5" max="5"/>
    <col width="10" customWidth="1" min="6" max="6"/>
    <col width="12" customWidth="1" min="7" max="7"/>
    <col width="9" customWidth="1" min="8" max="8"/>
    <col width="10" customWidth="1" min="9" max="9"/>
    <col width="11" customWidth="1" min="10" max="10"/>
    <col width="14" customWidth="1" min="11" max="11"/>
    <col width="46" customWidth="1" min="12" max="12"/>
  </cols>
  <sheetData>
    <row r="1" ht="22" customHeight="1">
      <c r="A1" s="21" t="inlineStr">
        <is>
          <t>TABIQUES DE H°A°        H-21        ACERO 42/50        espesor 12 cm</t>
        </is>
      </c>
      <c r="B1" s="2" t="n"/>
      <c r="C1" s="2" t="n"/>
      <c r="D1" s="2" t="n"/>
      <c r="E1" s="2" t="n"/>
      <c r="F1" s="2" t="n"/>
      <c r="G1" s="2" t="n"/>
      <c r="H1" s="2" t="n"/>
      <c r="I1" s="2" t="n"/>
      <c r="J1" s="2" t="n"/>
      <c r="K1" s="2" t="n"/>
      <c r="L1" s="2" t="n"/>
    </row>
    <row r="2" ht="16" customHeight="1">
      <c r="A2" s="3" t="inlineStr">
        <is>
          <t>NIVEL</t>
        </is>
      </c>
      <c r="B2" s="3" t="inlineStr">
        <is>
          <t>POSICION</t>
        </is>
      </c>
      <c r="C2" s="3" t="inlineStr">
        <is>
          <t>DIMENSIONES</t>
        </is>
      </c>
      <c r="D2" s="4" t="n"/>
      <c r="E2" s="4" t="n"/>
      <c r="F2" s="3" t="inlineStr">
        <is>
          <t>CARGA (t)</t>
        </is>
      </c>
      <c r="G2" s="3" t="inlineStr">
        <is>
          <t>N por metro (t/m)</t>
        </is>
      </c>
      <c r="H2" s="3" t="inlineStr">
        <is>
          <t>CAPACIDAD</t>
        </is>
      </c>
      <c r="I2" s="4" t="n"/>
      <c r="J2" s="4" t="n"/>
      <c r="K2" s="3" t="inlineStr">
        <is>
          <t>VERIFICACION</t>
        </is>
      </c>
      <c r="L2" s="3" t="inlineStr">
        <is>
          <t>OBSERVACIONES</t>
        </is>
      </c>
    </row>
    <row r="3" ht="28" customHeight="1">
      <c r="A3" s="4" t="n"/>
      <c r="B3" s="4" t="n"/>
      <c r="C3" s="5" t="inlineStr">
        <is>
          <t>espesor (cm)</t>
        </is>
      </c>
      <c r="D3" s="5" t="inlineStr">
        <is>
          <t>largo (m)</t>
        </is>
      </c>
      <c r="E3" s="5" t="inlineStr">
        <is>
          <t>alto (m)</t>
        </is>
      </c>
      <c r="F3" s="4" t="n"/>
      <c r="G3" s="4" t="n"/>
      <c r="H3" s="5" t="inlineStr">
        <is>
          <t>esbeltez</t>
        </is>
      </c>
      <c r="I3" s="5" t="inlineStr">
        <is>
          <t>reduccion</t>
        </is>
      </c>
      <c r="J3" s="5" t="inlineStr">
        <is>
          <t>fi Pn (t/m)</t>
        </is>
      </c>
      <c r="K3" s="4" t="n"/>
      <c r="L3" s="4" t="n"/>
    </row>
    <row r="4">
      <c r="A4" s="6" t="inlineStr">
        <is>
          <t>PB   (altura de entrepiso)</t>
        </is>
      </c>
      <c r="B4" s="4" t="n"/>
      <c r="C4" s="4" t="n"/>
      <c r="D4" s="4" t="n"/>
      <c r="E4" s="4" t="n"/>
      <c r="F4" s="4" t="n"/>
      <c r="G4" s="4" t="n"/>
      <c r="H4" s="4" t="n"/>
      <c r="I4" s="4" t="n"/>
      <c r="J4" s="4" t="n"/>
      <c r="K4" s="4" t="n"/>
      <c r="L4" s="4" t="n"/>
    </row>
    <row r="5" ht="17" customHeight="1">
      <c r="A5" s="11" t="n"/>
      <c r="B5" s="23" t="inlineStr">
        <is>
          <t>T01a</t>
        </is>
      </c>
      <c r="C5" s="10" t="n">
        <v>12</v>
      </c>
      <c r="D5" s="8" t="n">
        <v>0.9</v>
      </c>
      <c r="E5" s="8" t="n">
        <v>3.15</v>
      </c>
      <c r="F5" s="8" t="n">
        <v>6.16</v>
      </c>
      <c r="G5" s="25">
        <f>IF(F5="","",F5/D5)</f>
        <v/>
      </c>
      <c r="H5" s="38">
        <f>E5*100/C5</f>
        <v/>
      </c>
      <c r="I5" s="33">
        <f>MAX(0,1-(E5*100/(32*C5))^2)</f>
        <v/>
      </c>
      <c r="J5" s="9">
        <f>0.55*0.65*Datos_vigas!$B$5*(100*C5)*I5/1000</f>
        <v/>
      </c>
      <c r="K5" s="11">
        <f>IF(G5="","FALTA CARGA",IF(G5&lt;=J5,"VERIFICA","NO VERIFICA"))</f>
        <v/>
      </c>
      <c r="L5" s="13" t="inlineStr">
        <is>
          <t>Recibe el extremo de VI 01a.</t>
        </is>
      </c>
    </row>
    <row r="6" ht="17" customHeight="1">
      <c r="A6" s="11" t="n"/>
      <c r="B6" s="23" t="inlineStr">
        <is>
          <t>T01b</t>
        </is>
      </c>
      <c r="C6" s="10" t="n">
        <v>12</v>
      </c>
      <c r="D6" s="8" t="n">
        <v>0.9</v>
      </c>
      <c r="E6" s="8" t="n">
        <v>3.15</v>
      </c>
      <c r="F6" s="42" t="n"/>
      <c r="G6" s="25">
        <f>IF(F6="","",F6/D6)</f>
        <v/>
      </c>
      <c r="H6" s="38">
        <f>E6*100/C6</f>
        <v/>
      </c>
      <c r="I6" s="33">
        <f>MAX(0,1-(E6*100/(32*C6))^2)</f>
        <v/>
      </c>
      <c r="J6" s="9">
        <f>0.55*0.65*Datos_vigas!$B$5*(100*C6)*I6/1000</f>
        <v/>
      </c>
      <c r="K6" s="11">
        <f>IF(G6="","FALTA CARGA",IF(G6&lt;=J6,"VERIFICA","NO VERIFICA"))</f>
        <v/>
      </c>
      <c r="L6" s="13" t="inlineStr">
        <is>
          <t>Falta la carga que recibe. Mientras tanto no se puede verificar.</t>
        </is>
      </c>
    </row>
    <row r="7" ht="17" customHeight="1">
      <c r="A7" s="11" t="n"/>
      <c r="B7" s="23" t="inlineStr">
        <is>
          <t>T02</t>
        </is>
      </c>
      <c r="C7" s="10" t="n">
        <v>12</v>
      </c>
      <c r="D7" s="8" t="n">
        <v>0.9</v>
      </c>
      <c r="E7" s="8" t="n">
        <v>3.15</v>
      </c>
      <c r="F7" s="42" t="n"/>
      <c r="G7" s="25">
        <f>IF(F7="","",F7/D7)</f>
        <v/>
      </c>
      <c r="H7" s="38">
        <f>E7*100/C7</f>
        <v/>
      </c>
      <c r="I7" s="33">
        <f>MAX(0,1-(E7*100/(32*C7))^2)</f>
        <v/>
      </c>
      <c r="J7" s="9">
        <f>0.55*0.65*Datos_vigas!$B$5*(100*C7)*I7/1000</f>
        <v/>
      </c>
      <c r="K7" s="11">
        <f>IF(G7="","FALTA CARGA",IF(G7&lt;=J7,"VERIFICA","NO VERIFICA"))</f>
        <v/>
      </c>
      <c r="L7" s="13" t="inlineStr">
        <is>
          <t>Falta la carga que recibe. Mientras tanto no se puede verificar.</t>
        </is>
      </c>
    </row>
    <row r="8" ht="17" customHeight="1">
      <c r="A8" s="11" t="n"/>
      <c r="B8" s="23" t="inlineStr">
        <is>
          <t>T03</t>
        </is>
      </c>
      <c r="C8" s="10" t="n">
        <v>12</v>
      </c>
      <c r="D8" s="8" t="n">
        <v>3.75</v>
      </c>
      <c r="E8" s="8" t="n">
        <v>3.15</v>
      </c>
      <c r="F8" s="42" t="n"/>
      <c r="G8" s="25">
        <f>IF(F8="","",F8/D8)</f>
        <v/>
      </c>
      <c r="H8" s="38">
        <f>E8*100/C8</f>
        <v/>
      </c>
      <c r="I8" s="33">
        <f>MAX(0,1-(E8*100/(32*C8))^2)</f>
        <v/>
      </c>
      <c r="J8" s="9">
        <f>0.55*0.65*Datos_vigas!$B$5*(100*C8)*I8/1000</f>
        <v/>
      </c>
      <c r="K8" s="11">
        <f>IF(G8="","FALTA CARGA",IF(G8&lt;=J8,"VERIFICA","NO VERIFICA"))</f>
        <v/>
      </c>
      <c r="L8" s="13" t="inlineStr">
        <is>
          <t>No se habia detectado en el plano: aparece en el computo. Falta la carga que recibe. Mientras tanto no se puede verificar.</t>
        </is>
      </c>
    </row>
    <row r="9" ht="17" customHeight="1">
      <c r="A9" s="11" t="n"/>
      <c r="B9" s="23" t="inlineStr">
        <is>
          <t>T04a</t>
        </is>
      </c>
      <c r="C9" s="10" t="n">
        <v>12</v>
      </c>
      <c r="D9" s="8" t="n">
        <v>0.73</v>
      </c>
      <c r="E9" s="8" t="n">
        <v>3.15</v>
      </c>
      <c r="F9" s="42" t="n"/>
      <c r="G9" s="25">
        <f>IF(F9="","",F9/D9)</f>
        <v/>
      </c>
      <c r="H9" s="38">
        <f>E9*100/C9</f>
        <v/>
      </c>
      <c r="I9" s="33">
        <f>MAX(0,1-(E9*100/(32*C9))^2)</f>
        <v/>
      </c>
      <c r="J9" s="9">
        <f>0.55*0.65*Datos_vigas!$B$5*(100*C9)*I9/1000</f>
        <v/>
      </c>
      <c r="K9" s="11">
        <f>IF(G9="","FALTA CARGA",IF(G9&lt;=J9,"VERIFICA","NO VERIFICA"))</f>
        <v/>
      </c>
      <c r="L9" s="13" t="inlineStr">
        <is>
          <t>Falta la carga que recibe. Mientras tanto no se puede verificar.</t>
        </is>
      </c>
    </row>
    <row r="10" ht="17" customHeight="1">
      <c r="A10" s="11" t="n"/>
      <c r="B10" s="23" t="inlineStr">
        <is>
          <t>T04b</t>
        </is>
      </c>
      <c r="C10" s="10" t="n">
        <v>12</v>
      </c>
      <c r="D10" s="8" t="n">
        <v>0.73</v>
      </c>
      <c r="E10" s="8" t="n">
        <v>3.15</v>
      </c>
      <c r="F10" s="42" t="n"/>
      <c r="G10" s="25">
        <f>IF(F10="","",F10/D10)</f>
        <v/>
      </c>
      <c r="H10" s="38">
        <f>E10*100/C10</f>
        <v/>
      </c>
      <c r="I10" s="33">
        <f>MAX(0,1-(E10*100/(32*C10))^2)</f>
        <v/>
      </c>
      <c r="J10" s="9">
        <f>0.55*0.65*Datos_vigas!$B$5*(100*C10)*I10/1000</f>
        <v/>
      </c>
      <c r="K10" s="11">
        <f>IF(G10="","FALTA CARGA",IF(G10&lt;=J10,"VERIFICA","NO VERIFICA"))</f>
        <v/>
      </c>
      <c r="L10" s="13" t="inlineStr">
        <is>
          <t>En el plano solo figura en la planta de fundacion. Falta la carga que recibe. Mientras tanto no se puede verificar.</t>
        </is>
      </c>
    </row>
    <row r="11" ht="17" customHeight="1">
      <c r="A11" s="11" t="n"/>
      <c r="B11" s="23" t="inlineStr">
        <is>
          <t>T05a</t>
        </is>
      </c>
      <c r="C11" s="10" t="n">
        <v>12</v>
      </c>
      <c r="D11" s="8" t="n">
        <v>2.7</v>
      </c>
      <c r="E11" s="8" t="n">
        <v>3.15</v>
      </c>
      <c r="F11" s="42" t="n"/>
      <c r="G11" s="25">
        <f>IF(F11="","",F11/D11)</f>
        <v/>
      </c>
      <c r="H11" s="38">
        <f>E11*100/C11</f>
        <v/>
      </c>
      <c r="I11" s="33">
        <f>MAX(0,1-(E11*100/(32*C11))^2)</f>
        <v/>
      </c>
      <c r="J11" s="9">
        <f>0.55*0.65*Datos_vigas!$B$5*(100*C11)*I11/1000</f>
        <v/>
      </c>
      <c r="K11" s="11">
        <f>IF(G11="","FALTA CARGA",IF(G11&lt;=J11,"VERIFICA","NO VERIFICA"))</f>
        <v/>
      </c>
      <c r="L11" s="13" t="inlineStr">
        <is>
          <t>Falta la carga que recibe. Mientras tanto no se puede verificar.</t>
        </is>
      </c>
    </row>
    <row r="12" ht="17" customHeight="1">
      <c r="A12" s="11" t="n"/>
      <c r="B12" s="23" t="inlineStr">
        <is>
          <t>T05b</t>
        </is>
      </c>
      <c r="C12" s="10" t="n">
        <v>12</v>
      </c>
      <c r="D12" s="8" t="n">
        <v>2</v>
      </c>
      <c r="E12" s="8" t="n">
        <v>3.15</v>
      </c>
      <c r="F12" s="8" t="n">
        <v>25.47</v>
      </c>
      <c r="G12" s="25">
        <f>IF(F12="","",F12/D12)</f>
        <v/>
      </c>
      <c r="H12" s="38">
        <f>E12*100/C12</f>
        <v/>
      </c>
      <c r="I12" s="33">
        <f>MAX(0,1-(E12*100/(32*C12))^2)</f>
        <v/>
      </c>
      <c r="J12" s="9">
        <f>0.55*0.65*Datos_vigas!$B$5*(100*C12)*I12/1000</f>
        <v/>
      </c>
      <c r="K12" s="11">
        <f>IF(G12="","FALTA CARGA",IF(G12&lt;=J12,"VERIFICA","NO VERIFICA"))</f>
        <v/>
      </c>
      <c r="L12" s="13" t="inlineStr">
        <is>
          <t>Recibe el extremo de VI 07c.</t>
        </is>
      </c>
    </row>
    <row r="13" ht="17" customHeight="1">
      <c r="A13" s="11" t="n"/>
      <c r="B13" s="23" t="inlineStr">
        <is>
          <t>T06a</t>
        </is>
      </c>
      <c r="C13" s="10" t="n">
        <v>12</v>
      </c>
      <c r="D13" s="8" t="n">
        <v>0.9</v>
      </c>
      <c r="E13" s="8" t="n">
        <v>3.15</v>
      </c>
      <c r="F13" s="42" t="n"/>
      <c r="G13" s="25">
        <f>IF(F13="","",F13/D13)</f>
        <v/>
      </c>
      <c r="H13" s="38">
        <f>E13*100/C13</f>
        <v/>
      </c>
      <c r="I13" s="33">
        <f>MAX(0,1-(E13*100/(32*C13))^2)</f>
        <v/>
      </c>
      <c r="J13" s="9">
        <f>0.55*0.65*Datos_vigas!$B$5*(100*C13)*I13/1000</f>
        <v/>
      </c>
      <c r="K13" s="11">
        <f>IF(G13="","FALTA CARGA",IF(G13&lt;=J13,"VERIFICA","NO VERIFICA"))</f>
        <v/>
      </c>
      <c r="L13" s="13" t="inlineStr">
        <is>
          <t>Falta la carga que recibe. Mientras tanto no se puede verificar.</t>
        </is>
      </c>
    </row>
    <row r="14" ht="17" customHeight="1">
      <c r="A14" s="11" t="n"/>
      <c r="B14" s="23" t="inlineStr">
        <is>
          <t>T06b</t>
        </is>
      </c>
      <c r="C14" s="10" t="n">
        <v>12</v>
      </c>
      <c r="D14" s="8" t="n">
        <v>5.55</v>
      </c>
      <c r="E14" s="8" t="n">
        <v>3.15</v>
      </c>
      <c r="F14" s="42" t="n"/>
      <c r="G14" s="25">
        <f>IF(F14="","",F14/D14)</f>
        <v/>
      </c>
      <c r="H14" s="38">
        <f>E14*100/C14</f>
        <v/>
      </c>
      <c r="I14" s="33">
        <f>MAX(0,1-(E14*100/(32*C14))^2)</f>
        <v/>
      </c>
      <c r="J14" s="9">
        <f>0.55*0.65*Datos_vigas!$B$5*(100*C14)*I14/1000</f>
        <v/>
      </c>
      <c r="K14" s="11">
        <f>IF(G14="","FALTA CARGA",IF(G14&lt;=J14,"VERIFICA","NO VERIFICA"))</f>
        <v/>
      </c>
      <c r="L14" s="13" t="inlineStr">
        <is>
          <t>Perpendicular a las vigas chatas, en la union de VCH 03a con VCH 03b. Falta la carga que recibe. Mientras tanto no se puede verificar.</t>
        </is>
      </c>
    </row>
    <row r="15" ht="17" customHeight="1">
      <c r="A15" s="11" t="n"/>
      <c r="B15" s="23" t="inlineStr">
        <is>
          <t>T06c</t>
        </is>
      </c>
      <c r="C15" s="10" t="n">
        <v>12</v>
      </c>
      <c r="D15" s="8" t="n">
        <v>1</v>
      </c>
      <c r="E15" s="8" t="n">
        <v>3.15</v>
      </c>
      <c r="F15" s="42" t="n"/>
      <c r="G15" s="25">
        <f>IF(F15="","",F15/D15)</f>
        <v/>
      </c>
      <c r="H15" s="38">
        <f>E15*100/C15</f>
        <v/>
      </c>
      <c r="I15" s="33">
        <f>MAX(0,1-(E15*100/(32*C15))^2)</f>
        <v/>
      </c>
      <c r="J15" s="9">
        <f>0.55*0.65*Datos_vigas!$B$5*(100*C15)*I15/1000</f>
        <v/>
      </c>
      <c r="K15" s="11">
        <f>IF(G15="","FALTA CARGA",IF(G15&lt;=J15,"VERIFICA","NO VERIFICA"))</f>
        <v/>
      </c>
      <c r="L15" s="13" t="inlineStr">
        <is>
          <t>Falta la carga que recibe. Mientras tanto no se puede verificar.</t>
        </is>
      </c>
    </row>
    <row r="16" ht="17" customHeight="1">
      <c r="A16" s="11" t="n"/>
      <c r="B16" s="23" t="inlineStr">
        <is>
          <t>T07</t>
        </is>
      </c>
      <c r="C16" s="10" t="n">
        <v>12</v>
      </c>
      <c r="D16" s="8" t="n">
        <v>0.98</v>
      </c>
      <c r="E16" s="8" t="n">
        <v>3.15</v>
      </c>
      <c r="F16" s="8" t="n">
        <v>21.12</v>
      </c>
      <c r="G16" s="25">
        <f>IF(F16="","",F16/D16)</f>
        <v/>
      </c>
      <c r="H16" s="38">
        <f>E16*100/C16</f>
        <v/>
      </c>
      <c r="I16" s="33">
        <f>MAX(0,1-(E16*100/(32*C16))^2)</f>
        <v/>
      </c>
      <c r="J16" s="9">
        <f>0.55*0.65*Datos_vigas!$B$5*(100*C16)*I16/1000</f>
        <v/>
      </c>
      <c r="K16" s="11">
        <f>IF(G16="","FALTA CARGA",IF(G16&lt;=J16,"VERIFICA","NO VERIFICA"))</f>
        <v/>
      </c>
      <c r="L16" s="13" t="inlineStr">
        <is>
          <t>Recibe el extremo de VI 02, perpendicular.</t>
        </is>
      </c>
    </row>
    <row r="17" ht="17" customHeight="1">
      <c r="A17" s="11" t="n"/>
      <c r="B17" s="23" t="inlineStr">
        <is>
          <t>T08a</t>
        </is>
      </c>
      <c r="C17" s="10" t="n">
        <v>12</v>
      </c>
      <c r="D17" s="8" t="n">
        <v>2.9</v>
      </c>
      <c r="E17" s="8" t="n">
        <v>3.15</v>
      </c>
      <c r="F17" s="8" t="n">
        <v>14.6</v>
      </c>
      <c r="G17" s="25">
        <f>IF(F17="","",F17/D17)</f>
        <v/>
      </c>
      <c r="H17" s="38">
        <f>E17*100/C17</f>
        <v/>
      </c>
      <c r="I17" s="33">
        <f>MAX(0,1-(E17*100/(32*C17))^2)</f>
        <v/>
      </c>
      <c r="J17" s="9">
        <f>0.55*0.65*Datos_vigas!$B$5*(100*C17)*I17/1000</f>
        <v/>
      </c>
      <c r="K17" s="11">
        <f>IF(G17="","FALTA CARGA",IF(G17&lt;=J17,"VERIFICA","NO VERIFICA"))</f>
        <v/>
      </c>
      <c r="L17" s="13" t="inlineStr">
        <is>
          <t>Recibe el extremo de VI 11a.</t>
        </is>
      </c>
    </row>
    <row r="18" ht="17" customHeight="1">
      <c r="A18" s="18" t="n"/>
      <c r="B18" s="28" t="inlineStr">
        <is>
          <t>T08b</t>
        </is>
      </c>
      <c r="C18" s="17" t="n">
        <v>12</v>
      </c>
      <c r="D18" s="15" t="n">
        <v>4.2</v>
      </c>
      <c r="E18" s="15" t="n">
        <v>3.15</v>
      </c>
      <c r="F18" s="43" t="n"/>
      <c r="G18" s="30">
        <f>IF(F18="","",F18/D18)</f>
        <v/>
      </c>
      <c r="H18" s="40">
        <f>E18*100/C18</f>
        <v/>
      </c>
      <c r="I18" s="35">
        <f>MAX(0,1-(E18*100/(32*C18))^2)</f>
        <v/>
      </c>
      <c r="J18" s="16">
        <f>0.55*0.65*Datos_vigas!$B$5*(100*C18)*I18/1000</f>
        <v/>
      </c>
      <c r="K18" s="18">
        <f>IF(G18="","FALTA CARGA",IF(G18&lt;=J18,"VERIFICA","NO VERIFICA"))</f>
        <v/>
      </c>
      <c r="L18" s="20" t="inlineStr">
        <is>
          <t>Falta la carga que recibe. Mientras tanto no se puede verificar.</t>
        </is>
      </c>
    </row>
    <row r="19">
      <c r="A19" s="6" t="inlineStr">
        <is>
          <t>PA   (altura de entrepiso)</t>
        </is>
      </c>
      <c r="B19" s="4" t="n"/>
      <c r="C19" s="4" t="n"/>
      <c r="D19" s="4" t="n"/>
      <c r="E19" s="4" t="n"/>
      <c r="F19" s="4" t="n"/>
      <c r="G19" s="4" t="n"/>
      <c r="H19" s="4" t="n"/>
      <c r="I19" s="4" t="n"/>
      <c r="J19" s="4" t="n"/>
      <c r="K19" s="4" t="n"/>
      <c r="L19" s="4" t="n"/>
    </row>
    <row r="20" ht="17" customHeight="1">
      <c r="A20" s="11" t="n"/>
      <c r="B20" s="23" t="inlineStr">
        <is>
          <t>T09</t>
        </is>
      </c>
      <c r="C20" s="10" t="n">
        <v>12</v>
      </c>
      <c r="D20" s="8" t="n">
        <v>3.75</v>
      </c>
      <c r="E20" s="8" t="n">
        <v>3.2</v>
      </c>
      <c r="F20" s="42" t="n"/>
      <c r="G20" s="25">
        <f>IF(F20="","",F20/D20)</f>
        <v/>
      </c>
      <c r="H20" s="38">
        <f>E20*100/C20</f>
        <v/>
      </c>
      <c r="I20" s="33">
        <f>MAX(0,1-(E20*100/(32*C20))^2)</f>
        <v/>
      </c>
      <c r="J20" s="9">
        <f>0.55*0.65*Datos_vigas!$B$5*(100*C20)*I20/1000</f>
        <v/>
      </c>
      <c r="K20" s="11">
        <f>IF(G20="","FALTA CARGA",IF(G20&lt;=J20,"VERIFICA","NO VERIFICA"))</f>
        <v/>
      </c>
      <c r="L20" s="13" t="inlineStr">
        <is>
          <t>Falta la carga que recibe. Mientras tanto no se puede verificar.</t>
        </is>
      </c>
    </row>
    <row r="21" ht="17" customHeight="1">
      <c r="A21" s="11" t="n"/>
      <c r="B21" s="23" t="inlineStr">
        <is>
          <t>T10</t>
        </is>
      </c>
      <c r="C21" s="10" t="n">
        <v>12</v>
      </c>
      <c r="D21" s="8" t="n">
        <v>1.7</v>
      </c>
      <c r="E21" s="8" t="n">
        <v>2.6</v>
      </c>
      <c r="F21" s="42" t="n"/>
      <c r="G21" s="25">
        <f>IF(F21="","",F21/D21)</f>
        <v/>
      </c>
      <c r="H21" s="38">
        <f>E21*100/C21</f>
        <v/>
      </c>
      <c r="I21" s="33">
        <f>MAX(0,1-(E21*100/(32*C21))^2)</f>
        <v/>
      </c>
      <c r="J21" s="9">
        <f>0.55*0.65*Datos_vigas!$B$5*(100*C21)*I21/1000</f>
        <v/>
      </c>
      <c r="K21" s="11">
        <f>IF(G21="","FALTA CARGA",IF(G21&lt;=J21,"VERIFICA","NO VERIFICA"))</f>
        <v/>
      </c>
      <c r="L21" s="13" t="inlineStr">
        <is>
          <t>Falta la carga que recibe. Mientras tanto no se puede verificar.</t>
        </is>
      </c>
    </row>
    <row r="22" ht="17" customHeight="1">
      <c r="A22" s="11" t="n"/>
      <c r="B22" s="23" t="inlineStr">
        <is>
          <t>T11</t>
        </is>
      </c>
      <c r="C22" s="10" t="n">
        <v>12</v>
      </c>
      <c r="D22" s="8" t="n">
        <v>0.28</v>
      </c>
      <c r="E22" s="8" t="n">
        <v>2.6</v>
      </c>
      <c r="F22" s="42" t="n"/>
      <c r="G22" s="25">
        <f>IF(F22="","",F22/D22)</f>
        <v/>
      </c>
      <c r="H22" s="38">
        <f>E22*100/C22</f>
        <v/>
      </c>
      <c r="I22" s="33">
        <f>MAX(0,1-(E22*100/(32*C22))^2)</f>
        <v/>
      </c>
      <c r="J22" s="9">
        <f>0.55*0.65*Datos_vigas!$B$5*(100*C22)*I22/1000</f>
        <v/>
      </c>
      <c r="K22" s="11">
        <f>IF(G22="","FALTA CARGA",IF(G22&lt;=J22,"VERIFICA","NO VERIFICA"))</f>
        <v/>
      </c>
      <c r="L22" s="13" t="inlineStr">
        <is>
          <t>Longitud muy corta: verificar si es un tabique o el machon de una abertura. Falta la carga que recibe. Mientras tanto no se puede verificar.</t>
        </is>
      </c>
    </row>
    <row r="23" ht="17" customHeight="1">
      <c r="A23" s="11" t="n"/>
      <c r="B23" s="23" t="inlineStr">
        <is>
          <t>T12</t>
        </is>
      </c>
      <c r="C23" s="10" t="n">
        <v>12</v>
      </c>
      <c r="D23" s="8" t="n">
        <v>0.32</v>
      </c>
      <c r="E23" s="8" t="n">
        <v>2.6</v>
      </c>
      <c r="F23" s="42" t="n"/>
      <c r="G23" s="25">
        <f>IF(F23="","",F23/D23)</f>
        <v/>
      </c>
      <c r="H23" s="38">
        <f>E23*100/C23</f>
        <v/>
      </c>
      <c r="I23" s="33">
        <f>MAX(0,1-(E23*100/(32*C23))^2)</f>
        <v/>
      </c>
      <c r="J23" s="9">
        <f>0.55*0.65*Datos_vigas!$B$5*(100*C23)*I23/1000</f>
        <v/>
      </c>
      <c r="K23" s="11">
        <f>IF(G23="","FALTA CARGA",IF(G23&lt;=J23,"VERIFICA","NO VERIFICA"))</f>
        <v/>
      </c>
      <c r="L23" s="13" t="inlineStr">
        <is>
          <t>Longitud muy corta: verificar si es un tabique o el machon de una abertura. Falta la carga que recibe. Mientras tanto no se puede verificar.</t>
        </is>
      </c>
    </row>
    <row r="24" ht="17" customHeight="1">
      <c r="A24" s="18" t="n"/>
      <c r="B24" s="28" t="inlineStr">
        <is>
          <t>T13</t>
        </is>
      </c>
      <c r="C24" s="17" t="n">
        <v>12</v>
      </c>
      <c r="D24" s="15" t="n">
        <v>1.32</v>
      </c>
      <c r="E24" s="15" t="n">
        <v>3.2</v>
      </c>
      <c r="F24" s="43" t="n"/>
      <c r="G24" s="30">
        <f>IF(F24="","",F24/D24)</f>
        <v/>
      </c>
      <c r="H24" s="40">
        <f>E24*100/C24</f>
        <v/>
      </c>
      <c r="I24" s="35">
        <f>MAX(0,1-(E24*100/(32*C24))^2)</f>
        <v/>
      </c>
      <c r="J24" s="16">
        <f>0.55*0.65*Datos_vigas!$B$5*(100*C24)*I24/1000</f>
        <v/>
      </c>
      <c r="K24" s="18">
        <f>IF(G24="","FALTA CARGA",IF(G24&lt;=J24,"VERIFICA","NO VERIFICA"))</f>
        <v/>
      </c>
      <c r="L24" s="20" t="inlineStr">
        <is>
          <t>Falta la carga que recibe. Mientras tanto no se puede verificar.</t>
        </is>
      </c>
    </row>
    <row r="25">
      <c r="A25" s="2" t="n"/>
      <c r="B25" s="2" t="n"/>
      <c r="C25" s="2" t="n"/>
      <c r="D25" s="2" t="n"/>
      <c r="E25" s="2" t="n"/>
      <c r="F25" s="2" t="n"/>
      <c r="G25" s="2" t="n"/>
      <c r="H25" s="2" t="n"/>
      <c r="I25" s="2" t="n"/>
      <c r="J25" s="2" t="n"/>
      <c r="K25" s="2" t="n"/>
      <c r="L25" s="2" t="n"/>
    </row>
    <row r="26">
      <c r="A26" s="41" t="inlineStr">
        <is>
          <t>fi Pn = 0,55 x 0,65 x f'c x Ag x [1 - (alto / 32 espesor)^2]    muro portante de hormigon armado, con reduccion por esbeltez.</t>
        </is>
      </c>
      <c r="B26" s="2" t="n"/>
      <c r="C26" s="2" t="n"/>
      <c r="D26" s="2" t="n"/>
      <c r="E26" s="2" t="n"/>
      <c r="F26" s="2" t="n"/>
      <c r="G26" s="2" t="n"/>
      <c r="H26" s="2" t="n"/>
      <c r="I26" s="2" t="n"/>
      <c r="J26" s="2" t="n"/>
      <c r="K26" s="2" t="n"/>
      <c r="L26" s="2" t="n"/>
    </row>
    <row r="27">
      <c r="A27" s="44" t="inlineStr">
        <is>
          <t>Longitudes tomadas del computo metrico (planilla N 3, item 4.1.10).</t>
        </is>
      </c>
      <c r="B27" s="2" t="n"/>
      <c r="C27" s="2" t="n"/>
      <c r="D27" s="2" t="n"/>
      <c r="E27" s="2" t="n"/>
      <c r="F27" s="2" t="n"/>
      <c r="G27" s="2" t="n"/>
      <c r="H27" s="2" t="n"/>
      <c r="I27" s="2" t="n"/>
      <c r="J27" s="2" t="n"/>
      <c r="K27" s="2" t="n"/>
      <c r="L27" s="2" t="n"/>
    </row>
  </sheetData>
  <mergeCells count="11">
    <mergeCell ref="C2:E2"/>
    <mergeCell ref="A19:L19"/>
    <mergeCell ref="A1:L1"/>
    <mergeCell ref="A4:L4"/>
    <mergeCell ref="B2:B3"/>
    <mergeCell ref="A2:A3"/>
    <mergeCell ref="H2:J2"/>
    <mergeCell ref="F2:F3"/>
    <mergeCell ref="K2:K3"/>
    <mergeCell ref="G2:G3"/>
    <mergeCell ref="L2:L3"/>
  </mergeCells>
  <conditionalFormatting sqref="K4:K24">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5" t="inlineStr">
        <is>
          <t>DATOS DE PARTIDA - HIPOTESIS DE CALCULO</t>
        </is>
      </c>
      <c r="B1" s="2" t="n"/>
      <c r="C1" s="2" t="n"/>
      <c r="D1" s="2" t="n"/>
      <c r="E1" s="2" t="n"/>
      <c r="F1" s="2" t="n"/>
    </row>
    <row r="2">
      <c r="A2" s="44" t="inlineStr">
        <is>
          <t>Celdas verdes: editables. La planilla recalcula sola.</t>
        </is>
      </c>
      <c r="B2" s="2" t="n"/>
      <c r="C2" s="2" t="n"/>
      <c r="D2" s="2" t="n"/>
      <c r="E2" s="2" t="n"/>
      <c r="F2" s="2" t="n"/>
    </row>
    <row r="3">
      <c r="A3" s="2" t="n"/>
      <c r="B3" s="2" t="n"/>
      <c r="C3" s="2" t="n"/>
      <c r="D3" s="2" t="n"/>
      <c r="E3" s="2" t="n"/>
      <c r="F3" s="2" t="n"/>
    </row>
    <row r="4">
      <c r="A4" s="46" t="inlineStr">
        <is>
          <t>MATERIALES</t>
        </is>
      </c>
      <c r="B4" s="47" t="inlineStr">
        <is>
          <t>valor</t>
        </is>
      </c>
      <c r="C4" s="47" t="inlineStr">
        <is>
          <t>unidad</t>
        </is>
      </c>
      <c r="D4" s="2" t="n"/>
      <c r="E4" s="2" t="n"/>
      <c r="F4" s="2" t="n"/>
    </row>
    <row r="5">
      <c r="A5" s="48" t="inlineStr">
        <is>
          <t>Hormigon H-21   f'c</t>
        </is>
      </c>
      <c r="B5" s="49" t="n">
        <v>210</v>
      </c>
      <c r="C5" s="11" t="inlineStr">
        <is>
          <t>kg/cm2</t>
        </is>
      </c>
      <c r="D5" s="2" t="n"/>
      <c r="E5" s="2" t="n"/>
      <c r="F5" s="2" t="n"/>
    </row>
    <row r="6">
      <c r="A6" s="48" t="inlineStr">
        <is>
          <t>Acero 42/50   fy</t>
        </is>
      </c>
      <c r="B6" s="49" t="n">
        <v>4200</v>
      </c>
      <c r="C6" s="11" t="inlineStr">
        <is>
          <t>kg/cm2</t>
        </is>
      </c>
      <c r="D6" s="2" t="n"/>
      <c r="E6" s="2" t="n"/>
      <c r="F6" s="2" t="n"/>
    </row>
    <row r="7">
      <c r="A7" s="48" t="inlineStr">
        <is>
          <t>Peso especifico H.A.</t>
        </is>
      </c>
      <c r="B7" s="49" t="n">
        <v>2400</v>
      </c>
      <c r="C7" s="11" t="inlineStr">
        <is>
          <t>kg/m3</t>
        </is>
      </c>
      <c r="D7" s="2" t="n"/>
      <c r="E7" s="2" t="n"/>
      <c r="F7" s="2" t="n"/>
    </row>
    <row r="8">
      <c r="A8" s="48" t="inlineStr">
        <is>
          <t>phi flexion</t>
        </is>
      </c>
      <c r="B8" s="49" t="n">
        <v>0.9</v>
      </c>
      <c r="C8" s="11" t="inlineStr">
        <is>
          <t>-</t>
        </is>
      </c>
      <c r="D8" s="2" t="n"/>
      <c r="E8" s="2" t="n"/>
      <c r="F8" s="2" t="n"/>
    </row>
    <row r="9">
      <c r="A9" s="48" t="inlineStr">
        <is>
          <t>phi corte</t>
        </is>
      </c>
      <c r="B9" s="49" t="n">
        <v>0.75</v>
      </c>
      <c r="C9" s="11" t="inlineStr">
        <is>
          <t>-</t>
        </is>
      </c>
      <c r="D9" s="2" t="n"/>
      <c r="E9" s="2" t="n"/>
      <c r="F9" s="2" t="n"/>
    </row>
    <row r="10">
      <c r="A10" s="48" t="inlineStr">
        <is>
          <t>Coef. mayoracion permanente</t>
        </is>
      </c>
      <c r="B10" s="49" t="n">
        <v>1.2</v>
      </c>
      <c r="C10" s="11" t="inlineStr">
        <is>
          <t>-</t>
        </is>
      </c>
      <c r="D10" s="2" t="n"/>
      <c r="E10" s="2" t="n"/>
      <c r="F10" s="2" t="n"/>
    </row>
    <row r="11">
      <c r="A11" s="48" t="inlineStr">
        <is>
          <t>Coef. mayoracion sobrecarga</t>
        </is>
      </c>
      <c r="B11" s="49" t="n">
        <v>1.6</v>
      </c>
      <c r="C11" s="11" t="inlineStr">
        <is>
          <t>-</t>
        </is>
      </c>
      <c r="D11" s="2" t="n"/>
      <c r="E11" s="2" t="n"/>
      <c r="F11" s="2" t="n"/>
    </row>
    <row r="12">
      <c r="A12" s="2" t="n"/>
      <c r="B12" s="2" t="n"/>
      <c r="C12" s="2" t="n"/>
      <c r="D12" s="2" t="n"/>
      <c r="E12" s="2" t="n"/>
      <c r="F12" s="2" t="n"/>
    </row>
    <row r="13">
      <c r="A13" s="46" t="inlineStr">
        <is>
          <t>PAQUETES DE CARGA</t>
        </is>
      </c>
      <c r="B13" s="3" t="inlineStr">
        <is>
          <t>g (kg/m2)</t>
        </is>
      </c>
      <c r="C13" s="3" t="inlineStr">
        <is>
          <t>q (kg/m2)</t>
        </is>
      </c>
      <c r="D13" s="3" t="inlineStr">
        <is>
          <t>h muro (m)</t>
        </is>
      </c>
      <c r="E13" s="3" t="inlineStr">
        <is>
          <t>B trib. (m)</t>
        </is>
      </c>
      <c r="F13" s="3" t="inlineStr">
        <is>
          <t>composicion</t>
        </is>
      </c>
    </row>
    <row r="14">
      <c r="A14" s="50" t="inlineStr">
        <is>
          <t>PA</t>
        </is>
      </c>
      <c r="B14" s="51" t="n">
        <v>550</v>
      </c>
      <c r="C14" s="51" t="n">
        <v>200</v>
      </c>
      <c r="D14" s="52" t="n">
        <v>2.6</v>
      </c>
      <c r="E14" s="52" t="n">
        <v>2</v>
      </c>
      <c r="F14" s="32" t="inlineStr">
        <is>
          <t>Losa 12 cm 300 + contrapiso 130 + carpeta 42 + piso 50 + cielorraso 20</t>
        </is>
      </c>
    </row>
    <row r="15">
      <c r="A15" s="50" t="inlineStr">
        <is>
          <t>TECHO</t>
        </is>
      </c>
      <c r="B15" s="51" t="n">
        <v>560</v>
      </c>
      <c r="C15" s="51" t="n">
        <v>100</v>
      </c>
      <c r="D15" s="52" t="n">
        <v>1</v>
      </c>
      <c r="E15" s="52" t="n">
        <v>2</v>
      </c>
      <c r="F15" s="32" t="inlineStr">
        <is>
          <t>Losa 12 cm 300 + contrapiso pendiente 140 + carpeta 42 + aislacion 50 + cielorraso 20</t>
        </is>
      </c>
    </row>
    <row r="16">
      <c r="A16" s="48" t="inlineStr">
        <is>
          <t>Mamposteria sobre viga</t>
        </is>
      </c>
      <c r="B16" s="49" t="n">
        <v>250</v>
      </c>
      <c r="C16" s="11" t="inlineStr">
        <is>
          <t>kg/m2</t>
        </is>
      </c>
      <c r="D16" s="2" t="n"/>
      <c r="E16" s="2" t="n"/>
      <c r="F16" s="53" t="inlineStr">
        <is>
          <t>Ladrillo hueco 18 cm + revoque en ambas caras</t>
        </is>
      </c>
    </row>
    <row r="17">
      <c r="A17" s="2" t="n"/>
      <c r="B17" s="2" t="n"/>
      <c r="C17" s="2" t="n"/>
      <c r="D17" s="2" t="n"/>
      <c r="E17" s="2" t="n"/>
      <c r="F17" s="2" t="n"/>
    </row>
    <row r="18">
      <c r="A18" s="46" t="inlineStr">
        <is>
          <t>COEFICIENTES SEGUN ESQUEMA</t>
        </is>
      </c>
      <c r="B18" s="3" t="inlineStr">
        <is>
          <t>M tramo</t>
        </is>
      </c>
      <c r="C18" s="3" t="inlineStr">
        <is>
          <t>M apoyo</t>
        </is>
      </c>
      <c r="D18" s="3" t="inlineStr">
        <is>
          <t>Reaccion</t>
        </is>
      </c>
      <c r="E18" s="3" t="inlineStr">
        <is>
          <t>L/d min</t>
        </is>
      </c>
      <c r="F18" s="2" t="n"/>
    </row>
    <row r="19">
      <c r="A19" s="48" t="inlineStr">
        <is>
          <t>Simplemente apoyada</t>
        </is>
      </c>
      <c r="B19" s="54" t="n">
        <v>0.125</v>
      </c>
      <c r="C19" s="54" t="n">
        <v>0</v>
      </c>
      <c r="D19" s="54" t="n">
        <v>0.5</v>
      </c>
      <c r="E19" s="55" t="n">
        <v>16</v>
      </c>
      <c r="F19" s="2" t="n"/>
    </row>
    <row r="20">
      <c r="A20" s="48" t="inlineStr">
        <is>
          <t>Continua</t>
        </is>
      </c>
      <c r="B20" s="54" t="n">
        <v>0.07142999999999999</v>
      </c>
      <c r="C20" s="54" t="n">
        <v>0.1</v>
      </c>
      <c r="D20" s="54" t="n">
        <v>0.575</v>
      </c>
      <c r="E20" s="55" t="n">
        <v>21</v>
      </c>
      <c r="F20" s="2" t="n"/>
    </row>
    <row r="21">
      <c r="A21" s="48" t="inlineStr">
        <is>
          <t>Empotrada-apoyada</t>
        </is>
      </c>
      <c r="B21" s="54" t="n">
        <v>0.07031</v>
      </c>
      <c r="C21" s="54" t="n">
        <v>0.125</v>
      </c>
      <c r="D21" s="54" t="n">
        <v>0.625</v>
      </c>
      <c r="E21" s="55" t="n">
        <v>18.5</v>
      </c>
      <c r="F21" s="2" t="n"/>
    </row>
    <row r="22">
      <c r="A22" s="48" t="inlineStr">
        <is>
          <t>Biempotrada</t>
        </is>
      </c>
      <c r="B22" s="54" t="n">
        <v>0.04167</v>
      </c>
      <c r="C22" s="54" t="n">
        <v>0.08333</v>
      </c>
      <c r="D22" s="54" t="n">
        <v>0.5</v>
      </c>
      <c r="E22" s="55" t="n">
        <v>21</v>
      </c>
      <c r="F22" s="2" t="n"/>
    </row>
    <row r="23">
      <c r="A23" s="48" t="inlineStr">
        <is>
          <t>Voladizo</t>
        </is>
      </c>
      <c r="B23" s="54" t="n">
        <v>0</v>
      </c>
      <c r="C23" s="54" t="n">
        <v>0.5</v>
      </c>
      <c r="D23" s="54" t="n">
        <v>1</v>
      </c>
      <c r="E23" s="55"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5" t="inlineStr">
        <is>
          <t>DATOS DE PARTIDA - LOSAS</t>
        </is>
      </c>
      <c r="B1" s="2" t="n"/>
      <c r="C1" s="2" t="n"/>
      <c r="D1" s="2" t="n"/>
    </row>
    <row r="2">
      <c r="A2" s="44" t="inlineStr">
        <is>
          <t>Celdas verdes: editables. La planilla recalcula sola.</t>
        </is>
      </c>
      <c r="B2" s="2" t="n"/>
      <c r="C2" s="2" t="n"/>
      <c r="D2" s="2" t="n"/>
    </row>
    <row r="3">
      <c r="A3" s="2" t="n"/>
      <c r="B3" s="2" t="n"/>
      <c r="C3" s="2" t="n"/>
      <c r="D3" s="2" t="n"/>
    </row>
    <row r="4">
      <c r="A4" s="46" t="inlineStr">
        <is>
          <t>MATERIALES Y METODO</t>
        </is>
      </c>
      <c r="B4" s="47" t="inlineStr">
        <is>
          <t>valor</t>
        </is>
      </c>
      <c r="C4" s="47" t="inlineStr">
        <is>
          <t>unidad</t>
        </is>
      </c>
      <c r="D4" s="2" t="n"/>
    </row>
    <row r="5">
      <c r="A5" s="48" t="inlineStr">
        <is>
          <t>Hormigon H-21   f'c</t>
        </is>
      </c>
      <c r="B5" s="49" t="n">
        <v>210</v>
      </c>
      <c r="C5" s="11" t="inlineStr">
        <is>
          <t>kg/cm2</t>
        </is>
      </c>
      <c r="D5" s="2" t="n"/>
    </row>
    <row r="6">
      <c r="A6" s="48" t="inlineStr">
        <is>
          <t>Acero 42/50   fy</t>
        </is>
      </c>
      <c r="B6" s="49" t="n">
        <v>4200</v>
      </c>
      <c r="C6" s="11" t="inlineStr">
        <is>
          <t>kg/cm2</t>
        </is>
      </c>
      <c r="D6" s="2" t="n"/>
    </row>
    <row r="7">
      <c r="A7" s="48" t="inlineStr">
        <is>
          <t>Tension admisible del acero</t>
        </is>
      </c>
      <c r="B7" s="49" t="n">
        <v>2400</v>
      </c>
      <c r="C7" s="11" t="inlineStr">
        <is>
          <t>kg/cm2</t>
        </is>
      </c>
      <c r="D7" s="2" t="n"/>
    </row>
    <row r="8">
      <c r="A8" s="48" t="inlineStr">
        <is>
          <t>Brazo elastico  z / h</t>
        </is>
      </c>
      <c r="B8" s="49" t="n">
        <v>0.9</v>
      </c>
      <c r="C8" s="11" t="inlineStr">
        <is>
          <t>-</t>
        </is>
      </c>
      <c r="D8" s="2" t="n"/>
    </row>
    <row r="9">
      <c r="A9" s="48" t="inlineStr">
        <is>
          <t>Peso especifico H.A.</t>
        </is>
      </c>
      <c r="B9" s="49" t="n">
        <v>2400</v>
      </c>
      <c r="C9" s="11" t="inlineStr">
        <is>
          <t>kg/m3</t>
        </is>
      </c>
      <c r="D9" s="2" t="n"/>
    </row>
    <row r="10">
      <c r="A10" s="48" t="inlineStr">
        <is>
          <t>Recubrimiento</t>
        </is>
      </c>
      <c r="B10" s="49" t="n">
        <v>1.5</v>
      </c>
      <c r="C10" s="11" t="inlineStr">
        <is>
          <t>cm</t>
        </is>
      </c>
      <c r="D10" s="2" t="n"/>
    </row>
    <row r="11">
      <c r="A11" s="48" t="inlineStr">
        <is>
          <t>Separacion maxima</t>
        </is>
      </c>
      <c r="B11" s="49" t="n">
        <v>20</v>
      </c>
      <c r="C11" s="11" t="inlineStr">
        <is>
          <t>cm</t>
        </is>
      </c>
      <c r="D11" s="2" t="n"/>
    </row>
    <row r="12">
      <c r="A12" s="48" t="inlineStr">
        <is>
          <t>Armadura de reparticion</t>
        </is>
      </c>
      <c r="B12" s="49" t="n">
        <v>0.2</v>
      </c>
      <c r="C12" s="11" t="inlineStr">
        <is>
          <t>de la principal</t>
        </is>
      </c>
      <c r="D12" s="2" t="n"/>
    </row>
    <row r="13">
      <c r="A13" s="48" t="inlineStr">
        <is>
          <t>Reparticion minima</t>
        </is>
      </c>
      <c r="B13" s="49" t="n">
        <v>0.3</v>
      </c>
      <c r="C13" s="11" t="inlineStr">
        <is>
          <t>cm2/m</t>
        </is>
      </c>
      <c r="D13" s="2" t="n"/>
    </row>
    <row r="14">
      <c r="A14" s="2" t="n"/>
      <c r="B14" s="2" t="n"/>
      <c r="C14" s="2" t="n"/>
      <c r="D14" s="2" t="n"/>
    </row>
    <row r="15">
      <c r="A15" s="46" t="inlineStr">
        <is>
          <t>CARGAS POR NIVEL</t>
        </is>
      </c>
      <c r="B15" s="3" t="inlineStr">
        <is>
          <t>terminaciones (kg/m2)</t>
        </is>
      </c>
      <c r="C15" s="3" t="inlineStr">
        <is>
          <t>q (kg/m2)</t>
        </is>
      </c>
      <c r="D15" s="3" t="inlineStr">
        <is>
          <t>composicion</t>
        </is>
      </c>
    </row>
    <row r="16">
      <c r="A16" s="50" t="inlineStr">
        <is>
          <t>S/PB</t>
        </is>
      </c>
      <c r="B16" s="49" t="n">
        <v>242</v>
      </c>
      <c r="C16" s="49" t="n">
        <v>200</v>
      </c>
      <c r="D16" s="32" t="inlineStr">
        <is>
          <t>Contrapiso 130 + carpeta 42 + piso 50 + cielorraso 20.  q vivienda 200</t>
        </is>
      </c>
    </row>
    <row r="17">
      <c r="A17" s="50" t="inlineStr">
        <is>
          <t>S/PA</t>
        </is>
      </c>
      <c r="B17" s="49" t="n">
        <v>252</v>
      </c>
      <c r="C17" s="49"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6" t="inlineStr">
        <is>
          <t>GRADO DE EMPOTRAMIENTO</t>
        </is>
      </c>
      <c r="B20" s="3" t="inlineStr">
        <is>
          <t>coef. M</t>
        </is>
      </c>
      <c r="C20" s="3" t="inlineStr">
        <is>
          <t>coef. R</t>
        </is>
      </c>
      <c r="D20" s="3" t="inlineStr">
        <is>
          <t>esquema</t>
        </is>
      </c>
    </row>
    <row r="21">
      <c r="A21" s="56" t="inlineStr">
        <is>
          <t>1/8</t>
        </is>
      </c>
      <c r="B21" s="54" t="n">
        <v>0.125</v>
      </c>
      <c r="C21" s="57" t="n">
        <v>0.5</v>
      </c>
      <c r="D21" s="58" t="inlineStr">
        <is>
          <t>Simplemente apoyada</t>
        </is>
      </c>
    </row>
    <row r="22">
      <c r="A22" s="56" t="inlineStr">
        <is>
          <t>1/10</t>
        </is>
      </c>
      <c r="B22" s="54" t="n">
        <v>0.1</v>
      </c>
      <c r="C22" s="57" t="n">
        <v>0.55</v>
      </c>
      <c r="D22" s="58" t="inlineStr">
        <is>
          <t>Continua</t>
        </is>
      </c>
    </row>
    <row r="23">
      <c r="A23" s="56" t="inlineStr">
        <is>
          <t>1/12</t>
        </is>
      </c>
      <c r="B23" s="54" t="n">
        <v>0.0833</v>
      </c>
      <c r="C23" s="57" t="n">
        <v>0.5</v>
      </c>
      <c r="D23" s="58" t="inlineStr">
        <is>
          <t>Biempotrada</t>
        </is>
      </c>
    </row>
    <row r="24">
      <c r="A24" s="56" t="inlineStr">
        <is>
          <t>1/14</t>
        </is>
      </c>
      <c r="B24" s="54" t="n">
        <v>0.07140000000000001</v>
      </c>
      <c r="C24" s="57" t="n">
        <v>0.575</v>
      </c>
      <c r="D24" s="58" t="inlineStr">
        <is>
          <t>Continua</t>
        </is>
      </c>
    </row>
    <row r="25">
      <c r="A25" s="56" t="inlineStr">
        <is>
          <t>1/2</t>
        </is>
      </c>
      <c r="B25" s="54" t="n">
        <v>0.5</v>
      </c>
      <c r="C25" s="57" t="n">
        <v>1</v>
      </c>
      <c r="D25" s="58"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5" t="inlineStr">
        <is>
          <t>DATOS DE PARTIDA - COLUMNAS</t>
        </is>
      </c>
      <c r="B1" s="2" t="n"/>
      <c r="C1" s="2" t="n"/>
    </row>
    <row r="2">
      <c r="A2" s="2" t="n"/>
      <c r="B2" s="2" t="n"/>
      <c r="C2" s="2" t="n"/>
    </row>
    <row r="3">
      <c r="A3" s="46" t="inlineStr">
        <is>
          <t>MATERIALES Y CRITERIOS</t>
        </is>
      </c>
      <c r="B3" s="47" t="inlineStr">
        <is>
          <t>valor</t>
        </is>
      </c>
      <c r="C3" s="47" t="inlineStr">
        <is>
          <t>unidad</t>
        </is>
      </c>
    </row>
    <row r="4">
      <c r="A4" s="48" t="inlineStr">
        <is>
          <t>Hormigon H-21   f'c</t>
        </is>
      </c>
      <c r="B4" s="49" t="n">
        <v>210</v>
      </c>
      <c r="C4" s="11" t="inlineStr">
        <is>
          <t>kg/cm2</t>
        </is>
      </c>
    </row>
    <row r="5">
      <c r="A5" s="48" t="inlineStr">
        <is>
          <t>Acero 42/50   fy</t>
        </is>
      </c>
      <c r="B5" s="49" t="n">
        <v>4200</v>
      </c>
      <c r="C5" s="11" t="inlineStr">
        <is>
          <t>kg/cm2</t>
        </is>
      </c>
    </row>
    <row r="6">
      <c r="A6" s="48" t="inlineStr">
        <is>
          <t>Peso especifico H.A.</t>
        </is>
      </c>
      <c r="B6" s="49" t="n">
        <v>2400</v>
      </c>
      <c r="C6" s="11" t="inlineStr">
        <is>
          <t>kg/m3</t>
        </is>
      </c>
    </row>
    <row r="7">
      <c r="A7" s="48" t="inlineStr">
        <is>
          <t>phi compresion (estribos)</t>
        </is>
      </c>
      <c r="B7" s="49" t="n">
        <v>0.65</v>
      </c>
      <c r="C7" s="11" t="inlineStr">
        <is>
          <t>-</t>
        </is>
      </c>
    </row>
    <row r="8">
      <c r="A8" s="48" t="inlineStr">
        <is>
          <t>Cuantia minima</t>
        </is>
      </c>
      <c r="B8" s="49" t="n">
        <v>0.008</v>
      </c>
      <c r="C8" s="11" t="inlineStr">
        <is>
          <t>de la seccion</t>
        </is>
      </c>
    </row>
    <row r="9">
      <c r="A9" s="48" t="inlineStr">
        <is>
          <t>Altura PB</t>
        </is>
      </c>
      <c r="B9" s="49" t="n">
        <v>3.15</v>
      </c>
      <c r="C9" s="11" t="inlineStr">
        <is>
          <t>m</t>
        </is>
      </c>
    </row>
    <row r="10">
      <c r="A10" s="48" t="inlineStr">
        <is>
          <t>Altura PA</t>
        </is>
      </c>
      <c r="B10" s="49"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5" t="inlineStr">
        <is>
          <t>DATOS DE PARTIDA - PILOTES</t>
        </is>
      </c>
      <c r="B1" s="2" t="n"/>
      <c r="C1" s="2" t="n"/>
      <c r="D1" s="2" t="n"/>
    </row>
    <row r="2">
      <c r="A2" s="2" t="n"/>
      <c r="B2" s="2" t="n"/>
      <c r="C2" s="2" t="n"/>
      <c r="D2" s="2" t="n"/>
    </row>
    <row r="3">
      <c r="A3" s="46" t="inlineStr">
        <is>
          <t>PARAMETRO</t>
        </is>
      </c>
      <c r="B3" s="47" t="inlineStr">
        <is>
          <t>valor</t>
        </is>
      </c>
      <c r="C3" s="47" t="inlineStr">
        <is>
          <t>unidad</t>
        </is>
      </c>
      <c r="D3" s="46" t="inlineStr">
        <is>
          <t>origen</t>
        </is>
      </c>
    </row>
    <row r="4">
      <c r="A4" s="48" t="inlineStr">
        <is>
          <t>Carga admisible por pilote</t>
        </is>
      </c>
      <c r="B4" s="49" t="n">
        <v>12</v>
      </c>
      <c r="C4" s="11" t="inlineStr">
        <is>
          <t>t</t>
        </is>
      </c>
      <c r="D4" s="53" t="inlineStr">
        <is>
          <t>ESTIMADA. Falta el estudio de suelos: cambiar aca y recalcula todo.</t>
        </is>
      </c>
    </row>
    <row r="5">
      <c r="A5" s="48" t="inlineStr">
        <is>
          <t>Tension admisible del terreno</t>
        </is>
      </c>
      <c r="B5" s="49" t="n">
        <v>2</v>
      </c>
      <c r="C5" s="11" t="inlineStr">
        <is>
          <t>kg/cm2</t>
        </is>
      </c>
      <c r="D5" s="53" t="inlineStr">
        <is>
          <t>Dato real, tomado del encabezado del calculo de bases.</t>
        </is>
      </c>
    </row>
    <row r="6">
      <c r="A6" s="48" t="inlineStr">
        <is>
          <t>Diametro del pilote</t>
        </is>
      </c>
      <c r="B6" s="49" t="n">
        <v>30</v>
      </c>
      <c r="C6" s="11" t="inlineStr">
        <is>
          <t>cm</t>
        </is>
      </c>
      <c r="D6" s="53" t="inlineStr">
        <is>
          <t>Nota del plano: todos los pilotes son O30.</t>
        </is>
      </c>
    </row>
    <row r="7">
      <c r="A7" s="48" t="inlineStr">
        <is>
          <t>Profundidad</t>
        </is>
      </c>
      <c r="B7" s="49" t="n">
        <v>-4.5</v>
      </c>
      <c r="C7" s="11" t="inlineStr">
        <is>
          <t>m</t>
        </is>
      </c>
      <c r="D7" s="53" t="inlineStr">
        <is>
          <t>Nota del plano: h = -4,50 m desde la cota +-0,00 de vereda.</t>
        </is>
      </c>
    </row>
    <row r="8">
      <c r="A8" s="48" t="inlineStr">
        <is>
          <t>Coef. de mayoracion adoptado</t>
        </is>
      </c>
      <c r="B8" s="49" t="n">
        <v>1.4</v>
      </c>
      <c r="C8" s="11" t="inlineStr">
        <is>
          <t>-</t>
        </is>
      </c>
      <c r="D8" s="53" t="inlineStr">
        <is>
          <t>Para pasar de carga mayorada a carga de servicio.</t>
        </is>
      </c>
    </row>
    <row r="9">
      <c r="A9" s="2" t="n"/>
      <c r="B9" s="2" t="n"/>
      <c r="C9" s="2" t="n"/>
      <c r="D9" s="2" t="n"/>
    </row>
    <row r="10">
      <c r="A10" s="2" t="n"/>
      <c r="B10" s="2" t="n"/>
      <c r="C10" s="2" t="n"/>
      <c r="D10" s="2" t="n"/>
    </row>
    <row r="11">
      <c r="A11" s="59" t="inlineStr">
        <is>
          <t>COMO SE ESTIMO LA CARGA ADMISIBLE</t>
        </is>
      </c>
      <c r="B11" s="2" t="n"/>
      <c r="C11" s="2" t="n"/>
      <c r="D11" s="2" t="n"/>
    </row>
    <row r="12">
      <c r="A12" s="44" t="inlineStr">
        <is>
          <t>Pilote O30 de 4,50 m: area de punta 0,0707 m2, area lateral 4,24 m2.</t>
        </is>
      </c>
      <c r="B12" s="2" t="n"/>
      <c r="C12" s="2" t="n"/>
      <c r="D12" s="2" t="n"/>
    </row>
    <row r="13">
      <c r="A13" s="44" t="inlineStr">
        <is>
          <t>Punta  0,0707 x 20 t/m2 = 1,4 t.</t>
        </is>
      </c>
      <c r="B13" s="2" t="n"/>
      <c r="C13" s="2" t="n"/>
      <c r="D13" s="2" t="n"/>
    </row>
    <row r="14">
      <c r="A14" s="44" t="inlineStr">
        <is>
          <t>Friccion lateral  4,24 x adherencia:  1,5 t/m2 -&gt; 6,4 t   |   3,0 t/m2 -&gt; 12,7 t.</t>
        </is>
      </c>
      <c r="B14" s="2" t="n"/>
      <c r="C14" s="2" t="n"/>
      <c r="D14" s="2" t="n"/>
    </row>
    <row r="15">
      <c r="A15" s="44" t="inlineStr">
        <is>
          <t>Total segun adherencia: entre 7,8 y 14,1 t. Se adopta 12 t como valor de trabajo.</t>
        </is>
      </c>
      <c r="B15" s="2" t="n"/>
      <c r="C15" s="2" t="n"/>
      <c r="D15" s="2" t="n"/>
    </row>
    <row r="16">
      <c r="A16" s="44" t="inlineStr"/>
      <c r="B16" s="2" t="n"/>
      <c r="C16" s="2" t="n"/>
      <c r="D16" s="2" t="n"/>
    </row>
    <row r="17">
      <c r="A17" s="41" t="inlineStr">
        <is>
          <t>LECTURA INVERSA, que es la util mientras no haya estudio de suelos:</t>
        </is>
      </c>
      <c r="B17" s="2" t="n"/>
      <c r="C17" s="2" t="n"/>
      <c r="D17" s="2" t="n"/>
    </row>
    <row r="18">
      <c r="A18" s="44" t="inlineStr">
        <is>
          <t>con las cargas de esta planilla, para que el esquema funcione cada pilote</t>
        </is>
      </c>
      <c r="B18" s="2" t="n"/>
      <c r="C18" s="2" t="n"/>
      <c r="D18" s="2" t="n"/>
    </row>
    <row r="19">
      <c r="A19" s="44" t="inlineStr">
        <is>
          <t>tiene que admitir del orden de 20 t. Si el estudio de suelos da menos,</t>
        </is>
      </c>
      <c r="B19" s="2" t="n"/>
      <c r="C19" s="2" t="n"/>
      <c r="D19" s="2" t="n"/>
    </row>
    <row r="20">
      <c r="A20" s="44" t="inlineStr">
        <is>
          <t>faltan pilotes; si da mas, el diseno esta holgado.</t>
        </is>
      </c>
      <c r="B20" s="2" t="n"/>
      <c r="C20" s="2" t="n"/>
      <c r="D20" s="2" t="n"/>
    </row>
    <row r="21">
      <c r="A21" s="44" t="inlineStr"/>
      <c r="B21" s="2" t="n"/>
      <c r="C21" s="2" t="n"/>
      <c r="D21" s="2" t="n"/>
    </row>
    <row r="22">
      <c r="A22" s="44" t="inlineStr">
        <is>
          <t>La tension de 2 kg/cm2 que trae el calculo de bases es la del estrato</t>
        </is>
      </c>
      <c r="B22" s="2" t="n"/>
      <c r="C22" s="2" t="n"/>
      <c r="D22" s="2" t="n"/>
    </row>
    <row r="23">
      <c r="A23" s="44" t="inlineStr">
        <is>
          <t>superficial, donde apoyaban las bases. Los pilotes llegan a -4,50 m y</t>
        </is>
      </c>
      <c r="B23" s="2" t="n"/>
      <c r="C23" s="2" t="n"/>
      <c r="D23" s="2" t="n"/>
    </row>
    <row r="24">
      <c r="A24" s="44" t="inlineStr">
        <is>
          <t>trabajan sobre todo por friccion: son dos cosas distintas.</t>
        </is>
      </c>
      <c r="B24" s="2" t="n"/>
      <c r="C24" s="2" t="n"/>
      <c r="D24"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60" t="inlineStr">
        <is>
          <t>MEMORIA - ILUMINACION Y VENTILACION</t>
        </is>
      </c>
      <c r="B1" s="61" t="inlineStr"/>
    </row>
    <row r="2">
      <c r="A2" s="61" t="inlineStr"/>
      <c r="B2" s="62" t="inlineStr"/>
    </row>
    <row r="3">
      <c r="A3" s="61" t="inlineStr">
        <is>
          <t>CRITERIO</t>
        </is>
      </c>
      <c r="B3" s="61" t="inlineStr">
        <is>
          <t>Area de iluminacion requerida = superficie del local / 9</t>
        </is>
      </c>
    </row>
    <row r="4">
      <c r="A4" s="61" t="inlineStr"/>
      <c r="B4" s="62" t="inlineStr">
        <is>
          <t>Area de ventilacion requerida = un tercio de la de iluminacion = superficie / 27</t>
        </is>
      </c>
    </row>
    <row r="5">
      <c r="A5" s="61" t="inlineStr"/>
      <c r="B5" s="62" t="inlineStr">
        <is>
          <t>Area proyectada: la vidriada de la carpinteria para iluminacion, y la parte que</t>
        </is>
      </c>
    </row>
    <row r="6">
      <c r="A6" s="61" t="inlineStr"/>
      <c r="B6" s="62" t="inlineStr">
        <is>
          <t>realmente abre para ventilacion.</t>
        </is>
      </c>
    </row>
    <row r="7">
      <c r="A7" s="61" t="inlineStr"/>
      <c r="B7" s="62" t="inlineStr"/>
    </row>
    <row r="8">
      <c r="A8" s="61" t="inlineStr">
        <is>
          <t>RESULTADO</t>
        </is>
      </c>
      <c r="B8" s="61" t="inlineStr">
        <is>
          <t>Los trece locales cumplen holgadamente iluminacion y ventilacion.</t>
        </is>
      </c>
    </row>
    <row r="9">
      <c r="A9" s="61" t="inlineStr"/>
      <c r="B9" s="62" t="inlineStr"/>
    </row>
    <row r="10">
      <c r="A10" s="61" t="inlineStr">
        <is>
          <t>CORRECCION</t>
        </is>
      </c>
      <c r="B10" s="61" t="inlineStr">
        <is>
          <t>Local 07, Hall / ingreso: la planilla original traia 0,66 y 0,22, que son los</t>
        </is>
      </c>
    </row>
    <row r="11">
      <c r="A11" s="61" t="inlineStr"/>
      <c r="B11" s="62" t="inlineStr">
        <is>
          <t>valores del local 03 (Lavadero, 6,0 m2). Con sus 3,50 x 2,15 = 7,53 m2 corresponden</t>
        </is>
      </c>
    </row>
    <row r="12">
      <c r="A12" s="61" t="inlineStr"/>
      <c r="B12" s="62" t="inlineStr">
        <is>
          <t>0,84 y 0,28. No cambia el resultado, pero el numero no cerraba con la superficie</t>
        </is>
      </c>
    </row>
    <row r="13">
      <c r="A13" s="61" t="inlineStr"/>
      <c r="B13" s="62" t="inlineStr">
        <is>
          <t>declarada y un verificador lo puede observar.</t>
        </is>
      </c>
    </row>
    <row r="14">
      <c r="A14" s="61" t="inlineStr"/>
      <c r="B14" s="62" t="inlineStr"/>
    </row>
    <row r="15">
      <c r="A15" s="61" t="inlineStr">
        <is>
          <t>A REVISAR</t>
        </is>
      </c>
      <c r="B15" s="61" t="inlineStr">
        <is>
          <t>Local 14, Estar / Playroom: declara 5,00 m2 de ventilacion sobre 5,00 m2 de</t>
        </is>
      </c>
    </row>
    <row r="16">
      <c r="A16" s="61" t="inlineStr"/>
      <c r="B16" s="62" t="inlineStr">
        <is>
          <t>iluminacion, es decir una carpinteria enteramente abrible. En los demas locales</t>
        </is>
      </c>
    </row>
    <row r="17">
      <c r="A17" s="61" t="inlineStr"/>
      <c r="B17" s="62" t="inlineStr">
        <is>
          <t>la relacion es del 50 por ciento. Conviene verificar la carpinteria real.</t>
        </is>
      </c>
    </row>
    <row r="18">
      <c r="A18" s="61" t="inlineStr"/>
      <c r="B18" s="62" t="inlineStr"/>
    </row>
    <row r="19">
      <c r="A19" s="61" t="inlineStr"/>
      <c r="B19" s="62" t="inlineStr">
        <is>
          <t>Local 02, Deposito: figura sin exigencia por no ser habitable. Son 11,8 m2</t>
        </is>
      </c>
    </row>
    <row r="20">
      <c r="A20" s="61" t="inlineStr"/>
      <c r="B20" s="62" t="inlineStr">
        <is>
          <t>cerrados: si se lo considera habitable hay que preverle conducto.</t>
        </is>
      </c>
    </row>
    <row r="21">
      <c r="A21" s="61" t="inlineStr"/>
      <c r="B21" s="62" t="inlineStr"/>
    </row>
    <row r="22">
      <c r="A22" s="61" t="inlineStr">
        <is>
          <t>REDONDEOS</t>
        </is>
      </c>
      <c r="B22" s="61" t="inlineStr">
        <is>
          <t>Diferencias menores que no afectan: local 03 da 5,95 m2 y figura 6,0;</t>
        </is>
      </c>
    </row>
    <row r="23">
      <c r="A23" s="61" t="inlineStr"/>
      <c r="B23" s="62"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0"/>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VIGAS H°A°</t>
        </is>
      </c>
      <c r="B1" s="61" t="inlineStr"/>
    </row>
    <row r="2">
      <c r="A2" s="61" t="inlineStr"/>
      <c r="B2" s="62" t="inlineStr"/>
    </row>
    <row r="3">
      <c r="A3" s="61" t="inlineStr">
        <is>
          <t>NORMATIVA</t>
        </is>
      </c>
      <c r="B3" s="61" t="inlineStr">
        <is>
          <t>CIRSOC 201. Hormigon H-21 (f'c 210 kg/cm2). Acero 42/50 (fy 4200 kg/cm2).</t>
        </is>
      </c>
    </row>
    <row r="4">
      <c r="A4" s="61" t="inlineStr">
        <is>
          <t>UNIDADES</t>
        </is>
      </c>
      <c r="B4" s="61" t="inlineStr">
        <is>
          <t>Longitudes en m y cm. Cargas en kg/m. Momentos en kgm. Tensiones en kg/cm2.</t>
        </is>
      </c>
    </row>
    <row r="5">
      <c r="A5" s="61" t="inlineStr">
        <is>
          <t>DIMENSIONES</t>
        </is>
      </c>
      <c r="B5" s="61" t="inlineStr">
        <is>
          <t>b = ancho | h = altura util | d = altura total (igual criterio que la planilla de catedra).</t>
        </is>
      </c>
    </row>
    <row r="6">
      <c r="A6" s="61" t="inlineStr"/>
      <c r="B6" s="62" t="inlineStr"/>
    </row>
    <row r="7">
      <c r="A7" s="61" t="inlineStr">
        <is>
          <t>1. CARGAS</t>
        </is>
      </c>
      <c r="B7" s="61" t="inlineStr"/>
    </row>
    <row r="8">
      <c r="A8" s="61" t="inlineStr">
        <is>
          <t>Entrepiso PA</t>
        </is>
      </c>
      <c r="B8" s="62" t="inlineStr">
        <is>
          <t>Losa maciza 12 cm 300 + contrapiso 130 + carpeta 42 + piso 50 + cielorraso 20</t>
        </is>
      </c>
    </row>
    <row r="9">
      <c r="A9" s="61" t="inlineStr"/>
      <c r="B9" s="62" t="inlineStr">
        <is>
          <t>g = 550 kg/m2       q = 200 kg/m2 (vivienda)</t>
        </is>
      </c>
    </row>
    <row r="10">
      <c r="A10" s="61" t="inlineStr">
        <is>
          <t>Azotea</t>
        </is>
      </c>
      <c r="B10" s="62" t="inlineStr">
        <is>
          <t>Losa 300 + contrapiso de pendiente 140 + carpeta 42 + aislacion y membrana 50 + cielorraso 20</t>
        </is>
      </c>
    </row>
    <row r="11">
      <c r="A11" s="61" t="inlineStr"/>
      <c r="B11" s="62" t="inlineStr">
        <is>
          <t>g = 560 kg/m2       q = 100 kg/m2 (cubierta no accesible)</t>
        </is>
      </c>
    </row>
    <row r="12">
      <c r="A12" s="61" t="inlineStr">
        <is>
          <t>Mamposteria</t>
        </is>
      </c>
      <c r="B12" s="62" t="inlineStr">
        <is>
          <t>250 kg/m2. Altura 2,60 m en PA y 1,00 m de parapeto en azotea.</t>
        </is>
      </c>
    </row>
    <row r="13">
      <c r="A13" s="61" t="inlineStr">
        <is>
          <t>Peso propio</t>
        </is>
      </c>
      <c r="B13" s="62" t="inlineStr">
        <is>
          <t>2400 kg/m3 x b x d, viga por viga.</t>
        </is>
      </c>
    </row>
    <row r="14">
      <c r="A14" s="61" t="inlineStr">
        <is>
          <t>Carga de calculo</t>
        </is>
      </c>
      <c r="B14" s="62" t="inlineStr">
        <is>
          <t>p = 1,2 (g x B + peso propio + muro) + 1,6 (q x B)        B = ancho tributario</t>
        </is>
      </c>
    </row>
    <row r="15">
      <c r="A15" s="61" t="inlineStr"/>
      <c r="B15" s="62" t="inlineStr"/>
    </row>
    <row r="16">
      <c r="A16" s="61" t="inlineStr">
        <is>
          <t>2. SOLICITACIONES</t>
        </is>
      </c>
      <c r="B16" s="61" t="inlineStr">
        <is>
          <t>Coeficientes segun esquema (tabla en hoja Datos):</t>
        </is>
      </c>
    </row>
    <row r="17">
      <c r="A17" s="61" t="inlineStr"/>
      <c r="B17" s="62" t="inlineStr">
        <is>
          <t xml:space="preserve">  Simplemente apoyada   M = pL2/8                    R = 0,500 pL</t>
        </is>
      </c>
    </row>
    <row r="18">
      <c r="A18" s="61" t="inlineStr"/>
      <c r="B18" s="62" t="inlineStr">
        <is>
          <t xml:space="preserve">  Continua              M = pL2/14   Mapoyo = pL2/10  R = 0,575 pL</t>
        </is>
      </c>
    </row>
    <row r="19">
      <c r="A19" s="61" t="inlineStr"/>
      <c r="B19" s="62" t="inlineStr">
        <is>
          <t xml:space="preserve">  Empotrada-apoyada     M = 9pL2/128 Mapoyo = pL2/8   R = 0,625 pL</t>
        </is>
      </c>
    </row>
    <row r="20">
      <c r="A20" s="61" t="inlineStr"/>
      <c r="B20" s="62" t="inlineStr">
        <is>
          <t xml:space="preserve">  Biempotrada           M = pL2/24   Mapoyo = pL2/12  R = 0,500 pL</t>
        </is>
      </c>
    </row>
    <row r="21">
      <c r="A21" s="61" t="inlineStr"/>
      <c r="B21" s="62" t="inlineStr">
        <is>
          <t xml:space="preserve">  Voladizo                           Mapoyo = pL2/2   R = 1,000 pL</t>
        </is>
      </c>
    </row>
    <row r="22">
      <c r="A22" s="61" t="inlineStr"/>
      <c r="B22" s="62" t="inlineStr"/>
    </row>
    <row r="23">
      <c r="A23" s="61" t="inlineStr">
        <is>
          <t>3. FLEXION</t>
        </is>
      </c>
      <c r="B23" s="61" t="inlineStr">
        <is>
          <t>k = M / (phi b h2 f'c)      w = 1 - RAIZ(1 - 2k)      As = w b h f'c / fy</t>
        </is>
      </c>
    </row>
    <row r="24">
      <c r="A24" s="61" t="inlineStr"/>
      <c r="B24" s="62" t="inlineStr">
        <is>
          <t>As min = 0,0033 b h       As max = 0,0163 b h (0,75 de la cuantia balanceada)</t>
        </is>
      </c>
    </row>
    <row r="25">
      <c r="A25" s="61" t="inlineStr"/>
      <c r="B25" s="62" t="inlineStr">
        <is>
          <t>Si la armadura no entra en una capa se disponen dos y el recubrimiento pasa a 6 cm.</t>
        </is>
      </c>
    </row>
    <row r="26">
      <c r="A26" s="61" t="inlineStr"/>
      <c r="B26" s="62" t="inlineStr"/>
    </row>
    <row r="27">
      <c r="A27" s="61" t="inlineStr">
        <is>
          <t>4. CORTE</t>
        </is>
      </c>
      <c r="B27" s="61" t="inlineStr">
        <is>
          <t>T = R / (b x 0,85 h)       tension tangencial en el apoyo</t>
        </is>
      </c>
    </row>
    <row r="28">
      <c r="A28" s="61" t="inlineStr"/>
      <c r="B28" s="62" t="inlineStr">
        <is>
          <t>Vc = 0,53 RAIZ(f'c) b h        phi Vn = 0,75 (Vc + Av fy h / s)  &gt;=  R</t>
        </is>
      </c>
    </row>
    <row r="29">
      <c r="A29" s="61" t="inlineStr"/>
      <c r="B29" s="62" t="inlineStr">
        <is>
          <t>Av = 2 ramas. Se aumenta el diametro antes que cerrar la separacion por debajo de 10 cm.</t>
        </is>
      </c>
    </row>
    <row r="30">
      <c r="A30" s="61" t="inlineStr"/>
      <c r="B30" s="62" t="inlineStr"/>
    </row>
    <row r="31">
      <c r="A31" s="61" t="inlineStr">
        <is>
          <t>5. FLECHA</t>
        </is>
      </c>
      <c r="B31" s="61" t="inlineStr">
        <is>
          <t>Altura minima: simplemente apoyada L/16, un extremo continuo L/18,5,</t>
        </is>
      </c>
    </row>
    <row r="32">
      <c r="A32" s="61" t="inlineStr"/>
      <c r="B32" s="62" t="inlineStr">
        <is>
          <t>ambos extremos continuos L/21, voladizo L/8.</t>
        </is>
      </c>
    </row>
    <row r="33">
      <c r="A33" s="61" t="inlineStr"/>
      <c r="B33" s="62" t="inlineStr"/>
    </row>
    <row r="34">
      <c r="A34" s="61" t="inlineStr">
        <is>
          <t>6. VIGAS INVERTIDAS</t>
        </is>
      </c>
      <c r="B34" s="61" t="inlineStr">
        <is>
          <t>Las vigas de BORDE son invertidas: sobresalen 70 cm por encima del fondo de</t>
        </is>
      </c>
    </row>
    <row r="35">
      <c r="A35" s="61" t="inlineStr"/>
      <c r="B35" s="62" t="inlineStr">
        <is>
          <t>losa (cotas N.F.L +3,50 / N.S.V +4,20 y N.F.L +6,80 / N.S.V +7,50 del plano).</t>
        </is>
      </c>
    </row>
    <row r="36">
      <c r="A36" s="61" t="inlineStr"/>
      <c r="B36" s="62" t="inlineStr">
        <is>
          <t>losa. Lo confirman las cotas del plano y el hecho de que el cielorraso sea de</t>
        </is>
      </c>
    </row>
    <row r="37">
      <c r="A37" s="61" t="inlineStr"/>
      <c r="B37" s="62" t="inlineStr">
        <is>
          <t>NOTA: el computo metrico lista una VI 06 de 15x70x14,00 que no existe en obra;</t>
        </is>
      </c>
    </row>
    <row r="38">
      <c r="A38" s="61" t="inlineStr"/>
      <c r="B38" s="62" t="inlineStr">
        <is>
          <t>por eso no figura en esta planilla. La cuarta cara de L07 apoya en otro elemento.</t>
        </is>
      </c>
    </row>
    <row r="39">
      <c r="A39" s="61" t="inlineStr"/>
      <c r="B39" s="62" t="inlineStr">
        <is>
          <t>hormigon visto: una viga colgante quedaria a la vista. El computo metrico las</t>
        </is>
      </c>
    </row>
    <row r="40">
      <c r="A40" s="61" t="inlineStr"/>
      <c r="B40" s="62" t="inlineStr">
        <is>
          <t>agrupa a las 28 bajo el rubro Vigas invertidas 15x70.</t>
        </is>
      </c>
    </row>
    <row r="41">
      <c r="A41" s="61" t="inlineStr"/>
      <c r="B41" s="62" t="inlineStr">
        <is>
          <t>Esto define donde la losa aporta ala comprimida:</t>
        </is>
      </c>
    </row>
    <row r="42">
      <c r="A42" s="61" t="inlineStr"/>
      <c r="B42" s="62" t="inlineStr">
        <is>
          <t xml:space="preserve">  viga COLGANTE  -&gt; la losa esta arriba  -&gt; ala util en el TRAMO (momento positivo)</t>
        </is>
      </c>
    </row>
    <row r="43">
      <c r="A43" s="61" t="inlineStr"/>
      <c r="B43" s="62" t="inlineStr">
        <is>
          <t xml:space="preserve">  viga INVERTIDA -&gt; la losa esta abajo   -&gt; ala util en el APOYO (momento negativo)</t>
        </is>
      </c>
    </row>
    <row r="44">
      <c r="A44" s="61" t="inlineStr"/>
      <c r="B44" s="62" t="inlineStr">
        <is>
          <t>En la zona con ala se adopta b efectivo = min(L/4 ; b + 16 hf); en la otra, la</t>
        </is>
      </c>
    </row>
    <row r="45">
      <c r="A45" s="61" t="inlineStr"/>
      <c r="B45" s="62" t="inlineStr">
        <is>
          <t>seccion es rectangular de ancho b. Las columnas b ef tramo y b ef apoyo lo muestran.</t>
        </is>
      </c>
    </row>
    <row r="46">
      <c r="A46" s="61" t="inlineStr"/>
      <c r="B46" s="62" t="inlineStr">
        <is>
          <t>PENDIENTE: las invertidas de BORDE (VI 01a, 01b, 07a, 07b, 07c, 11a, 11b, 11c,</t>
        </is>
      </c>
    </row>
    <row r="47">
      <c r="A47" s="61" t="inlineStr"/>
      <c r="B47" s="62" t="inlineStr">
        <is>
          <t>15a y 15b) reciben la reaccion de la losa de un solo lado, excentrica respecto</t>
        </is>
      </c>
    </row>
    <row r="48">
      <c r="A48" s="61" t="inlineStr"/>
      <c r="B48" s="62" t="inlineStr">
        <is>
          <t>de su eje, y quedan sometidas a TORSION. Esta planilla no la verifica.</t>
        </is>
      </c>
    </row>
    <row r="49">
      <c r="A49" s="61" t="inlineStr"/>
      <c r="B49" s="62" t="inlineStr"/>
    </row>
    <row r="50">
      <c r="A50" s="61" t="inlineStr">
        <is>
          <t>7. RESULTADO</t>
        </is>
      </c>
      <c r="B50" s="61" t="inlineStr">
        <is>
          <t>30 vigas: 21 del entrepiso PA y 9 de la losa de techo. 28 verifican.</t>
        </is>
      </c>
    </row>
    <row r="51">
      <c r="A51" s="61" t="inlineStr"/>
      <c r="B51" s="62" t="inlineStr">
        <is>
          <t>VI 02 (15x60, 9,88 m): recibe L02 y L03, B = 2,88 m. La armadura de apoyo</t>
        </is>
      </c>
    </row>
    <row r="52">
      <c r="A52" s="61" t="inlineStr"/>
      <c r="B52" s="62" t="inlineStr">
        <is>
          <t xml:space="preserve">   necesaria ronda los 25 cm2 y supera la cuantia maxima. Los apoyos estan</t>
        </is>
      </c>
    </row>
    <row r="53">
      <c r="A53" s="61" t="inlineStr"/>
      <c r="B53" s="62" t="inlineStr">
        <is>
          <t xml:space="preserve">   confirmados en obra: tabique T07 perpendicular arriba y COL 02 abajo, sin apoyo</t>
        </is>
      </c>
    </row>
    <row r="54">
      <c r="A54" s="61" t="inlineStr"/>
      <c r="B54" s="62" t="inlineStr">
        <is>
          <t xml:space="preserve">   intermedio. Para esta carga la seccion necesaria es 15x75.</t>
        </is>
      </c>
    </row>
    <row r="55">
      <c r="A55" s="61" t="inlineStr"/>
      <c r="B55" s="62" t="inlineStr">
        <is>
          <t>VCH 03a (40x13, 3,83 m). Recibe L03, B = 2,08 m, y no</t>
        </is>
      </c>
    </row>
    <row r="56">
      <c r="A56" s="61" t="inlineStr"/>
      <c r="B56" s="62" t="inlineStr">
        <is>
          <t xml:space="preserve">   verifica: haria falta mas espesor. Tampoco verifica con B = 0,60 m, asi</t>
        </is>
      </c>
    </row>
    <row r="57">
      <c r="A57" s="61" t="inlineStr"/>
      <c r="B57" s="62" t="inlineStr">
        <is>
          <t xml:space="preserve">   que el problema no es la hipotesis de carga sino la relacion luz/espesor. Una viga</t>
        </is>
      </c>
    </row>
    <row r="58">
      <c r="A58" s="61" t="inlineStr"/>
      <c r="B58" s="62" t="inlineStr">
        <is>
          <t xml:space="preserve">   chata del mismo espesor que la losa no puede ser apoyo lineal de un pano de 4,15 m.</t>
        </is>
      </c>
    </row>
    <row r="59">
      <c r="A59" s="61" t="inlineStr"/>
      <c r="B59" s="62" t="inlineStr">
        <is>
          <t xml:space="preserve">   Revisar si tiene un muro debajo que acorte su luz libre.</t>
        </is>
      </c>
    </row>
    <row r="60">
      <c r="A60" s="61" t="inlineStr"/>
      <c r="B60" s="62" t="inlineStr">
        <is>
          <t>VCH 03a (40x13, 3,71 m): excede la cuantia maxima y no llega a la altura minima por</t>
        </is>
      </c>
    </row>
    <row r="61">
      <c r="A61" s="61" t="inlineStr"/>
      <c r="B61" s="62" t="inlineStr">
        <is>
          <t xml:space="preserve">   flecha. Revisar el ancho tributario: si solo recibe el muro y no losa, baja mucho.</t>
        </is>
      </c>
    </row>
    <row r="62">
      <c r="A62" s="61" t="inlineStr"/>
      <c r="B62" s="62" t="inlineStr"/>
    </row>
    <row r="63">
      <c r="A63" s="61" t="inlineStr">
        <is>
          <t>8. ALCANCE</t>
        </is>
      </c>
      <c r="B63" s="62" t="inlineStr">
        <is>
          <t>No se incluyen las 31 vigas de fundacion (VF01 a VF18c): su calculo depende de las</t>
        </is>
      </c>
    </row>
    <row r="64">
      <c r="A64" s="61" t="inlineStr"/>
      <c r="B64" s="62" t="inlineStr">
        <is>
          <t>cargas que bajan por las columnas y corresponde hacerlo despues. Tampoco losas ni columnas.</t>
        </is>
      </c>
    </row>
    <row r="65">
      <c r="A65" s="61" t="inlineStr"/>
      <c r="B65" s="62" t="inlineStr"/>
    </row>
    <row r="66">
      <c r="A66" s="61" t="inlineStr">
        <is>
          <t>LIMITACIONES</t>
        </is>
      </c>
      <c r="B66" s="61" t="inlineStr">
        <is>
          <t>El ancho tributario B esta relevado solo en</t>
        </is>
      </c>
    </row>
    <row r="67">
      <c r="A67" s="61" t="inlineStr"/>
      <c r="B67" s="62" t="inlineStr">
        <is>
          <t>VI 02 (0,80 m) y VCH 03a (2,08 m). En las demas sigue adoptado en 2,00 m, a falta</t>
        </is>
      </c>
    </row>
    <row r="68">
      <c r="A68" s="61" t="inlineStr"/>
      <c r="B68" s="62" t="inlineStr">
        <is>
          <t>hipotesis mas influyente del calculo: ajustarla viga por viga en la columna B trib.</t>
        </is>
      </c>
    </row>
    <row r="69">
      <c r="A69" s="61" t="inlineStr"/>
      <c r="B69" s="62" t="inlineStr">
        <is>
          <t>El esquema se asigno por criterio: continua si integra una serie a-b-c o si supera 5,5 m.</t>
        </is>
      </c>
    </row>
    <row r="70">
      <c r="A70" s="61" t="inlineStr"/>
      <c r="B70" s="62"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60" t="inlineStr">
        <is>
          <t>MEMORIA DE CALCULO - LOSAS</t>
        </is>
      </c>
      <c r="B1" s="61" t="inlineStr"/>
    </row>
    <row r="2">
      <c r="A2" s="61" t="inlineStr"/>
      <c r="B2" s="62" t="inlineStr"/>
    </row>
    <row r="3">
      <c r="A3" s="61" t="inlineStr">
        <is>
          <t>METODO</t>
        </is>
      </c>
      <c r="B3" s="61" t="inlineStr">
        <is>
          <t>Tensiones admisibles, igual criterio que la planilla modelo de la catedra.</t>
        </is>
      </c>
    </row>
    <row r="4">
      <c r="A4" s="61" t="inlineStr"/>
      <c r="B4" s="62" t="inlineStr">
        <is>
          <t>Se verifico contra la fila de ejemplo: momentos y reacciones coinciden exactamente.</t>
        </is>
      </c>
    </row>
    <row r="5">
      <c r="A5" s="61" t="inlineStr">
        <is>
          <t>MATERIALES</t>
        </is>
      </c>
      <c r="B5" s="61" t="inlineStr">
        <is>
          <t>H-21 (f'c 210 kg/cm2). Acero 42/50 (fy 4200). Tension admisible 2400 kg/cm2.</t>
        </is>
      </c>
    </row>
    <row r="6">
      <c r="A6" s="61" t="inlineStr">
        <is>
          <t>DIMENSIONES</t>
        </is>
      </c>
      <c r="B6" s="61" t="inlineStr">
        <is>
          <t>h = altura util | d = espesor total. Recubrimiento 1,5 cm.</t>
        </is>
      </c>
    </row>
    <row r="7">
      <c r="A7" s="61" t="inlineStr"/>
      <c r="B7" s="62" t="inlineStr"/>
    </row>
    <row r="8">
      <c r="A8" s="61" t="inlineStr">
        <is>
          <t>1. CARGAS</t>
        </is>
      </c>
      <c r="B8" s="61" t="inlineStr">
        <is>
          <t>p = peso propio + terminaciones + q      (cargas de servicio, sin mayorar)</t>
        </is>
      </c>
    </row>
    <row r="9">
      <c r="A9" s="61" t="inlineStr"/>
      <c r="B9" s="62" t="inlineStr">
        <is>
          <t>Peso propio = 2400 x d / 100, calculado con el espesor propio de cada losa.</t>
        </is>
      </c>
    </row>
    <row r="10">
      <c r="A10" s="61" t="inlineStr">
        <is>
          <t>S/PB</t>
        </is>
      </c>
      <c r="B10" s="62" t="inlineStr">
        <is>
          <t>Terminaciones 242 kg/m2 (contrapiso 130 + carpeta 42 + piso 50 + cielorraso 20)</t>
        </is>
      </c>
    </row>
    <row r="11">
      <c r="A11" s="61" t="inlineStr"/>
      <c r="B11" s="62" t="inlineStr">
        <is>
          <t>q = 200 kg/m2 (vivienda)</t>
        </is>
      </c>
    </row>
    <row r="12">
      <c r="A12" s="61" t="inlineStr">
        <is>
          <t>S/PA</t>
        </is>
      </c>
      <c r="B12" s="62" t="inlineStr">
        <is>
          <t>Terminaciones 252 kg/m2 (contrapiso pendiente 140 + carpeta 42 + aislacion 50 +</t>
        </is>
      </c>
    </row>
    <row r="13">
      <c r="A13" s="61" t="inlineStr"/>
      <c r="B13" s="62" t="inlineStr">
        <is>
          <t>cielorraso 20).  q = 100 kg/m2 (azotea no accesible)</t>
        </is>
      </c>
    </row>
    <row r="14">
      <c r="A14" s="61" t="inlineStr"/>
      <c r="B14" s="62" t="inlineStr"/>
    </row>
    <row r="15">
      <c r="A15" s="61" t="inlineStr">
        <is>
          <t>2. SOLICITACIONES</t>
        </is>
      </c>
      <c r="B15" s="61" t="inlineStr">
        <is>
          <t>M = coeficiente x p x L2, segun el grado de empotramiento:</t>
        </is>
      </c>
    </row>
    <row r="16">
      <c r="A16" s="61" t="inlineStr"/>
      <c r="B16" s="62" t="inlineStr">
        <is>
          <t xml:space="preserve">  1/8 simplemente apoyada    1/10 y 1/14 continua    1/12 biempotrada    1/2 voladizo</t>
        </is>
      </c>
    </row>
    <row r="17">
      <c r="A17" s="61" t="inlineStr"/>
      <c r="B17" s="62" t="inlineStr">
        <is>
          <t>R = coeficiente x p x L. En voladizo Rx = p x L y Ry no corresponde.</t>
        </is>
      </c>
    </row>
    <row r="18">
      <c r="A18" s="61" t="inlineStr"/>
      <c r="B18" s="62" t="inlineStr"/>
    </row>
    <row r="19">
      <c r="A19" s="61" t="inlineStr">
        <is>
          <t>3. ARMADURA</t>
        </is>
      </c>
      <c r="B19" s="61" t="inlineStr">
        <is>
          <t>As = M x 100 / (2400 x 0,9 x h)        [cm2/m]</t>
        </is>
      </c>
    </row>
    <row r="20">
      <c r="A20" s="61" t="inlineStr"/>
      <c r="B20" s="62" t="inlineStr">
        <is>
          <t>separacion = 100 x area de la barra / As, redondeada, con maximo 20 cm</t>
        </is>
      </c>
    </row>
    <row r="21">
      <c r="A21" s="61" t="inlineStr"/>
      <c r="B21" s="62" t="inlineStr">
        <is>
          <t>Armadura de reparticion = As / 5, con un minimo de 0,30 cm2/m</t>
        </is>
      </c>
    </row>
    <row r="22">
      <c r="A22" s="61" t="inlineStr"/>
      <c r="B22" s="62" t="inlineStr"/>
    </row>
    <row r="23">
      <c r="A23" s="61" t="inlineStr">
        <is>
          <t>4. ESPESORES</t>
        </is>
      </c>
      <c r="B23" s="61" t="inlineStr">
        <is>
          <t>Los espesores d se leyeron del plano: estan escritos debajo del rotulo de cada losa.</t>
        </is>
      </c>
    </row>
    <row r="24">
      <c r="A24" s="61" t="inlineStr"/>
      <c r="B24" s="62" t="inlineStr">
        <is>
          <t>S/PB:  L01 11 | L02 9 | L03 13 | L04 11 | L05 11 | L06 8 | L07 12 | L08 10</t>
        </is>
      </c>
    </row>
    <row r="25">
      <c r="A25" s="61" t="inlineStr"/>
      <c r="B25" s="62" t="inlineStr">
        <is>
          <t>S/PA:  L09 13 | L10 12</t>
        </is>
      </c>
    </row>
    <row r="26">
      <c r="A26" s="61" t="inlineStr"/>
      <c r="B26" s="62" t="inlineStr"/>
    </row>
    <row r="27">
      <c r="A27" s="61" t="inlineStr">
        <is>
          <t>5. LUCES</t>
        </is>
      </c>
      <c r="B27" s="61" t="inlineStr">
        <is>
          <t>Relevadas en obra y aportadas por el proyectista. Dos losas son voladizo</t>
        </is>
      </c>
    </row>
    <row r="28">
      <c r="A28" s="61" t="inlineStr"/>
      <c r="B28" s="62" t="inlineStr">
        <is>
          <t>(L02 de 0,80 m y L08 de 0,75 m) y se calculan con M = p L2 / 2.</t>
        </is>
      </c>
    </row>
    <row r="29">
      <c r="A29" s="61" t="inlineStr"/>
      <c r="B29" s="62" t="inlineStr"/>
    </row>
    <row r="30">
      <c r="A30" s="61" t="inlineStr">
        <is>
          <t>6. LOSAS CRUZADAS</t>
        </is>
      </c>
      <c r="B30" s="62" t="inlineStr">
        <is>
          <t>L07 (4,85 x 5,60) y L10 (4,85 x 6,00) apoyan en los cuatro bordes y su relacion</t>
        </is>
      </c>
    </row>
    <row r="31">
      <c r="A31" s="61" t="inlineStr"/>
      <c r="B31" s="62" t="inlineStr">
        <is>
          <t>de lados es menor que 2, por lo que trabajan en las dos direcciones.</t>
        </is>
      </c>
    </row>
    <row r="32">
      <c r="A32" s="61" t="inlineStr"/>
      <c r="B32" s="62" t="inlineStr">
        <is>
          <t>Se reparte la carga por el metodo de Marcus:   kx = ly4 / (lx4 + ly4)</t>
        </is>
      </c>
    </row>
    <row r="33">
      <c r="A33" s="61" t="inlineStr"/>
      <c r="B33" s="62" t="inlineStr">
        <is>
          <t xml:space="preserve">  L07: ly/lx = 1,15  -&gt;  64% en la direccion corta, 36% en la larga</t>
        </is>
      </c>
    </row>
    <row r="34">
      <c r="A34" s="61" t="inlineStr"/>
      <c r="B34" s="62" t="inlineStr">
        <is>
          <t xml:space="preserve">  L10: ly/lx = 1,24  -&gt;  70% en la direccion corta, 30% en la larga</t>
        </is>
      </c>
    </row>
    <row r="35">
      <c r="A35" s="61" t="inlineStr"/>
      <c r="B35" s="62" t="inlineStr">
        <is>
          <t>Cada una ocupa dos renglones, uno por direccion, con la fraccion de carga que</t>
        </is>
      </c>
    </row>
    <row r="36">
      <c r="A36" s="61" t="inlineStr"/>
      <c r="B36" s="62" t="inlineStr">
        <is>
          <t>le toca ya aplicada en la columna CARGAS. Las dos armaduras se cruzan en obra:</t>
        </is>
      </c>
    </row>
    <row r="37">
      <c r="A37" s="61" t="inlineStr"/>
      <c r="B37" s="62" t="inlineStr">
        <is>
          <t>la de la direccion corta va abajo, la de la larga arriba de aquella.</t>
        </is>
      </c>
    </row>
    <row r="38">
      <c r="A38" s="61" t="inlineStr"/>
      <c r="B38" s="62" t="inlineStr">
        <is>
          <t>La columna auxiliar luz transv. es la que dispara el reparto: si se borra, la</t>
        </is>
      </c>
    </row>
    <row r="39">
      <c r="A39" s="61" t="inlineStr"/>
      <c r="B39" s="62" t="inlineStr">
        <is>
          <t>fila vuelve a calcularse como losa armada en una direccion.</t>
        </is>
      </c>
    </row>
    <row r="40">
      <c r="A40" s="61" t="inlineStr"/>
      <c r="B40" s="62" t="inlineStr"/>
    </row>
    <row r="41">
      <c r="A41" s="61" t="inlineStr">
        <is>
          <t>LIMITACIONES</t>
        </is>
      </c>
      <c r="B41" s="61" t="inlineStr">
        <is>
          <t>El grado de empotramiento esta cargado en 1/8 salvo los dos voladizos (1/2). Si</t>
        </is>
      </c>
    </row>
    <row r="42">
      <c r="A42" s="61" t="inlineStr"/>
      <c r="B42" s="62" t="inlineStr">
        <is>
          <t>alguna losa es continua sobre una viga corresponde 1/10 o 1/14: corregir en la columna.</t>
        </is>
      </c>
    </row>
    <row r="43">
      <c r="A43" s="61" t="inlineStr"/>
      <c r="B43" s="62" t="inlineStr">
        <is>
          <t>El diagrama de cargas es una imagen fija: si cambias el grado, cambialo a mano.</t>
        </is>
      </c>
    </row>
    <row r="44">
      <c r="A44" s="61" t="inlineStr"/>
      <c r="B44" s="62"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6"/>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COLUMNAS</t>
        </is>
      </c>
      <c r="B1" s="61" t="inlineStr"/>
    </row>
    <row r="2">
      <c r="A2" s="61" t="inlineStr"/>
      <c r="B2" s="62" t="inlineStr"/>
    </row>
    <row r="3">
      <c r="A3" s="61" t="inlineStr">
        <is>
          <t>MATERIALES</t>
        </is>
      </c>
      <c r="B3" s="61" t="inlineStr">
        <is>
          <t>H-21 (f'c 210 kg/cm2). Acero 42/50 (fy 4200). phi compresion 0,65.</t>
        </is>
      </c>
    </row>
    <row r="4">
      <c r="A4" s="61" t="inlineStr"/>
      <c r="B4" s="62" t="inlineStr"/>
    </row>
    <row r="5">
      <c r="A5" s="61" t="inlineStr">
        <is>
          <t>1. RELEVAMIENTO</t>
        </is>
      </c>
      <c r="B5" s="61" t="inlineStr">
        <is>
          <t>Las columnas se identificaron en el plano cruzando el rotulo COL con un rectangulo</t>
        </is>
      </c>
    </row>
    <row r="6">
      <c r="A6" s="61" t="inlineStr"/>
      <c r="B6" s="62" t="inlineStr">
        <is>
          <t>de la misma seccion a menos de 26 pt. Resultaron 9 en PB y 4 en PA.</t>
        </is>
      </c>
    </row>
    <row r="7">
      <c r="A7" s="61" t="inlineStr"/>
      <c r="B7" s="62" t="inlineStr">
        <is>
          <t>Las 4 de PA caen exactamente sobre C6, C7, C8 y C9 de PB, y ademas tienen la misma</t>
        </is>
      </c>
    </row>
    <row r="8">
      <c r="A8" s="61" t="inlineStr"/>
      <c r="B8" s="62" t="inlineStr">
        <is>
          <t>seccion, lo que confirma que la correspondencia entre plantas es correcta.</t>
        </is>
      </c>
    </row>
    <row r="9">
      <c r="A9" s="61" t="inlineStr"/>
      <c r="B9" s="62" t="inlineStr">
        <is>
          <t>La planilla modelo de la catedra tiene 10 columnas en PB: puede faltar una que no</t>
        </is>
      </c>
    </row>
    <row r="10">
      <c r="A10" s="61" t="inlineStr"/>
      <c r="B10" s="62" t="inlineStr">
        <is>
          <t>haya podido resolverse por rotulo. Conviene contarlas en el plano.</t>
        </is>
      </c>
    </row>
    <row r="11">
      <c r="A11" s="61" t="inlineStr"/>
      <c r="B11" s="62" t="inlineStr"/>
    </row>
    <row r="12">
      <c r="A12" s="61" t="inlineStr">
        <is>
          <t>2. ALTURAS</t>
        </is>
      </c>
      <c r="B12" s="61" t="inlineStr">
        <is>
          <t>PB 3,15 m y PA 3,22 m, los mismos valores de la planilla de la catedra, coherentes</t>
        </is>
      </c>
    </row>
    <row r="13">
      <c r="A13" s="61" t="inlineStr"/>
      <c r="B13" s="62" t="inlineStr">
        <is>
          <t>con los niveles del plano (N.F.L +3,50 del entrepiso y +6,80 del techo).</t>
        </is>
      </c>
    </row>
    <row r="14">
      <c r="A14" s="61" t="inlineStr"/>
      <c r="B14" s="62" t="inlineStr"/>
    </row>
    <row r="15">
      <c r="A15" s="61" t="inlineStr">
        <is>
          <t>3. ARMADURA</t>
        </is>
      </c>
      <c r="B15" s="61" t="inlineStr">
        <is>
          <t>As = 0,008 x area (cuantia minima, el mismo criterio de la planilla modelo).</t>
        </is>
      </c>
    </row>
    <row r="16">
      <c r="A16" s="61" t="inlineStr"/>
      <c r="B16" s="62" t="inlineStr">
        <is>
          <t>Se adoptan 4 barras del 12 en todas: 4,52 cm2, que cubre la minima en toda seccion.</t>
        </is>
      </c>
    </row>
    <row r="17">
      <c r="A17" s="61" t="inlineStr"/>
      <c r="B17" s="62" t="inlineStr">
        <is>
          <t>Separacion de estribos = min(12 x diam. long. ; 48 x diam. estribo ; lado menor),</t>
        </is>
      </c>
    </row>
    <row r="18">
      <c r="A18" s="61" t="inlineStr"/>
      <c r="B18" s="62" t="inlineStr">
        <is>
          <t>redondeada hacia abajo a multiplo de 5. Para 4d12 con estribo d6 da 10 cm.</t>
        </is>
      </c>
    </row>
    <row r="19">
      <c r="A19" s="61" t="inlineStr"/>
      <c r="B19" s="62" t="inlineStr">
        <is>
          <t>La planilla de la catedra adopta 20 cm: ese valor supera el limite reglamentario.</t>
        </is>
      </c>
    </row>
    <row r="20">
      <c r="A20" s="61" t="inlineStr"/>
      <c r="B20" s="62" t="inlineStr"/>
    </row>
    <row r="21">
      <c r="A21" s="61" t="inlineStr">
        <is>
          <t>4. CAPACIDAD</t>
        </is>
      </c>
      <c r="B21" s="61" t="inlineStr">
        <is>
          <t>phi Pn = 0,65 x 0,80 x [0,85 f'c (Ag - As) + fy As]     (columna zunchada con estribos)</t>
        </is>
      </c>
    </row>
    <row r="22">
      <c r="A22" s="61" t="inlineStr"/>
      <c r="B22" s="62" t="inlineStr">
        <is>
          <t xml:space="preserve">  15x30 con 4d12 -&gt; 51,2 t        20x20 con 4d12 -&gt; 46,6 t</t>
        </is>
      </c>
    </row>
    <row r="23">
      <c r="A23" s="61" t="inlineStr"/>
      <c r="B23" s="62" t="inlineStr"/>
    </row>
    <row r="24">
      <c r="A24" s="61" t="inlineStr">
        <is>
          <t>5. CARGAS</t>
        </is>
      </c>
      <c r="B24" s="61" t="inlineStr">
        <is>
          <t>La columna CARGA (t) viene cargada con una bajada automatica: suma de las</t>
        </is>
      </c>
    </row>
    <row r="25">
      <c r="A25" s="61" t="inlineStr"/>
      <c r="B25" s="62" t="inlineStr">
        <is>
          <t>reacciones de las vigas que apoyan en cada columna (tomadas de la planilla de</t>
        </is>
      </c>
    </row>
    <row r="26">
      <c r="A26" s="61" t="inlineStr"/>
      <c r="B26" s="62" t="inlineStr">
        <is>
          <t>vigas), mas el peso propio, mas lo que baja de la columna del nivel superior.</t>
        </is>
      </c>
    </row>
    <row r="27">
      <c r="A27" s="61" t="inlineStr"/>
      <c r="B27" s="62" t="inlineStr">
        <is>
          <t>ES UNA CARGA PROVISORIA Y ES UN PISO, NO EL VALOR REAL: 20 de los 60 extremos</t>
        </is>
      </c>
    </row>
    <row r="28">
      <c r="A28" s="61" t="inlineStr"/>
      <c r="B28" s="62" t="inlineStr">
        <is>
          <t>de viga no pudieron asignarse a ninguna columna porque apoyan en otra viga, en</t>
        </is>
      </c>
    </row>
    <row r="29">
      <c r="A29" s="61" t="inlineStr"/>
      <c r="B29" s="62" t="inlineStr">
        <is>
          <t>un tabique o en la medianera, y esas reacciones no estan sumadas.</t>
        </is>
      </c>
    </row>
    <row r="30">
      <c r="A30" s="61" t="inlineStr"/>
      <c r="B30" s="62" t="inlineStr">
        <is>
          <t>Para cerrarla hay que indicar, para cada uno de esos 20 extremos, en que apoya.</t>
        </is>
      </c>
    </row>
    <row r="31">
      <c r="A31" s="61" t="inlineStr"/>
      <c r="B31" s="62" t="inlineStr">
        <is>
          <t>Mientras tanto la columna es editable: al corregir un valor todo recalcula.</t>
        </is>
      </c>
    </row>
    <row r="32">
      <c r="A32" s="61" t="inlineStr"/>
      <c r="B32" s="62" t="inlineStr">
        <is>
          <t>Ademas son cargas MAYORADAS, coherentes con la planilla de vigas. Si la catedra</t>
        </is>
      </c>
    </row>
    <row r="33">
      <c r="A33" s="61" t="inlineStr"/>
      <c r="B33" s="62" t="inlineStr">
        <is>
          <t>pide cargas de servicio, dividir por el coeficiente que corresponda.</t>
        </is>
      </c>
    </row>
    <row r="34">
      <c r="A34" s="61" t="inlineStr"/>
      <c r="B34" s="62" t="inlineStr"/>
    </row>
    <row r="35">
      <c r="A35" s="61" t="inlineStr">
        <is>
          <t>6. ESBELTEZ</t>
        </is>
      </c>
      <c r="B35" s="61" t="inlineStr">
        <is>
          <t>Todas las columnas son esbeltas: con lado menor de 15 cm y 3,15 m de altura,</t>
        </is>
      </c>
    </row>
    <row r="36">
      <c r="A36" s="61" t="inlineStr"/>
      <c r="B36" s="62" t="inlineStr">
        <is>
          <t>k lu / r = 70, muy por encima del limite de 34 por debajo del cual se puede</t>
        </is>
      </c>
    </row>
    <row r="37">
      <c r="A37" s="61" t="inlineStr"/>
      <c r="B37" s="62" t="inlineStr">
        <is>
          <t>despreciar el pandeo. En la practica el llenado de mamposteria las arriostra, pero</t>
        </is>
      </c>
    </row>
    <row r="38">
      <c r="A38" s="61" t="inlineStr"/>
      <c r="B38" s="62" t="inlineStr">
        <is>
          <t>si la catedra lo pide hay que verificar segundo orden. La planilla lo marca.</t>
        </is>
      </c>
    </row>
    <row r="39">
      <c r="A39" s="61" t="inlineStr"/>
      <c r="B39" s="62" t="inlineStr"/>
    </row>
    <row r="40">
      <c r="A40" s="61" t="inlineStr">
        <is>
          <t>7. C4, A REVISAR</t>
        </is>
      </c>
      <c r="B40" s="61" t="inlineStr">
        <is>
          <t>C4 figura en el plano como 10x10 y recibe el extremo de VI 01a, con 17 t de</t>
        </is>
      </c>
    </row>
    <row r="41">
      <c r="A41" s="61" t="inlineStr"/>
      <c r="B41" s="62" t="inlineStr">
        <is>
          <t>reaccion. Una columna de 10x10 no toma esa carga. VI 01a corre sobre la medianera,</t>
        </is>
      </c>
    </row>
    <row r="42">
      <c r="A42" s="61" t="inlineStr"/>
      <c r="B42" s="62" t="inlineStr">
        <is>
          <t>asi que lo mas probable es que apoye en el muro y ese 10x10 no sea una columna.</t>
        </is>
      </c>
    </row>
    <row r="43">
      <c r="A43" s="61" t="inlineStr"/>
      <c r="B43" s="62" t="inlineStr"/>
    </row>
    <row r="44">
      <c r="A44" s="61" t="inlineStr">
        <is>
          <t>LIMITACIONES</t>
        </is>
      </c>
      <c r="B44" s="61" t="inlineStr">
        <is>
          <t>Trabajo academico. Requiere verificacion y firma de profesional matriculado.</t>
        </is>
      </c>
    </row>
    <row r="45">
      <c r="A45" s="61" t="inlineStr"/>
      <c r="B45" s="62" t="inlineStr">
        <is>
          <t>No se verifica flexion compuesta: las columnas de borde reciben momento de las</t>
        </is>
      </c>
    </row>
    <row r="46">
      <c r="A46" s="61" t="inlineStr"/>
      <c r="B46" s="62"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3"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4"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4" t="inlineStr">
        <is>
          <t>Cota no legible: completar</t>
        </is>
      </c>
    </row>
    <row r="14">
      <c r="A14" s="23" t="inlineStr">
        <is>
          <t>VF06b</t>
        </is>
      </c>
      <c r="B14" s="11" t="n"/>
      <c r="C14" s="11" t="n"/>
      <c r="D14" s="11" t="n"/>
      <c r="E14" s="64"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4"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2026-10-21T23:23:49Z</dcterms:created>
  <dcterms:modified xmlns:dcterms="http://purl.org/dc/terms/" xmlns:xsi="http://www.w3.org/2001/XMLSchema-instance" xsi:type="dcterms:W3CDTF">2026-10-21T23:23:49Z</dcterms:modified>
</cp:coreProperties>
</file>