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higrotermica'!$A$1:$M$40</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SUM(D15:D19)</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PF04</t>
        </is>
      </c>
      <c r="B16" s="9" t="n">
        <v>0.6</v>
      </c>
      <c r="C16" s="9" t="n">
        <v>2.7</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VA01</t>
        </is>
      </c>
      <c r="B17" s="9" t="n">
        <v>3</v>
      </c>
      <c r="C17" s="9" t="n">
        <v>0.75</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n"/>
      <c r="B18" s="9" t="n"/>
      <c r="C18" s="9" t="n"/>
      <c r="D18" s="9">
        <f>IF(COUNT(B18,C18)&lt;2,"",B18*C18)</f>
        <v/>
      </c>
      <c r="E18" s="21" t="n"/>
      <c r="F18" s="20">
        <f>IF(OR(D18="",$E$15=""),"",D18/$E$15)</f>
        <v/>
      </c>
      <c r="G18" s="9">
        <f>IF(A18="","",Datos_higro!$B$4)</f>
        <v/>
      </c>
      <c r="H18" s="10" t="n"/>
      <c r="I18" s="10" t="n"/>
      <c r="J18" s="9" t="n"/>
      <c r="K18" s="10" t="n"/>
      <c r="L18" s="9">
        <f>IF(I18="","",IFERROR(VLOOKUP(I18,Datos_higro!$A$21:$B$28,2,0),""))</f>
        <v/>
      </c>
      <c r="M18" s="10">
        <f>IF(OR(D18="",J18=""),"",IF(J18&lt;=G18,"CUMPLE","NO CUMPLE"))</f>
        <v/>
      </c>
    </row>
    <row r="19" ht="70" customHeight="1">
      <c r="A19" s="14" t="n"/>
      <c r="B19" s="13" t="n"/>
      <c r="C19" s="13" t="n"/>
      <c r="D19" s="13">
        <f>IF(COUNT(B19,C19)&lt;2,"",B19*C19)</f>
        <v/>
      </c>
      <c r="E19" s="22" t="n"/>
      <c r="F19" s="23">
        <f>IF(OR(D19="",$E$15=""),"",D19/$E$15)</f>
        <v/>
      </c>
      <c r="G19" s="13">
        <f>IF(A19="","",Datos_higro!$B$4)</f>
        <v/>
      </c>
      <c r="H19" s="14" t="n"/>
      <c r="I19" s="14" t="n"/>
      <c r="J19" s="13" t="n"/>
      <c r="K19" s="14" t="n"/>
      <c r="L19" s="13">
        <f>IF(I19="","",IFERROR(VLOOKUP(I19,Datos_higro!$A$21:$B$28,2,0),""))</f>
        <v/>
      </c>
      <c r="M19" s="14">
        <f>IF(OR(D19="",J19=""),"",IF(J19&lt;=G19,"CUMPLE","NO CUMPLE"))</f>
        <v/>
      </c>
    </row>
    <row r="20" ht="39.7" customHeight="1">
      <c r="A20" s="5" t="inlineStr">
        <is>
          <t>Plano: Fachada Sudeste</t>
        </is>
      </c>
      <c r="B20" s="4" t="n"/>
      <c r="C20" s="4" t="n"/>
      <c r="D20" s="4" t="n"/>
      <c r="E20" s="4" t="n"/>
      <c r="F20" s="4" t="n"/>
      <c r="G20" s="4" t="n"/>
      <c r="H20" s="4" t="n"/>
      <c r="I20" s="4" t="n"/>
      <c r="J20" s="4" t="n"/>
      <c r="K20" s="4" t="n"/>
      <c r="L20" s="4" t="n"/>
      <c r="M20" s="4" t="n"/>
    </row>
    <row r="21" ht="70" customHeight="1">
      <c r="A21" s="10" t="inlineStr">
        <is>
          <t>PF02</t>
        </is>
      </c>
      <c r="B21" s="9" t="n">
        <v>3</v>
      </c>
      <c r="C21" s="9" t="n">
        <v>3.75</v>
      </c>
      <c r="D21" s="9">
        <f>IF(COUNT(B21,C21)&lt;2,"",B21*C21)</f>
        <v/>
      </c>
      <c r="E21" s="19">
        <f>SUM(D21:D26)</f>
        <v/>
      </c>
      <c r="F21" s="20">
        <f>IF(OR(D21="",$E$21=""),"",D21/$E$21)</f>
        <v/>
      </c>
      <c r="G21" s="9">
        <f>IF(A21="","",Datos_higro!$B$4)</f>
        <v/>
      </c>
      <c r="H21" s="10" t="inlineStr">
        <is>
          <t>DVH 6+9+3+3 (aluminio linea A30)</t>
        </is>
      </c>
      <c r="I21" s="10" t="inlineStr">
        <is>
          <t>Sin Proteccion</t>
        </is>
      </c>
      <c r="J21" s="9" t="n">
        <v>2.8</v>
      </c>
      <c r="K21" s="10" t="inlineStr">
        <is>
          <t>Sudeste</t>
        </is>
      </c>
      <c r="L21" s="9">
        <f>IF(I21="","",IFERROR(VLOOKUP(I21,Datos_higro!$A$21:$B$28,2,0),""))</f>
        <v/>
      </c>
      <c r="M21" s="10">
        <f>IF(OR(D21="",J21=""),"",IF(J21&lt;=G21,"CUMPLE","NO CUMPLE"))</f>
        <v/>
      </c>
    </row>
    <row r="22" ht="70" customHeight="1">
      <c r="A22" s="10" t="inlineStr">
        <is>
          <t>PV04</t>
        </is>
      </c>
      <c r="B22" s="9" t="n">
        <v>3</v>
      </c>
      <c r="C22" s="9" t="n">
        <v>2.06</v>
      </c>
      <c r="D22" s="9">
        <f>IF(COUNT(B22,C22)&lt;2,"",B22*C22)</f>
        <v/>
      </c>
      <c r="E22" s="21" t="n"/>
      <c r="F22" s="20">
        <f>IF(OR(D22="",$E$21=""),"",D22/$E$21)</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 (2)</t>
        </is>
      </c>
      <c r="B23" s="9" t="n">
        <v>2.95</v>
      </c>
      <c r="C23" s="9" t="n">
        <v>1.5</v>
      </c>
      <c r="D23" s="9">
        <f>IF(COUNT(B23,C23)&lt;2,"",B23*C23)</f>
        <v/>
      </c>
      <c r="E23" s="21" t="n"/>
      <c r="F23" s="20">
        <f>IF(OR(D23="",$E$21=""),"",D23/$E$21)</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VA05</t>
        </is>
      </c>
      <c r="B24" s="9" t="n">
        <v>2.52</v>
      </c>
      <c r="C24" s="9" t="n">
        <v>1.4</v>
      </c>
      <c r="D24" s="9">
        <f>IF(COUNT(B24,C24)&lt;2,"",B24*C24)</f>
        <v/>
      </c>
      <c r="E24" s="21" t="n"/>
      <c r="F24" s="20">
        <f>IF(OR(D24="",$E$21=""),"",D24/$E$21)</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n"/>
      <c r="B25" s="9" t="n"/>
      <c r="C25" s="9" t="n"/>
      <c r="D25" s="9">
        <f>IF(COUNT(B25,C25)&lt;2,"",B25*C25)</f>
        <v/>
      </c>
      <c r="E25" s="21" t="n"/>
      <c r="F25" s="20">
        <f>IF(OR(D25="",$E$21=""),"",D25/$E$21)</f>
        <v/>
      </c>
      <c r="G25" s="9">
        <f>IF(A25="","",Datos_higro!$B$4)</f>
        <v/>
      </c>
      <c r="H25" s="10" t="n"/>
      <c r="I25" s="10" t="n"/>
      <c r="J25" s="9" t="n"/>
      <c r="K25" s="10" t="n"/>
      <c r="L25" s="9">
        <f>IF(I25="","",IFERROR(VLOOKUP(I25,Datos_higro!$A$21:$B$28,2,0),""))</f>
        <v/>
      </c>
      <c r="M25" s="10">
        <f>IF(OR(D25="",J25=""),"",IF(J25&lt;=G25,"CUMPLE","NO CUMPLE"))</f>
        <v/>
      </c>
    </row>
    <row r="26" ht="70" customHeight="1">
      <c r="A26" s="14" t="n"/>
      <c r="B26" s="13" t="n"/>
      <c r="C26" s="13" t="n"/>
      <c r="D26" s="13">
        <f>IF(COUNT(B26,C26)&lt;2,"",B26*C26)</f>
        <v/>
      </c>
      <c r="E26" s="22" t="n"/>
      <c r="F26" s="23">
        <f>IF(OR(D26="",$E$21=""),"",D26/$E$21)</f>
        <v/>
      </c>
      <c r="G26" s="13">
        <f>IF(A26="","",Datos_higro!$B$4)</f>
        <v/>
      </c>
      <c r="H26" s="14" t="n"/>
      <c r="I26" s="14" t="n"/>
      <c r="J26" s="13" t="n"/>
      <c r="K26" s="14" t="n"/>
      <c r="L26" s="13">
        <f>IF(I26="","",IFERROR(VLOOKUP(I26,Datos_higro!$A$21:$B$28,2,0),""))</f>
        <v/>
      </c>
      <c r="M26" s="14">
        <f>IF(OR(D26="",J26=""),"",IF(J26&lt;=G26,"CUMPLE","NO CUMPLE"))</f>
        <v/>
      </c>
    </row>
    <row r="27" ht="39.7" customHeight="1">
      <c r="A27" s="5" t="inlineStr">
        <is>
          <t>Plano: Fachada Noroeste</t>
        </is>
      </c>
      <c r="B27" s="4" t="n"/>
      <c r="C27" s="4" t="n"/>
      <c r="D27" s="4" t="n"/>
      <c r="E27" s="4" t="n"/>
      <c r="F27" s="4" t="n"/>
      <c r="G27" s="4" t="n"/>
      <c r="H27" s="4" t="n"/>
      <c r="I27" s="4" t="n"/>
      <c r="J27" s="4" t="n"/>
      <c r="K27" s="4" t="n"/>
      <c r="L27" s="4" t="n"/>
      <c r="M27" s="4" t="n"/>
    </row>
    <row r="28" ht="70" customHeight="1">
      <c r="A28" s="10" t="inlineStr">
        <is>
          <t>PF03</t>
        </is>
      </c>
      <c r="B28" s="9" t="n">
        <v>3</v>
      </c>
      <c r="C28" s="9" t="n">
        <v>2.88</v>
      </c>
      <c r="D28" s="9">
        <f>IF(COUNT(B28,C28)&lt;2,"",B28*C28)</f>
        <v/>
      </c>
      <c r="E28" s="19">
        <f>SUM(D28:D32)</f>
        <v/>
      </c>
      <c r="F28" s="20">
        <f>IF(OR(D28="",$E$28=""),"",D28/$E$28)</f>
        <v/>
      </c>
      <c r="G28" s="9">
        <f>IF(A28="","",Datos_higro!$B$4)</f>
        <v/>
      </c>
      <c r="H28" s="10" t="inlineStr">
        <is>
          <t>DVH 6+9+3+3 (aluminio linea A30)</t>
        </is>
      </c>
      <c r="I28" s="10" t="inlineStr">
        <is>
          <t>Sin Proteccion</t>
        </is>
      </c>
      <c r="J28" s="9" t="n">
        <v>2.8</v>
      </c>
      <c r="K28" s="10" t="inlineStr">
        <is>
          <t>Noroeste</t>
        </is>
      </c>
      <c r="L28" s="9">
        <f>IF(I28="","",IFERROR(VLOOKUP(I28,Datos_higro!$A$21:$B$28,2,0),""))</f>
        <v/>
      </c>
      <c r="M28" s="10">
        <f>IF(OR(D28="",J28=""),"",IF(J28&lt;=G28,"CUMPLE","NO CUMPLE"))</f>
        <v/>
      </c>
    </row>
    <row r="29" ht="70" customHeight="1">
      <c r="A29" s="10" t="inlineStr">
        <is>
          <t>PV01</t>
        </is>
      </c>
      <c r="B29" s="9" t="n">
        <v>3</v>
      </c>
      <c r="C29" s="9" t="n">
        <v>7.7</v>
      </c>
      <c r="D29" s="9">
        <f>IF(COUNT(B29,C29)&lt;2,"",B29*C29)</f>
        <v/>
      </c>
      <c r="E29" s="21" t="n"/>
      <c r="F29" s="20">
        <f>IF(OR(D29="",$E$28=""),"",D29/$E$28)</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PV02</t>
        </is>
      </c>
      <c r="B30" s="9" t="n">
        <v>3</v>
      </c>
      <c r="C30" s="9" t="n">
        <v>2.48</v>
      </c>
      <c r="D30" s="9">
        <f>IF(COUNT(B30,C30)&lt;2,"",B30*C30)</f>
        <v/>
      </c>
      <c r="E30" s="21" t="n"/>
      <c r="F30" s="20">
        <f>IF(OR(D30="",$E$28=""),"",D30/$E$28)</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n"/>
      <c r="B31" s="9" t="n"/>
      <c r="C31" s="9" t="n"/>
      <c r="D31" s="9">
        <f>IF(COUNT(B31,C31)&lt;2,"",B31*C31)</f>
        <v/>
      </c>
      <c r="E31" s="21" t="n"/>
      <c r="F31" s="20">
        <f>IF(OR(D31="",$E$28=""),"",D31/$E$28)</f>
        <v/>
      </c>
      <c r="G31" s="9">
        <f>IF(A31="","",Datos_higro!$B$4)</f>
        <v/>
      </c>
      <c r="H31" s="10" t="n"/>
      <c r="I31" s="10" t="n"/>
      <c r="J31" s="9" t="n"/>
      <c r="K31" s="10" t="n"/>
      <c r="L31" s="9">
        <f>IF(I31="","",IFERROR(VLOOKUP(I31,Datos_higro!$A$21:$B$28,2,0),""))</f>
        <v/>
      </c>
      <c r="M31" s="10">
        <f>IF(OR(D31="",J31=""),"",IF(J31&lt;=G31,"CUMPLE","NO CUMPLE"))</f>
        <v/>
      </c>
    </row>
    <row r="32" ht="70" customHeight="1">
      <c r="A32" s="14" t="n"/>
      <c r="B32" s="13" t="n"/>
      <c r="C32" s="13" t="n"/>
      <c r="D32" s="13">
        <f>IF(COUNT(B32,C32)&lt;2,"",B32*C32)</f>
        <v/>
      </c>
      <c r="E32" s="22" t="n"/>
      <c r="F32" s="23">
        <f>IF(OR(D32="",$E$28=""),"",D32/$E$28)</f>
        <v/>
      </c>
      <c r="G32" s="13">
        <f>IF(A32="","",Datos_higro!$B$4)</f>
        <v/>
      </c>
      <c r="H32" s="14" t="n"/>
      <c r="I32" s="14" t="n"/>
      <c r="J32" s="13" t="n"/>
      <c r="K32" s="14" t="n"/>
      <c r="L32" s="13">
        <f>IF(I32="","",IFERROR(VLOOKUP(I32,Datos_higro!$A$21:$B$28,2,0),""))</f>
        <v/>
      </c>
      <c r="M32" s="14">
        <f>IF(OR(D32="",J32=""),"",IF(J32&lt;=G32,"CUMPLE","NO CUMPLE"))</f>
        <v/>
      </c>
    </row>
    <row r="33" ht="39.7" customHeight="1">
      <c r="A33" s="5" t="inlineStr">
        <is>
          <t>Plano: Orientacion a confirmar</t>
        </is>
      </c>
      <c r="B33" s="4" t="n"/>
      <c r="C33" s="4" t="n"/>
      <c r="D33" s="4" t="n"/>
      <c r="E33" s="4" t="n"/>
      <c r="F33" s="4" t="n"/>
      <c r="G33" s="4" t="n"/>
      <c r="H33" s="4" t="n"/>
      <c r="I33" s="4" t="n"/>
      <c r="J33" s="4" t="n"/>
      <c r="K33" s="4" t="n"/>
      <c r="L33" s="4" t="n"/>
      <c r="M33" s="4" t="n"/>
    </row>
    <row r="34" ht="70" customHeight="1">
      <c r="A34" s="10" t="inlineStr">
        <is>
          <t>PF01</t>
        </is>
      </c>
      <c r="B34" s="9" t="n">
        <v>3</v>
      </c>
      <c r="C34" s="9" t="n">
        <v>3.55</v>
      </c>
      <c r="D34" s="9">
        <f>IF(COUNT(B34,C34)&lt;2,"",B34*C34)</f>
        <v/>
      </c>
      <c r="E34" s="19">
        <f>SUM(D34:D40)</f>
        <v/>
      </c>
      <c r="F34" s="20">
        <f>IF(OR(D34="",$E$34=""),"",D34/$E$34)</f>
        <v/>
      </c>
      <c r="G34" s="9">
        <f>IF(A34="","",Datos_higro!$B$4)</f>
        <v/>
      </c>
      <c r="H34" s="10" t="inlineStr">
        <is>
          <t>DVH 6+9+3+3 (aluminio linea A30)</t>
        </is>
      </c>
      <c r="I34" s="10" t="inlineStr">
        <is>
          <t>Sin Proteccion</t>
        </is>
      </c>
      <c r="J34" s="9" t="n">
        <v>2.8</v>
      </c>
      <c r="K34" s="10" t="n"/>
      <c r="L34" s="9">
        <f>IF(I34="","",IFERROR(VLOOKUP(I34,Datos_higro!$A$21:$B$28,2,0),""))</f>
        <v/>
      </c>
      <c r="M34" s="10">
        <f>IF(OR(D34="",J34=""),"",IF(J34&lt;=G34,"CUMPLE","NO CUMPLE"))</f>
        <v/>
      </c>
    </row>
    <row r="35" ht="70" customHeight="1">
      <c r="A35" s="10" t="inlineStr">
        <is>
          <t>PF01 (2)</t>
        </is>
      </c>
      <c r="B35" s="9" t="n">
        <v>3</v>
      </c>
      <c r="C35" s="9" t="n">
        <v>3.55</v>
      </c>
      <c r="D35" s="9">
        <f>IF(COUNT(B35,C35)&lt;2,"",B35*C35)</f>
        <v/>
      </c>
      <c r="E35" s="21" t="n"/>
      <c r="F35" s="20">
        <f>IF(OR(D35="",$E$34=""),"",D35/$E$34)</f>
        <v/>
      </c>
      <c r="G35" s="9">
        <f>IF(A35="","",Datos_higro!$B$4)</f>
        <v/>
      </c>
      <c r="H35" s="10" t="inlineStr">
        <is>
          <t>DVH 6+9+3+3 (aluminio linea A30)</t>
        </is>
      </c>
      <c r="I35" s="10" t="inlineStr">
        <is>
          <t>Sin Proteccion</t>
        </is>
      </c>
      <c r="J35" s="9" t="n">
        <v>2.8</v>
      </c>
      <c r="K35" s="10" t="n"/>
      <c r="L35" s="9">
        <f>IF(I35="","",IFERROR(VLOOKUP(I35,Datos_higro!$A$21:$B$28,2,0),""))</f>
        <v/>
      </c>
      <c r="M35" s="10">
        <f>IF(OR(D35="",J35=""),"",IF(J35&lt;=G35,"CUMPLE","NO CUMPLE"))</f>
        <v/>
      </c>
    </row>
    <row r="36" ht="70" customHeight="1">
      <c r="A36" s="10" t="inlineStr">
        <is>
          <t>VA01 (2)</t>
        </is>
      </c>
      <c r="B36" s="9" t="n">
        <v>3</v>
      </c>
      <c r="C36" s="9" t="n">
        <v>0.75</v>
      </c>
      <c r="D36" s="9">
        <f>IF(COUNT(B36,C36)&lt;2,"",B36*C36)</f>
        <v/>
      </c>
      <c r="E36" s="21" t="n"/>
      <c r="F36" s="20">
        <f>IF(OR(D36="",$E$34=""),"",D36/$E$34)</f>
        <v/>
      </c>
      <c r="G36" s="9">
        <f>IF(A36="","",Datos_higro!$B$4)</f>
        <v/>
      </c>
      <c r="H36" s="10" t="inlineStr">
        <is>
          <t>DVH 6+9+3+3 (aluminio linea A30)</t>
        </is>
      </c>
      <c r="I36" s="10" t="inlineStr">
        <is>
          <t>Sin Proteccion</t>
        </is>
      </c>
      <c r="J36" s="9" t="n">
        <v>2.8</v>
      </c>
      <c r="K36" s="10" t="n"/>
      <c r="L36" s="9">
        <f>IF(I36="","",IFERROR(VLOOKUP(I36,Datos_higro!$A$21:$B$28,2,0),""))</f>
        <v/>
      </c>
      <c r="M36" s="10">
        <f>IF(OR(D36="",J36=""),"",IF(J36&lt;=G36,"CUMPLE","NO CUMPLE"))</f>
        <v/>
      </c>
    </row>
    <row r="37" ht="70" customHeight="1">
      <c r="A37" s="10" t="inlineStr">
        <is>
          <t>VA04</t>
        </is>
      </c>
      <c r="B37" s="9" t="n">
        <v>2.52</v>
      </c>
      <c r="C37" s="9" t="n">
        <v>2</v>
      </c>
      <c r="D37" s="9">
        <f>IF(COUNT(B37,C37)&lt;2,"",B37*C37)</f>
        <v/>
      </c>
      <c r="E37" s="21" t="n"/>
      <c r="F37" s="20">
        <f>IF(OR(D37="",$E$34=""),"",D37/$E$34)</f>
        <v/>
      </c>
      <c r="G37" s="9">
        <f>IF(A37="","",Datos_higro!$B$4)</f>
        <v/>
      </c>
      <c r="H37" s="10" t="inlineStr">
        <is>
          <t>DVH 6+9+3+3 (aluminio linea A30)</t>
        </is>
      </c>
      <c r="I37" s="10" t="inlineStr">
        <is>
          <t>Sin Proteccion</t>
        </is>
      </c>
      <c r="J37" s="9" t="n">
        <v>2.8</v>
      </c>
      <c r="K37" s="10" t="n"/>
      <c r="L37" s="9">
        <f>IF(I37="","",IFERROR(VLOOKUP(I37,Datos_higro!$A$21:$B$28,2,0),""))</f>
        <v/>
      </c>
      <c r="M37" s="10">
        <f>IF(OR(D37="",J37=""),"",IF(J37&lt;=G37,"CUMPLE","NO CUMPLE"))</f>
        <v/>
      </c>
    </row>
    <row r="38" ht="70" customHeight="1">
      <c r="A38" s="10" t="inlineStr">
        <is>
          <t>VA04 (2)</t>
        </is>
      </c>
      <c r="B38" s="9" t="n">
        <v>2.52</v>
      </c>
      <c r="C38" s="9" t="n">
        <v>2</v>
      </c>
      <c r="D38" s="9">
        <f>IF(COUNT(B38,C38)&lt;2,"",B38*C38)</f>
        <v/>
      </c>
      <c r="E38" s="21" t="n"/>
      <c r="F38" s="20">
        <f>IF(OR(D38="",$E$34=""),"",D38/$E$34)</f>
        <v/>
      </c>
      <c r="G38" s="9">
        <f>IF(A38="","",Datos_higro!$B$4)</f>
        <v/>
      </c>
      <c r="H38" s="10" t="inlineStr">
        <is>
          <t>DVH 6+9+3+3 (aluminio linea A30)</t>
        </is>
      </c>
      <c r="I38" s="10" t="inlineStr">
        <is>
          <t>Sin Proteccion</t>
        </is>
      </c>
      <c r="J38" s="9" t="n">
        <v>2.8</v>
      </c>
      <c r="K38" s="10" t="n"/>
      <c r="L38" s="9">
        <f>IF(I38="","",IFERROR(VLOOKUP(I38,Datos_higro!$A$21:$B$28,2,0),""))</f>
        <v/>
      </c>
      <c r="M38" s="10">
        <f>IF(OR(D38="",J38=""),"",IF(J38&lt;=G38,"CUMPLE","NO CUMPLE"))</f>
        <v/>
      </c>
    </row>
    <row r="39" ht="70" customHeight="1">
      <c r="A39" s="10" t="n"/>
      <c r="B39" s="9" t="n"/>
      <c r="C39" s="9" t="n"/>
      <c r="D39" s="9">
        <f>IF(COUNT(B39,C39)&lt;2,"",B39*C39)</f>
        <v/>
      </c>
      <c r="E39" s="21" t="n"/>
      <c r="F39" s="20">
        <f>IF(OR(D39="",$E$34=""),"",D39/$E$34)</f>
        <v/>
      </c>
      <c r="G39" s="9">
        <f>IF(A39="","",Datos_higro!$B$4)</f>
        <v/>
      </c>
      <c r="H39" s="10" t="n"/>
      <c r="I39" s="10" t="n"/>
      <c r="J39" s="9" t="n"/>
      <c r="K39" s="10" t="n"/>
      <c r="L39" s="9">
        <f>IF(I39="","",IFERROR(VLOOKUP(I39,Datos_higro!$A$21:$B$28,2,0),""))</f>
        <v/>
      </c>
      <c r="M39" s="10">
        <f>IF(OR(D39="",J39=""),"",IF(J39&lt;=G39,"CUMPLE","NO CUMPLE"))</f>
        <v/>
      </c>
    </row>
    <row r="40" ht="70" customHeight="1">
      <c r="A40" s="14" t="n"/>
      <c r="B40" s="13" t="n"/>
      <c r="C40" s="13" t="n"/>
      <c r="D40" s="13">
        <f>IF(COUNT(B40,C40)&lt;2,"",B40*C40)</f>
        <v/>
      </c>
      <c r="E40" s="22" t="n"/>
      <c r="F40" s="23">
        <f>IF(OR(D40="",$E$34=""),"",D40/$E$34)</f>
        <v/>
      </c>
      <c r="G40" s="13">
        <f>IF(A40="","",Datos_higro!$B$4)</f>
        <v/>
      </c>
      <c r="H40" s="14" t="n"/>
      <c r="I40" s="14" t="n"/>
      <c r="J40" s="13" t="n"/>
      <c r="K40" s="14" t="n"/>
      <c r="L40" s="13">
        <f>IF(I40="","",IFERROR(VLOOKUP(I40,Datos_higro!$A$21:$B$28,2,0),""))</f>
        <v/>
      </c>
      <c r="M40" s="14">
        <f>IF(OR(D40="",J40=""),"",IF(J40&lt;=G40,"CUMPLE","NO CUMPLE"))</f>
        <v/>
      </c>
    </row>
    <row r="41">
      <c r="A41" s="16" t="inlineStr">
        <is>
          <t>HOJA REHECHA: las orientaciones se tomaron del plano de fachadas y cambiaron casi todas. Hay que reemplazar la planilla entera, no alcanza con retocar celdas.</t>
        </is>
      </c>
      <c r="B41" s="2" t="n"/>
      <c r="C41" s="2" t="n"/>
      <c r="D41" s="2" t="n"/>
      <c r="E41" s="2" t="n"/>
      <c r="F41" s="2" t="n"/>
      <c r="G41" s="2" t="n"/>
      <c r="H41" s="2" t="n"/>
      <c r="I41" s="2" t="n"/>
      <c r="J41" s="2" t="n"/>
      <c r="K41" s="2" t="n"/>
      <c r="L41" s="2" t="n"/>
      <c r="M41" s="2" t="n"/>
    </row>
    <row r="42" ht="39.7" customHeight="1">
      <c r="A42" s="24" t="inlineStr">
        <is>
          <t>COMO SE COMPLETA</t>
        </is>
      </c>
      <c r="B42" s="2" t="n"/>
      <c r="C42" s="2" t="n"/>
      <c r="D42" s="2" t="n"/>
      <c r="E42" s="2" t="n"/>
      <c r="F42" s="2" t="n"/>
      <c r="G42" s="2" t="n"/>
      <c r="H42" s="2" t="n"/>
      <c r="I42" s="2" t="n"/>
      <c r="J42" s="2" t="n"/>
      <c r="K42" s="2" t="n"/>
      <c r="L42" s="2" t="n"/>
      <c r="M42" s="2" t="n"/>
    </row>
    <row r="43" ht="39.7" customHeight="1">
      <c r="A43" s="25" t="inlineStr">
        <is>
          <t>Descripcion, altura y ancho del vano: de la planilla de carpinterias.</t>
        </is>
      </c>
      <c r="B43" s="2" t="n"/>
      <c r="C43" s="2" t="n"/>
      <c r="D43" s="2" t="n"/>
      <c r="E43" s="2" t="n"/>
      <c r="F43" s="2" t="n"/>
      <c r="G43" s="2" t="n"/>
      <c r="H43" s="2" t="n"/>
      <c r="I43" s="2" t="n"/>
      <c r="J43" s="2" t="n"/>
      <c r="K43" s="2" t="n"/>
      <c r="L43" s="2" t="n"/>
      <c r="M43" s="2" t="n"/>
    </row>
    <row r="44" ht="39.7" customHeight="1">
      <c r="A44" s="25" t="inlineStr">
        <is>
          <t>Area del vano, area total por plano y porcentaje: se calculan solos.</t>
        </is>
      </c>
      <c r="B44" s="2" t="n"/>
      <c r="C44" s="2" t="n"/>
      <c r="D44" s="2" t="n"/>
      <c r="E44" s="2" t="n"/>
      <c r="F44" s="2" t="n"/>
      <c r="G44" s="2" t="n"/>
      <c r="H44" s="2" t="n"/>
      <c r="I44" s="2" t="n"/>
      <c r="J44" s="2" t="n"/>
      <c r="K44" s="2" t="n"/>
      <c r="L44" s="2" t="n"/>
      <c r="M44" s="2" t="n"/>
    </row>
    <row r="45" ht="39.7" customHeight="1">
      <c r="A45" s="25" t="inlineStr">
        <is>
          <t>Tipo de vidrio y tipo de proteccion: desplegables; sus valores estan en la hoja Datos_higro.</t>
        </is>
      </c>
      <c r="B45" s="2" t="n"/>
      <c r="C45" s="2" t="n"/>
      <c r="D45" s="2" t="n"/>
      <c r="E45" s="2" t="n"/>
      <c r="F45" s="2" t="n"/>
      <c r="G45" s="2" t="n"/>
      <c r="H45" s="2" t="n"/>
      <c r="I45" s="2" t="n"/>
      <c r="J45" s="2" t="n"/>
      <c r="K45" s="2" t="n"/>
      <c r="L45" s="2" t="n"/>
      <c r="M45" s="2" t="n"/>
    </row>
    <row r="46" ht="39.7" customHeight="1">
      <c r="A46" s="25" t="inlineStr">
        <is>
          <t>Transmitancia del cerramiento: cargarla segun el vidrio y el marco adoptados.</t>
        </is>
      </c>
      <c r="B46" s="2" t="n"/>
      <c r="C46" s="2" t="n"/>
      <c r="D46" s="2" t="n"/>
      <c r="E46" s="2" t="n"/>
      <c r="F46" s="2" t="n"/>
      <c r="G46" s="2" t="n"/>
      <c r="H46" s="2" t="n"/>
      <c r="I46" s="2" t="n"/>
      <c r="J46" s="2" t="n"/>
      <c r="K46" s="2" t="n"/>
      <c r="L46" s="2" t="n"/>
      <c r="M46" s="2" t="n"/>
    </row>
    <row r="47" ht="39.7" customHeight="1">
      <c r="A47" s="25" t="inlineStr">
        <is>
          <t>PROTECCION: la obra tiene cortinas blackout INTERIORES, y los panos fijos PF no tienen nada.</t>
        </is>
      </c>
      <c r="B47" s="2" t="n"/>
      <c r="C47" s="2" t="n"/>
      <c r="D47" s="2" t="n"/>
      <c r="E47" s="2" t="n"/>
      <c r="F47" s="2" t="n"/>
      <c r="G47" s="2" t="n"/>
      <c r="H47" s="2" t="n"/>
      <c r="I47" s="2" t="n"/>
      <c r="J47" s="2" t="n"/>
      <c r="K47" s="2" t="n"/>
      <c r="L47" s="2" t="n"/>
      <c r="M47" s="2" t="n"/>
    </row>
    <row r="48" ht="39.7" customHeight="1">
      <c r="A48" s="25" t="inlineStr">
        <is>
          <t>Una cortina interior NO computa como proteccion solar: la radiacion ya atraveso el vidrio</t>
        </is>
      </c>
      <c r="B48" s="2" t="n"/>
      <c r="C48" s="2" t="n"/>
      <c r="D48" s="2" t="n"/>
      <c r="E48" s="2" t="n"/>
      <c r="F48" s="2" t="n"/>
      <c r="G48" s="2" t="n"/>
      <c r="H48" s="2" t="n"/>
      <c r="I48" s="2" t="n"/>
      <c r="J48" s="2" t="n"/>
      <c r="K48" s="2" t="n"/>
      <c r="L48" s="2" t="n"/>
      <c r="M48" s="2" t="n"/>
    </row>
    <row r="49" ht="39.7" customHeight="1">
      <c r="A49" s="25" t="inlineStr">
        <is>
          <t>cuando llega a la cortina. La ordenanza acredita protecciones exteriores (aleros, parasoles,</t>
        </is>
      </c>
      <c r="B49" s="2" t="n"/>
      <c r="C49" s="2" t="n"/>
      <c r="D49" s="2" t="n"/>
      <c r="E49" s="2" t="n"/>
      <c r="F49" s="2" t="n"/>
      <c r="G49" s="2" t="n"/>
      <c r="H49" s="2" t="n"/>
      <c r="I49" s="2" t="n"/>
      <c r="J49" s="2" t="n"/>
      <c r="K49" s="2" t="n"/>
      <c r="L49" s="2" t="n"/>
      <c r="M49" s="2" t="n"/>
    </row>
    <row r="50" ht="39.7" customHeight="1">
      <c r="A50" s="25" t="inlineStr">
        <is>
          <t>cortinas de enrollar exteriores, toldos). Por eso las veinte aberturas van Sin Proteccion.</t>
        </is>
      </c>
      <c r="B50" s="2" t="n"/>
      <c r="C50" s="2" t="n"/>
      <c r="D50" s="2" t="n"/>
      <c r="E50" s="2" t="n"/>
      <c r="F50" s="2" t="n"/>
      <c r="G50" s="2" t="n"/>
      <c r="H50" s="2" t="n"/>
      <c r="I50" s="2" t="n"/>
      <c r="J50" s="2" t="n"/>
      <c r="K50" s="2" t="n"/>
      <c r="L50" s="2" t="n"/>
      <c r="M50" s="2" t="n"/>
    </row>
    <row r="51">
      <c r="A51" s="25" t="inlineStr"/>
      <c r="B51" s="2" t="n"/>
      <c r="C51" s="2" t="n"/>
      <c r="D51" s="2" t="n"/>
      <c r="E51" s="2" t="n"/>
      <c r="F51" s="2" t="n"/>
      <c r="G51" s="2" t="n"/>
      <c r="H51" s="2" t="n"/>
      <c r="I51" s="2" t="n"/>
      <c r="J51" s="2" t="n"/>
      <c r="K51" s="2" t="n"/>
      <c r="L51" s="2" t="n"/>
      <c r="M51" s="2" t="n"/>
    </row>
    <row r="52" ht="39.7" customHeight="1">
      <c r="A52" s="25" t="inlineStr">
        <is>
          <t>CONSECUENCIA: el factor de exposicion solar da 0,88 esta muy por encima del maximo de 0,30 que la ordenanza admite para</t>
        </is>
      </c>
      <c r="B52" s="2" t="n"/>
      <c r="C52" s="2" t="n"/>
      <c r="D52" s="2" t="n"/>
      <c r="E52" s="2" t="n"/>
      <c r="F52" s="2" t="n"/>
      <c r="G52" s="2" t="n"/>
      <c r="H52" s="2" t="n"/>
      <c r="I52" s="2" t="n"/>
      <c r="J52" s="2" t="n"/>
      <c r="K52" s="2" t="n"/>
      <c r="L52" s="2" t="n"/>
      <c r="M52" s="2" t="n"/>
    </row>
    <row r="53" ht="39.7" customHeight="1">
      <c r="A53" s="25" t="inlineStr">
        <is>
          <t>el cuadrante Este/Oeste, donde caen las cuatro fachadas de esta casa por estar girada 45</t>
        </is>
      </c>
      <c r="B53" s="2" t="n"/>
      <c r="C53" s="2" t="n"/>
      <c r="D53" s="2" t="n"/>
      <c r="E53" s="2" t="n"/>
      <c r="F53" s="2" t="n"/>
      <c r="G53" s="2" t="n"/>
      <c r="H53" s="2" t="n"/>
      <c r="I53" s="2" t="n"/>
      <c r="J53" s="2" t="n"/>
      <c r="K53" s="2" t="n"/>
      <c r="L53" s="2" t="n"/>
      <c r="M53" s="2" t="n"/>
    </row>
    <row r="54" ht="39.7" customHeight="1">
      <c r="A54" s="25" t="inlineStr">
        <is>
          <t>grados. La verificacion de la planilla no lo controla, igual que la de la catedra, pero si lo</t>
        </is>
      </c>
      <c r="B54" s="2" t="n"/>
      <c r="C54" s="2" t="n"/>
      <c r="D54" s="2" t="n"/>
      <c r="E54" s="2" t="n"/>
      <c r="F54" s="2" t="n"/>
      <c r="G54" s="2" t="n"/>
      <c r="H54" s="2" t="n"/>
      <c r="I54" s="2" t="n"/>
      <c r="J54" s="2" t="n"/>
      <c r="K54" s="2" t="n"/>
      <c r="L54" s="2" t="n"/>
      <c r="M54" s="2" t="n"/>
    </row>
    <row r="55" ht="39.7" customHeight="1">
      <c r="A55" s="25" t="inlineStr">
        <is>
          <t>presentas en el municipio esas cinco aberturas no pasarian el factor de exposicion solar.</t>
        </is>
      </c>
      <c r="B55" s="2" t="n"/>
      <c r="C55" s="2" t="n"/>
      <c r="D55" s="2" t="n"/>
      <c r="E55" s="2" t="n"/>
      <c r="F55" s="2" t="n"/>
      <c r="G55" s="2" t="n"/>
      <c r="H55" s="2" t="n"/>
      <c r="I55" s="2" t="n"/>
      <c r="J55" s="2" t="n"/>
      <c r="K55" s="2" t="n"/>
      <c r="L55" s="2" t="n"/>
      <c r="M55" s="2" t="n"/>
    </row>
    <row r="56" ht="39.7" customHeight="1">
      <c r="A56" s="25" t="inlineStr">
        <is>
          <t>Hay dos salidas posibles: (a) si la abertura ocupa menos del 20% del lado expuesto del local,</t>
        </is>
      </c>
      <c r="B56" s="2" t="n"/>
      <c r="C56" s="2" t="n"/>
      <c r="D56" s="2" t="n"/>
      <c r="E56" s="2" t="n"/>
      <c r="F56" s="2" t="n"/>
      <c r="G56" s="2" t="n"/>
      <c r="H56" s="2" t="n"/>
      <c r="I56" s="2" t="n"/>
      <c r="J56" s="2" t="n"/>
      <c r="K56" s="2" t="n"/>
      <c r="L56" s="2" t="n"/>
      <c r="M56" s="2" t="n"/>
    </row>
    <row r="57" ht="39.7" customHeight="1">
      <c r="A57" s="25" t="inlineStr">
        <is>
          <t>no se verifica el FES; (b) cambiar el vidrio por uno de control solar, que baja el FES sin</t>
        </is>
      </c>
      <c r="B57" s="2" t="n"/>
      <c r="C57" s="2" t="n"/>
      <c r="D57" s="2" t="n"/>
      <c r="E57" s="2" t="n"/>
      <c r="F57" s="2" t="n"/>
      <c r="G57" s="2" t="n"/>
      <c r="H57" s="2" t="n"/>
      <c r="I57" s="2" t="n"/>
      <c r="J57" s="2" t="n"/>
      <c r="K57" s="2" t="n"/>
      <c r="L57" s="2" t="n"/>
      <c r="M57" s="2" t="n"/>
    </row>
    <row r="58" ht="39.7" customHeight="1">
      <c r="A58" s="25" t="inlineStr">
        <is>
          <t>tocar la obra. Agregar una proteccion exterior seria la tercera, pero implica obra.</t>
        </is>
      </c>
      <c r="B58" s="2" t="n"/>
      <c r="C58" s="2" t="n"/>
      <c r="D58" s="2" t="n"/>
      <c r="E58" s="2" t="n"/>
      <c r="F58" s="2" t="n"/>
      <c r="G58" s="2" t="n"/>
      <c r="H58" s="2" t="n"/>
      <c r="I58" s="2" t="n"/>
      <c r="J58" s="2" t="n"/>
      <c r="K58" s="2" t="n"/>
      <c r="L58" s="2" t="n"/>
      <c r="M58" s="2" t="n"/>
    </row>
    <row r="59">
      <c r="A59" s="25" t="inlineStr"/>
      <c r="B59" s="2" t="n"/>
      <c r="C59" s="2" t="n"/>
      <c r="D59" s="2" t="n"/>
      <c r="E59" s="2" t="n"/>
      <c r="F59" s="2" t="n"/>
      <c r="G59" s="2" t="n"/>
      <c r="H59" s="2" t="n"/>
      <c r="I59" s="2" t="n"/>
      <c r="J59" s="2" t="n"/>
      <c r="K59" s="2" t="n"/>
      <c r="L59" s="2" t="n"/>
      <c r="M59" s="2" t="n"/>
    </row>
    <row r="60" ht="39.7" customHeight="1">
      <c r="A60" s="25" t="inlineStr">
        <is>
          <t>Orientacion: ya cargada. Factor de exposicion solar: se completa SOLO al elegir el tipo de</t>
        </is>
      </c>
      <c r="B60" s="2" t="n"/>
      <c r="C60" s="2" t="n"/>
      <c r="D60" s="2" t="n"/>
      <c r="E60" s="2" t="n"/>
      <c r="F60" s="2" t="n"/>
      <c r="G60" s="2" t="n"/>
      <c r="H60" s="2" t="n"/>
      <c r="I60" s="2" t="n"/>
      <c r="J60" s="2" t="n"/>
      <c r="K60" s="2" t="n"/>
      <c r="L60" s="2" t="n"/>
      <c r="M60" s="2" t="n"/>
    </row>
    <row r="61" ht="39.7" customHeight="1">
      <c r="A61" s="25" t="inlineStr">
        <is>
          <t>proteccion, con los valores de la tabla de Datos_higro (Sin Proteccion 0,88; Parasol</t>
        </is>
      </c>
      <c r="B61" s="2" t="n"/>
      <c r="C61" s="2" t="n"/>
      <c r="D61" s="2" t="n"/>
      <c r="E61" s="2" t="n"/>
      <c r="F61" s="2" t="n"/>
      <c r="G61" s="2" t="n"/>
      <c r="H61" s="2" t="n"/>
      <c r="I61" s="2" t="n"/>
      <c r="J61" s="2" t="n"/>
      <c r="K61" s="2" t="n"/>
      <c r="L61" s="2" t="n"/>
      <c r="M61" s="2" t="n"/>
    </row>
    <row r="62" ht="39.7" customHeight="1">
      <c r="A62" s="25" t="inlineStr">
        <is>
          <t>horizontal fijo 1:2 0,35), que son los mismos de la planilla de la catedra.</t>
        </is>
      </c>
      <c r="B62" s="2" t="n"/>
      <c r="C62" s="2" t="n"/>
      <c r="D62" s="2" t="n"/>
      <c r="E62" s="2" t="n"/>
      <c r="F62" s="2" t="n"/>
      <c r="G62" s="2" t="n"/>
      <c r="H62" s="2" t="n"/>
      <c r="I62" s="2" t="n"/>
      <c r="J62" s="2" t="n"/>
      <c r="K62" s="2" t="n"/>
      <c r="L62" s="2" t="n"/>
      <c r="M62" s="2" t="n"/>
    </row>
    <row r="63" ht="39.7" customHeight="1">
      <c r="A63" s="25" t="inlineStr">
        <is>
          <t>En Datos_higro esta ademas el FES maximo admitido por cuadrante segun la ordenanza, como</t>
        </is>
      </c>
      <c r="B63" s="2" t="n"/>
      <c r="C63" s="2" t="n"/>
      <c r="D63" s="2" t="n"/>
      <c r="E63" s="2" t="n"/>
      <c r="F63" s="2" t="n"/>
      <c r="G63" s="2" t="n"/>
      <c r="H63" s="2" t="n"/>
      <c r="I63" s="2" t="n"/>
      <c r="J63" s="2" t="n"/>
      <c r="K63" s="2" t="n"/>
      <c r="L63" s="2" t="n"/>
      <c r="M63" s="2" t="n"/>
    </row>
    <row r="64" ht="39.7" customHeight="1">
      <c r="A64" s="25" t="inlineStr">
        <is>
          <t>referencia: la verificacion no lo controla, igual que en la planilla de la catedra.</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CARGADO de la planilla de carpinterias: designacion, ubicacion, ancho y tipo de vidrio</t>
        </is>
      </c>
      <c r="B66" s="2" t="n"/>
      <c r="C66" s="2" t="n"/>
      <c r="D66" s="2" t="n"/>
      <c r="E66" s="2" t="n"/>
      <c r="F66" s="2" t="n"/>
      <c r="G66" s="2" t="n"/>
      <c r="H66" s="2" t="n"/>
      <c r="I66" s="2" t="n"/>
      <c r="J66" s="2" t="n"/>
      <c r="K66" s="2" t="n"/>
      <c r="L66" s="2" t="n"/>
      <c r="M66" s="2" t="n"/>
    </row>
    <row r="67" ht="39.7" customHeight="1">
      <c r="A67" s="25" t="inlineStr">
        <is>
          <t>(DVH 6+9+3+3, carpinteria de aluminio linea A30 pintado negro, igual en todas las aberturas).</t>
        </is>
      </c>
      <c r="B67" s="2" t="n"/>
      <c r="C67" s="2" t="n"/>
      <c r="D67" s="2" t="n"/>
      <c r="E67" s="2" t="n"/>
      <c r="F67" s="2" t="n"/>
      <c r="G67" s="2" t="n"/>
      <c r="H67" s="2" t="n"/>
      <c r="I67" s="2" t="n"/>
      <c r="J67" s="2" t="n"/>
      <c r="K67" s="2" t="n"/>
      <c r="L67" s="2" t="n"/>
      <c r="M67" s="2" t="n"/>
    </row>
    <row r="68">
      <c r="A68" s="25" t="inlineStr"/>
      <c r="B68" s="2" t="n"/>
      <c r="C68" s="2" t="n"/>
      <c r="D68" s="2" t="n"/>
      <c r="E68" s="2" t="n"/>
      <c r="F68" s="2" t="n"/>
      <c r="G68" s="2" t="n"/>
      <c r="H68" s="2" t="n"/>
      <c r="I68" s="2" t="n"/>
      <c r="J68" s="2" t="n"/>
      <c r="K68" s="2" t="n"/>
      <c r="L68" s="2" t="n"/>
      <c r="M68" s="2" t="n"/>
    </row>
    <row r="69" ht="39.7" customHeight="1">
      <c r="A69" s="25" t="inlineStr">
        <is>
          <t>ALTURAS: medidas sobre el dibujo de las vistas de la planilla de carpinterias, con la escala</t>
        </is>
      </c>
      <c r="B69" s="2" t="n"/>
      <c r="C69" s="2" t="n"/>
      <c r="D69" s="2" t="n"/>
      <c r="E69" s="2" t="n"/>
      <c r="F69" s="2" t="n"/>
      <c r="G69" s="2" t="n"/>
      <c r="H69" s="2" t="n"/>
      <c r="I69" s="2" t="n"/>
      <c r="J69" s="2" t="n"/>
      <c r="K69" s="2" t="n"/>
      <c r="L69" s="2" t="n"/>
      <c r="M69" s="2" t="n"/>
    </row>
    <row r="70" ht="39.7" customHeight="1">
      <c r="A70" s="25" t="inlineStr">
        <is>
          <t>verificada contra los anchos acotados (error menor a 2 cm). La mayoria de las aberturas son de</t>
        </is>
      </c>
      <c r="B70" s="2" t="n"/>
      <c r="C70" s="2" t="n"/>
      <c r="D70" s="2" t="n"/>
      <c r="E70" s="2" t="n"/>
      <c r="F70" s="2" t="n"/>
      <c r="G70" s="2" t="n"/>
      <c r="H70" s="2" t="n"/>
      <c r="I70" s="2" t="n"/>
      <c r="J70" s="2" t="n"/>
      <c r="K70" s="2" t="n"/>
      <c r="L70" s="2" t="n"/>
      <c r="M70" s="2" t="n"/>
    </row>
    <row r="71" ht="39.7" customHeight="1">
      <c r="A71" s="25" t="inlineStr">
        <is>
          <t>piso a cielorraso, 3,00 m. VERIFICARLAS contra el plano antes de presentar.</t>
        </is>
      </c>
      <c r="B71" s="2" t="n"/>
      <c r="C71" s="2" t="n"/>
      <c r="D71" s="2" t="n"/>
      <c r="E71" s="2" t="n"/>
      <c r="F71" s="2" t="n"/>
      <c r="G71" s="2" t="n"/>
      <c r="H71" s="2" t="n"/>
      <c r="I71" s="2" t="n"/>
      <c r="J71" s="2" t="n"/>
      <c r="K71" s="2" t="n"/>
      <c r="L71" s="2" t="n"/>
      <c r="M71" s="2" t="n"/>
    </row>
    <row r="72" ht="39.7" customHeight="1">
      <c r="A72" s="25" t="inlineStr">
        <is>
          <t>PF04 es la unica con antepecho: arranca a 1,09 y mide 0,60 de alto. El resto llega al piso.</t>
        </is>
      </c>
      <c r="B72" s="2" t="n"/>
      <c r="C72" s="2" t="n"/>
      <c r="D72" s="2" t="n"/>
      <c r="E72" s="2" t="n"/>
      <c r="F72" s="2" t="n"/>
      <c r="G72" s="2" t="n"/>
      <c r="H72" s="2" t="n"/>
      <c r="I72" s="2" t="n"/>
      <c r="J72" s="2" t="n"/>
      <c r="K72" s="2" t="n"/>
      <c r="L72" s="2" t="n"/>
      <c r="M72" s="2" t="n"/>
    </row>
    <row r="73" ht="39.7" customHeight="1">
      <c r="A73" s="25" t="inlineStr">
        <is>
          <t>Las alturas de PV01 (3,00), PF04 (0,60) y PV04 (2) (2,95) las aporto el autor del proyecto.</t>
        </is>
      </c>
      <c r="B73" s="2" t="n"/>
      <c r="C73" s="2" t="n"/>
      <c r="D73" s="2" t="n"/>
      <c r="E73" s="2" t="n"/>
      <c r="F73" s="2" t="n"/>
      <c r="G73" s="2" t="n"/>
      <c r="H73" s="2" t="n"/>
      <c r="I73" s="2" t="n"/>
      <c r="J73" s="2" t="n"/>
      <c r="K73" s="2" t="n"/>
      <c r="L73" s="2" t="n"/>
      <c r="M73" s="2" t="n"/>
    </row>
    <row r="74">
      <c r="A74" s="25" t="inlineStr"/>
      <c r="B74" s="2" t="n"/>
      <c r="C74" s="2" t="n"/>
      <c r="D74" s="2" t="n"/>
      <c r="E74" s="2" t="n"/>
      <c r="F74" s="2" t="n"/>
      <c r="G74" s="2" t="n"/>
      <c r="H74" s="2" t="n"/>
      <c r="I74" s="2" t="n"/>
      <c r="J74" s="2" t="n"/>
      <c r="K74" s="2" t="n"/>
      <c r="L74" s="2" t="n"/>
      <c r="M74" s="2" t="n"/>
    </row>
    <row r="75" ht="39.7" customHeight="1">
      <c r="A75" s="25" t="inlineStr">
        <is>
          <t>ORIENTACION: el simbolo de norte del plano (circulo con aguja, en el patio interno) apunta a</t>
        </is>
      </c>
      <c r="B75" s="2" t="n"/>
      <c r="C75" s="2" t="n"/>
      <c r="D75" s="2" t="n"/>
      <c r="E75" s="2" t="n"/>
      <c r="F75" s="2" t="n"/>
      <c r="G75" s="2" t="n"/>
      <c r="H75" s="2" t="n"/>
      <c r="I75" s="2" t="n"/>
      <c r="J75" s="2" t="n"/>
      <c r="K75" s="2" t="n"/>
      <c r="L75" s="2" t="n"/>
      <c r="M75" s="2" t="n"/>
    </row>
    <row r="76" ht="39.7" customHeight="1">
      <c r="A76" s="25" t="inlineStr">
        <is>
          <t>45 grados hacia arriba y a la derecha de la hoja. Entonces las cuatro fachadas NO son N-S-E-O</t>
        </is>
      </c>
      <c r="B76" s="2" t="n"/>
      <c r="C76" s="2" t="n"/>
      <c r="D76" s="2" t="n"/>
      <c r="E76" s="2" t="n"/>
      <c r="F76" s="2" t="n"/>
      <c r="G76" s="2" t="n"/>
      <c r="H76" s="2" t="n"/>
      <c r="I76" s="2" t="n"/>
      <c r="J76" s="2" t="n"/>
      <c r="K76" s="2" t="n"/>
      <c r="L76" s="2" t="n"/>
      <c r="M76" s="2" t="n"/>
    </row>
    <row r="77" ht="39.7" customHeight="1">
      <c r="A77" s="25" t="inlineStr">
        <is>
          <t>sino: arriba = Noroeste, derecha = Noreste, abajo = Sudeste, izquierda = Sudoeste.</t>
        </is>
      </c>
      <c r="B77" s="2" t="n"/>
      <c r="C77" s="2" t="n"/>
      <c r="D77" s="2" t="n"/>
      <c r="E77" s="2" t="n"/>
      <c r="F77" s="2" t="n"/>
      <c r="G77" s="2" t="n"/>
      <c r="H77" s="2" t="n"/>
      <c r="I77" s="2" t="n"/>
      <c r="J77" s="2" t="n"/>
      <c r="K77" s="2" t="n"/>
      <c r="L77" s="2" t="n"/>
      <c r="M77" s="2" t="n"/>
    </row>
    <row r="78" ht="39.7" customHeight="1">
      <c r="A78" s="25" t="inlineStr">
        <is>
          <t>Cada abertura se asigno a la fachada por su posicion en planta. Las del patio interno se</t>
        </is>
      </c>
      <c r="B78" s="2" t="n"/>
      <c r="C78" s="2" t="n"/>
      <c r="D78" s="2" t="n"/>
      <c r="E78" s="2" t="n"/>
      <c r="F78" s="2" t="n"/>
      <c r="G78" s="2" t="n"/>
      <c r="H78" s="2" t="n"/>
      <c r="I78" s="2" t="n"/>
      <c r="J78" s="2" t="n"/>
      <c r="K78" s="2" t="n"/>
      <c r="L78" s="2" t="n"/>
      <c r="M78" s="2" t="n"/>
    </row>
    <row r="79" ht="39.7" customHeight="1">
      <c r="A79" s="25" t="inlineStr">
        <is>
          <t>orientan por la pared en la que estan: miran hacia adentro del patio.</t>
        </is>
      </c>
      <c r="B79" s="2" t="n"/>
      <c r="C79" s="2" t="n"/>
      <c r="D79" s="2" t="n"/>
      <c r="E79" s="2" t="n"/>
      <c r="F79" s="2" t="n"/>
      <c r="G79" s="2" t="n"/>
      <c r="H79" s="2" t="n"/>
      <c r="I79" s="2" t="n"/>
      <c r="J79" s="2" t="n"/>
      <c r="K79" s="2" t="n"/>
      <c r="L79" s="2" t="n"/>
      <c r="M79" s="2" t="n"/>
    </row>
    <row r="80" ht="39.7" customHeight="1">
      <c r="A80" s="25" t="inlineStr">
        <is>
          <t>Los rotulos Dormitorio Norte y Dormitorio Sur del plano no coinciden con el norte real;</t>
        </is>
      </c>
      <c r="B80" s="2" t="n"/>
      <c r="C80" s="2" t="n"/>
      <c r="D80" s="2" t="n"/>
      <c r="E80" s="2" t="n"/>
      <c r="F80" s="2" t="n"/>
      <c r="G80" s="2" t="n"/>
      <c r="H80" s="2" t="n"/>
      <c r="I80" s="2" t="n"/>
      <c r="J80" s="2" t="n"/>
      <c r="K80" s="2" t="n"/>
      <c r="L80" s="2" t="n"/>
      <c r="M80" s="2" t="n"/>
    </row>
    <row r="81" ht="39.7" customHeight="1">
      <c r="A81" s="25" t="inlineStr">
        <is>
          <t>parecen ser nombres de uso, no orientaciones.</t>
        </is>
      </c>
      <c r="B81" s="2" t="n"/>
      <c r="C81" s="2" t="n"/>
      <c r="D81" s="2" t="n"/>
      <c r="E81" s="2" t="n"/>
      <c r="F81" s="2" t="n"/>
      <c r="G81" s="2" t="n"/>
      <c r="H81" s="2" t="n"/>
      <c r="I81" s="2" t="n"/>
      <c r="J81" s="2" t="n"/>
      <c r="K81" s="2" t="n"/>
      <c r="L81" s="2" t="n"/>
      <c r="M81" s="2" t="n"/>
    </row>
    <row r="82">
      <c r="A82" s="25" t="inlineStr"/>
      <c r="B82" s="2" t="n"/>
      <c r="C82" s="2" t="n"/>
      <c r="D82" s="2" t="n"/>
      <c r="E82" s="2" t="n"/>
      <c r="F82" s="2" t="n"/>
      <c r="G82" s="2" t="n"/>
      <c r="H82" s="2" t="n"/>
      <c r="I82" s="2" t="n"/>
      <c r="J82" s="2" t="n"/>
      <c r="K82" s="2" t="n"/>
      <c r="L82" s="2" t="n"/>
      <c r="M82" s="2" t="n"/>
    </row>
    <row r="83" ht="39.7" customHeight="1">
      <c r="A83" s="25" t="inlineStr">
        <is>
          <t>CANTIDADES: la planilla de carpinterias trae la cantidad de cada abertura. Tres van dos veces:</t>
        </is>
      </c>
      <c r="B83" s="2" t="n"/>
      <c r="C83" s="2" t="n"/>
      <c r="D83" s="2" t="n"/>
      <c r="E83" s="2" t="n"/>
      <c r="F83" s="2" t="n"/>
      <c r="G83" s="2" t="n"/>
      <c r="H83" s="2" t="n"/>
      <c r="I83" s="2" t="n"/>
      <c r="J83" s="2" t="n"/>
      <c r="K83" s="2" t="n"/>
      <c r="L83" s="2" t="n"/>
      <c r="M83" s="2" t="n"/>
    </row>
    <row r="84" ht="39.7" customHeight="1">
      <c r="A84" s="25" t="inlineStr">
        <is>
          <t>VA01 (01 Cocina y 09 Suite), VA04 (13 Dormitorio Norte y 14 Play Room) y PF01 (03 Lavadero y</t>
        </is>
      </c>
      <c r="B84" s="2" t="n"/>
      <c r="C84" s="2" t="n"/>
      <c r="D84" s="2" t="n"/>
      <c r="E84" s="2" t="n"/>
      <c r="F84" s="2" t="n"/>
      <c r="G84" s="2" t="n"/>
      <c r="H84" s="2" t="n"/>
      <c r="I84" s="2" t="n"/>
      <c r="J84" s="2" t="n"/>
      <c r="K84" s="2" t="n"/>
      <c r="L84" s="2" t="n"/>
      <c r="M84" s="2" t="n"/>
    </row>
    <row r="85" ht="39.7" customHeight="1">
      <c r="A85" s="25" t="inlineStr">
        <is>
          <t>07 Hall de ingreso, a los dos lados del patio interno). Por eso la planilla tiene 20 filas y</t>
        </is>
      </c>
      <c r="B85" s="2" t="n"/>
      <c r="C85" s="2" t="n"/>
      <c r="D85" s="2" t="n"/>
      <c r="E85" s="2" t="n"/>
      <c r="F85" s="2" t="n"/>
      <c r="G85" s="2" t="n"/>
      <c r="H85" s="2" t="n"/>
      <c r="I85" s="2" t="n"/>
      <c r="J85" s="2" t="n"/>
      <c r="K85" s="2" t="n"/>
      <c r="L85" s="2" t="n"/>
      <c r="M85" s="2" t="n"/>
    </row>
    <row r="86" ht="39.7" customHeight="1">
      <c r="A86" s="25" t="inlineStr">
        <is>
          <t>no 17. Las demas aberturas son de una sola unidad.</t>
        </is>
      </c>
      <c r="B86" s="2" t="n"/>
      <c r="C86" s="2" t="n"/>
      <c r="D86" s="2" t="n"/>
      <c r="E86" s="2" t="n"/>
      <c r="F86" s="2" t="n"/>
      <c r="G86" s="2" t="n"/>
      <c r="H86" s="2" t="n"/>
      <c r="I86" s="2" t="n"/>
      <c r="J86" s="2" t="n"/>
      <c r="K86" s="2" t="n"/>
      <c r="L86" s="2" t="n"/>
      <c r="M86" s="2" t="n"/>
    </row>
    <row r="87">
      <c r="A87" s="25" t="inlineStr"/>
      <c r="B87" s="2" t="n"/>
      <c r="C87" s="2" t="n"/>
      <c r="D87" s="2" t="n"/>
      <c r="E87" s="2" t="n"/>
      <c r="F87" s="2" t="n"/>
      <c r="G87" s="2" t="n"/>
      <c r="H87" s="2" t="n"/>
      <c r="I87" s="2" t="n"/>
      <c r="J87" s="2" t="n"/>
      <c r="K87" s="2" t="n"/>
      <c r="L87" s="2" t="n"/>
      <c r="M87" s="2" t="n"/>
    </row>
    <row r="88" ht="39.7" customHeight="1">
      <c r="A88" s="25" t="inlineStr">
        <is>
          <t>Las puertas interiores de madera PM01 a PM08 no se cargan: no son cerramientos exteriores.</t>
        </is>
      </c>
      <c r="B88" s="2" t="n"/>
      <c r="C88" s="2" t="n"/>
      <c r="D88" s="2" t="n"/>
      <c r="E88" s="2" t="n"/>
      <c r="F88" s="2" t="n"/>
      <c r="G88" s="2" t="n"/>
      <c r="H88" s="2" t="n"/>
      <c r="I88" s="2" t="n"/>
      <c r="J88" s="2" t="n"/>
      <c r="K88" s="2" t="n"/>
      <c r="L88" s="2" t="n"/>
      <c r="M88" s="2" t="n"/>
    </row>
    <row r="89">
      <c r="A89" s="25" t="inlineStr"/>
      <c r="B89" s="2" t="n"/>
      <c r="C89" s="2" t="n"/>
      <c r="D89" s="2" t="n"/>
      <c r="E89" s="2" t="n"/>
      <c r="F89" s="2" t="n"/>
      <c r="G89" s="2" t="n"/>
      <c r="H89" s="2" t="n"/>
      <c r="I89" s="2" t="n"/>
      <c r="J89" s="2" t="n"/>
      <c r="K89" s="2" t="n"/>
      <c r="L89" s="2" t="n"/>
      <c r="M89" s="2" t="n"/>
    </row>
    <row r="90" ht="39.7" customHeight="1">
      <c r="A90" s="25" t="inlineStr">
        <is>
          <t>DATO DE CONTRASTE: la planilla de iluminacion y ventilacion da la superficie vidriada</t>
        </is>
      </c>
      <c r="B90" s="2" t="n"/>
      <c r="C90" s="2" t="n"/>
      <c r="D90" s="2" t="n"/>
      <c r="E90" s="2" t="n"/>
      <c r="F90" s="2" t="n"/>
      <c r="G90" s="2" t="n"/>
      <c r="H90" s="2" t="n"/>
      <c r="I90" s="2" t="n"/>
      <c r="J90" s="2" t="n"/>
      <c r="K90" s="2" t="n"/>
      <c r="L90" s="2" t="n"/>
      <c r="M90" s="2" t="n"/>
    </row>
    <row r="91" ht="39.7" customHeight="1">
      <c r="A91" s="25" t="inlineStr">
        <is>
          <t>proyectada de cada local. La suma da 97,4 m2, que es el orden de magnitud que deberia</t>
        </is>
      </c>
      <c r="B91" s="2" t="n"/>
      <c r="C91" s="2" t="n"/>
      <c r="D91" s="2" t="n"/>
      <c r="E91" s="2" t="n"/>
      <c r="F91" s="2" t="n"/>
      <c r="G91" s="2" t="n"/>
      <c r="H91" s="2" t="n"/>
      <c r="I91" s="2" t="n"/>
      <c r="J91" s="2" t="n"/>
      <c r="K91" s="2" t="n"/>
      <c r="L91" s="2" t="n"/>
      <c r="M91" s="2" t="n"/>
    </row>
    <row r="92" ht="39.7" customHeight="1">
      <c r="A92" s="25" t="inlineStr">
        <is>
          <t>dar el total de vanos de los cuatro planos. Sirve para controlar que no falte ninguno.</t>
        </is>
      </c>
      <c r="B92" s="2" t="n"/>
      <c r="C92" s="2" t="n"/>
      <c r="D92" s="2" t="n"/>
      <c r="E92" s="2" t="n"/>
      <c r="F92" s="2" t="n"/>
      <c r="G92" s="2" t="n"/>
      <c r="H92" s="2" t="n"/>
      <c r="I92" s="2" t="n"/>
      <c r="J92" s="2" t="n"/>
      <c r="K92" s="2" t="n"/>
      <c r="L92" s="2" t="n"/>
      <c r="M92" s="2" t="n"/>
    </row>
  </sheetData>
  <mergeCells count="16">
    <mergeCell ref="A1:A3"/>
    <mergeCell ref="A14:M14"/>
    <mergeCell ref="E34:E40"/>
    <mergeCell ref="A27:M27"/>
    <mergeCell ref="E15:E19"/>
    <mergeCell ref="A6:M6"/>
    <mergeCell ref="E21:E26"/>
    <mergeCell ref="B3:L3"/>
    <mergeCell ref="B2:L2"/>
    <mergeCell ref="A4:M4"/>
    <mergeCell ref="E7:E13"/>
    <mergeCell ref="E28:E32"/>
    <mergeCell ref="A20:M20"/>
    <mergeCell ref="A33:M33"/>
    <mergeCell ref="M1:M3"/>
    <mergeCell ref="B1:L1"/>
  </mergeCells>
  <conditionalFormatting sqref="M6:M40">
    <cfRule type="cellIs" priority="1" operator="equal" dxfId="0">
      <formula>"CUMPLE"</formula>
    </cfRule>
    <cfRule type="cellIs" priority="2" operator="equal" dxfId="1">
      <formula>"NO CUMPLE"</formula>
    </cfRule>
  </conditionalFormatting>
  <dataValidations count="3">
    <dataValidation sqref="H6:H40" showDropDown="0" showInputMessage="0" showErrorMessage="0" allowBlank="1" type="list">
      <formula1>=Datos_higro!$A$10:$A$17</formula1>
    </dataValidation>
    <dataValidation sqref="I6:I40" showDropDown="0" showInputMessage="0" showErrorMessage="0" allowBlank="1" type="list">
      <formula1>=Datos_higro!$A$21:$A$28</formula1>
    </dataValidation>
    <dataValidation sqref="K6:K40"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(NE)</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(NO)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(NO)</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    )</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(SE)</t>
        </is>
      </c>
      <c r="C77" s="10">
        <f>IF(COUNT(H77,I77)&lt;2,"",TEXT(H77,"0.00")&amp;" x "&amp;TEXT(I77,"0.00"))</f>
        <v/>
      </c>
      <c r="D77" s="9">
        <f>IF(COUNT(H77,I77)&lt;2,"",ROUND(H77*I77,2))</f>
        <v/>
      </c>
      <c r="E77" s="27" t="n">
        <v>20</v>
      </c>
      <c r="F77" s="30">
        <f>IF(D77="","",ROUND(D77*E77,1))</f>
        <v/>
      </c>
      <c r="G77" s="2" t="n"/>
      <c r="H77" s="37" t="n">
        <v>2.15</v>
      </c>
      <c r="I77" s="37" t="n">
        <v>3</v>
      </c>
    </row>
    <row r="78" ht="47" customHeight="1">
      <c r="A78" s="10" t="n"/>
      <c r="B78" s="36" t="inlineStr">
        <is>
          <t>AISLADAS (NE)</t>
        </is>
      </c>
      <c r="C78" s="10">
        <f>IF(COUNT(H78,I78)&lt;2,"",TEXT(H78,"0.00")&amp;" x "&amp;TEXT(I78,"0.00"))</f>
        <v/>
      </c>
      <c r="D78" s="9">
        <f>IF(COUNT(H78,I78)&lt;2,"",ROUND(H78*I78,2))</f>
        <v/>
      </c>
      <c r="E78" s="27" t="n">
        <v>20</v>
      </c>
      <c r="F78" s="30">
        <f>IF(D78="","",ROUND(D78*E78,1))</f>
        <v/>
      </c>
      <c r="G78" s="2" t="n"/>
      <c r="H78" s="37" t="n">
        <v>3.52</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(NE)</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(NO)</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(SO)</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(SO)</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(NE)</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(SE)</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(SO)</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(NE)</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(izquierda)</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(NE)</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(SE)</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(SO)</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2026-10-26T21:11:51Z</dcterms:created>
  <dcterms:modified xmlns:dcterms="http://purl.org/dc/terms/" xmlns:xsi="http://www.w3.org/2001/XMLSchema-instance" xsi:type="dcterms:W3CDTF">2026-10-26T21:11:53Z</dcterms:modified>
</cp:coreProperties>
</file>