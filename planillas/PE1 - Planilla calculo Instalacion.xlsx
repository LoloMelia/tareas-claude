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Gas" sheetId="1" state="visible" r:id="rId1"/>
    <sheet xmlns:r="http://schemas.openxmlformats.org/officeDocument/2006/relationships" name="Sanitario" sheetId="2" state="visible" r:id="rId2"/>
    <sheet xmlns:r="http://schemas.openxmlformats.org/officeDocument/2006/relationships" name="Planilla de locales" sheetId="3" state="visible" r:id="rId3"/>
    <sheet xmlns:r="http://schemas.openxmlformats.org/officeDocument/2006/relationships" name="faltantes" sheetId="4" state="visible" r:id="rId4"/>
    <sheet xmlns:r="http://schemas.openxmlformats.org/officeDocument/2006/relationships" name="Iluminacion y ventilacion" sheetId="5" state="visible" r:id="rId5"/>
    <sheet xmlns:r="http://schemas.openxmlformats.org/officeDocument/2006/relationships" name="Planilla 3 higrotermica" sheetId="6" state="visible" r:id="rId6"/>
    <sheet xmlns:r="http://schemas.openxmlformats.org/officeDocument/2006/relationships" name="Planilla vigas" sheetId="7" state="visible" r:id="rId7"/>
    <sheet xmlns:r="http://schemas.openxmlformats.org/officeDocument/2006/relationships" name="Planilla losas" sheetId="8" state="visible" r:id="rId8"/>
    <sheet xmlns:r="http://schemas.openxmlformats.org/officeDocument/2006/relationships" name="Planilla columnas" sheetId="9" state="visible" r:id="rId9"/>
    <sheet xmlns:r="http://schemas.openxmlformats.org/officeDocument/2006/relationships" name="Vigas de fundacion" sheetId="10" state="visible" r:id="rId10"/>
    <sheet xmlns:r="http://schemas.openxmlformats.org/officeDocument/2006/relationships" name="Pilotes y cabezales" sheetId="11" state="visible" r:id="rId11"/>
    <sheet xmlns:r="http://schemas.openxmlformats.org/officeDocument/2006/relationships" name="Tabiques" sheetId="12" state="visible" r:id="rId12"/>
  </sheets>
  <externalReferences>
    <externalReference xmlns:r="http://schemas.openxmlformats.org/officeDocument/2006/relationships" r:id="rId13"/>
  </externalReferences>
  <definedNames>
    <definedName name="Orientaciones" hidden="0" function="0" vbProcedure="0">[1]Datos!$B$254:$D$259</definedName>
    <definedName name="Protecciones" hidden="0" function="0" vbProcedure="0">[1]Datos!$B$243:$D$252</definedName>
    <definedName name="SupSemiTranss" hidden="0" function="0" vbProcedure="0">[1]Datos!$B$7:$U$240</definedName>
    <definedName name="_xlnm.Print_Titles" localSheetId="4">'Iluminacion y ventilacion'!$1:$3</definedName>
    <definedName name="_xlnm.Print_Titles" localSheetId="5">'Planilla 3 higrotermica'!$1:$5</definedName>
    <definedName name="_xlnm.Print_Area" localSheetId="5">'Planilla 3 higrotermica'!$A$1:$M$29</definedName>
    <definedName name="_xlnm.Print_Titles" localSheetId="6">'Planilla vigas'!$1:$3</definedName>
    <definedName name="_xlnm.Print_Area" localSheetId="6">'Planilla vigas'!$A$1:$X$34</definedName>
    <definedName name="_xlnm.Print_Titles" localSheetId="7">'Planilla losas'!$1:$3</definedName>
    <definedName name="_xlnm.Print_Area" localSheetId="7">'Planilla losas'!$A$1:$R$15</definedName>
    <definedName name="_xlnm.Print_Titles" localSheetId="8">'Planilla columnas'!$1:$3</definedName>
    <definedName name="_xlnm.Print_Area" localSheetId="8">'Planilla columnas'!$A$1:$N$16</definedName>
    <definedName name="_xlnm.Print_Titles" localSheetId="9">'Vigas de fundacion'!$1:$3</definedName>
    <definedName name="_xlnm.Print_Area" localSheetId="9">'Vigas de fundacion'!$A$1:$X$34</definedName>
    <definedName name="_xlnm.Print_Titles" localSheetId="10">'Pilotes y cabezales'!$1:$3</definedName>
    <definedName name="_xlnm.Print_Titles" localSheetId="11">'Tabiques'!$1:$3</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dd\-mmm"/>
    <numFmt numFmtId="165" formatCode="dd/mm/yy"/>
    <numFmt numFmtId="166" formatCode="0.0%"/>
    <numFmt numFmtId="167" formatCode="0.0"/>
    <numFmt numFmtId="168" formatCode="0.000"/>
  </numFmts>
  <fonts count="22">
    <font>
      <name val="Calibri"/>
      <charset val="1"/>
      <family val="2"/>
      <color theme="1"/>
      <sz val="11"/>
    </font>
    <font>
      <name val="Arial"/>
      <family val="0"/>
      <sz val="10"/>
    </font>
    <font>
      <name val="Arial"/>
      <family val="0"/>
      <sz val="10"/>
    </font>
    <font>
      <name val="Arial"/>
      <family val="0"/>
      <sz val="10"/>
    </font>
    <font>
      <name val="Bahnschrift Light Condensed"/>
      <charset val="1"/>
      <family val="2"/>
      <color theme="1"/>
      <sz val="11"/>
    </font>
    <font>
      <name val="Bahnschrift Light Condensed"/>
      <charset val="1"/>
      <family val="2"/>
      <b val="1"/>
      <color theme="1"/>
      <sz val="11"/>
    </font>
    <font>
      <name val="Calibri"/>
      <charset val="1"/>
      <family val="2"/>
      <color theme="10"/>
      <sz val="11"/>
      <u val="single"/>
    </font>
    <font>
      <name val="Bahnschrift Light Condensed"/>
      <charset val="1"/>
      <family val="2"/>
      <color theme="10"/>
      <sz val="11"/>
      <u val="single"/>
    </font>
    <font>
      <name val="Bahnschrift Light Condensed"/>
      <charset val="1"/>
      <family val="2"/>
      <color rgb="FF000000"/>
      <sz val="11"/>
    </font>
    <font>
      <name val="Swis721 Cn BT"/>
      <charset val="1"/>
      <family val="2"/>
      <color theme="1"/>
      <sz val="10"/>
    </font>
    <font>
      <name val="Bahnschrift Light Condensed"/>
      <charset val="1"/>
      <family val="2"/>
      <color theme="1"/>
      <sz val="10.5"/>
    </font>
    <font>
      <name val="Bahnschrift Light Condensed"/>
      <charset val="1"/>
      <family val="2"/>
      <color theme="1"/>
      <sz val="10"/>
    </font>
    <font>
      <name val="Calibri"/>
      <charset val="1"/>
      <family val="2"/>
      <b val="1"/>
      <color theme="1"/>
      <sz val="11"/>
    </font>
    <font>
      <name val="Bahnschrift Light Condensed"/>
      <charset val="1"/>
      <family val="2"/>
      <color theme="1"/>
      <sz val="11"/>
      <u val="single"/>
    </font>
    <font>
      <name val="Bahnschrift Light Condensed"/>
      <charset val="1"/>
      <family val="2"/>
      <b val="1"/>
      <color rgb="FF000000"/>
      <sz val="11"/>
    </font>
    <font>
      <name val="Bahnschrift Light Condensed"/>
      <charset val="1"/>
      <family val="2"/>
      <b val="1"/>
      <i val="1"/>
      <sz val="11"/>
    </font>
    <font>
      <name val="Bahnschrift Light Condensed"/>
      <charset val="1"/>
      <family val="2"/>
      <sz val="11"/>
    </font>
    <font>
      <name val="Bahnschrift Light Condensed"/>
      <charset val="1"/>
      <family val="2"/>
      <b val="1"/>
      <sz val="11"/>
    </font>
    <font>
      <name val="Calibri"/>
      <charset val="1"/>
      <family val="2"/>
      <color rgb="FFFFA6A6"/>
      <sz val="11"/>
    </font>
    <font>
      <name val="Bahnschrift Light Condensed"/>
      <charset val="1"/>
      <family val="0"/>
      <b val="1"/>
      <sz val="12"/>
    </font>
    <font>
      <name val="Bahnschrift Light Condensed"/>
      <charset val="1"/>
      <family val="0"/>
      <sz val="12"/>
    </font>
    <font>
      <name val="Bahnschrift Light Condensed"/>
      <charset val="1"/>
      <family val="0"/>
      <color theme="1"/>
      <sz val="12"/>
    </font>
  </fonts>
  <fills count="13">
    <fill>
      <patternFill/>
    </fill>
    <fill>
      <patternFill patternType="gray125"/>
    </fill>
    <fill>
      <patternFill patternType="solid">
        <fgColor theme="0" tint="-0.05"/>
        <bgColor rgb="FFE2F0D9"/>
      </patternFill>
    </fill>
    <fill>
      <patternFill patternType="solid">
        <fgColor theme="6" tint="0.5998"/>
        <bgColor rgb="FFD9D9D9"/>
      </patternFill>
    </fill>
    <fill>
      <patternFill patternType="solid">
        <fgColor rgb="FFFFFFFF"/>
        <bgColor rgb="FFF2F2F2"/>
      </patternFill>
    </fill>
    <fill>
      <patternFill patternType="solid">
        <fgColor rgb="FFD9D9D9"/>
        <bgColor rgb="FFDBDBDB"/>
      </patternFill>
    </fill>
    <fill>
      <patternFill patternType="solid">
        <fgColor theme="0" tint="-0.25"/>
        <bgColor rgb="FFC0C0C0"/>
      </patternFill>
    </fill>
    <fill>
      <patternFill patternType="solid">
        <fgColor rgb="FFC0C0C0"/>
        <bgColor rgb="FFBFBFBF"/>
      </patternFill>
    </fill>
    <fill>
      <patternFill patternType="solid">
        <fgColor rgb="FFFFA6A6"/>
        <bgColor rgb="FFFFB66C"/>
      </patternFill>
    </fill>
    <fill>
      <patternFill patternType="solid">
        <fgColor rgb="FFFFB66C"/>
        <bgColor rgb="FFFFA6A6"/>
      </patternFill>
    </fill>
    <fill>
      <patternFill patternType="solid">
        <fgColor theme="9" tint="0.7998"/>
        <bgColor rgb="FFF2F2F2"/>
      </patternFill>
    </fill>
    <fill>
      <patternFill patternType="solid">
        <fgColor rgb="FFD9D9D9"/>
        <bgColor rgb="FFEDEDED"/>
      </patternFill>
    </fill>
    <fill>
      <patternFill patternType="solid">
        <fgColor rgb="FFEDEDED"/>
        <bgColor rgb="FFD9D9D9"/>
      </patternFill>
    </fill>
  </fills>
  <borders count="54">
    <border>
      <left/>
      <right/>
      <top/>
      <bottom/>
      <diagonal/>
    </border>
    <border>
      <left/>
      <right style="dotted"/>
      <top style="hair"/>
      <bottom style="dotted"/>
      <diagonal/>
    </border>
    <border>
      <left style="dotted"/>
      <right style="dotted"/>
      <top style="hair"/>
      <bottom style="dotted"/>
      <diagonal/>
    </border>
    <border>
      <left style="dotted"/>
      <right/>
      <top style="hair"/>
      <bottom style="dotted"/>
      <diagonal/>
    </border>
    <border>
      <left style="dotted"/>
      <right style="dotted"/>
      <top style="dotted"/>
      <bottom style="dotted"/>
      <diagonal/>
    </border>
    <border>
      <left style="dotted"/>
      <right/>
      <top style="dotted"/>
      <bottom style="dotted"/>
      <diagonal/>
    </border>
    <border>
      <left/>
      <right style="dotted"/>
      <top style="dotted"/>
      <bottom style="dotted"/>
      <diagonal/>
    </border>
    <border>
      <left/>
      <right style="dotted"/>
      <top style="dotted"/>
      <bottom style="hair"/>
      <diagonal/>
    </border>
    <border>
      <left style="dotted"/>
      <right style="dotted"/>
      <top style="dotted"/>
      <bottom style="hair"/>
      <diagonal/>
    </border>
    <border>
      <left style="dotted"/>
      <right/>
      <top style="dotted"/>
      <bottom style="hair"/>
      <diagonal/>
    </border>
    <border>
      <left/>
      <right/>
      <top/>
      <bottom style="dotted"/>
      <diagonal/>
    </border>
    <border>
      <left/>
      <right/>
      <top style="hair"/>
      <bottom style="dotted"/>
      <diagonal/>
    </border>
    <border>
      <left/>
      <right/>
      <top style="dotted"/>
      <bottom style="dotted"/>
      <diagonal/>
    </border>
    <border>
      <left/>
      <right/>
      <top/>
      <bottom style="thin"/>
      <diagonal/>
    </border>
    <border>
      <left/>
      <right style="dotted"/>
      <top style="thin"/>
      <bottom style="dotted"/>
      <diagonal/>
    </border>
    <border>
      <left style="dotted"/>
      <right style="dotted"/>
      <top style="thin"/>
      <bottom style="dotted"/>
      <diagonal/>
    </border>
    <border>
      <left style="dotted"/>
      <right/>
      <top style="thin"/>
      <bottom style="dotted"/>
      <diagonal/>
    </border>
    <border>
      <left/>
      <right style="dotted"/>
      <top style="dotted"/>
      <bottom style="thin"/>
      <diagonal/>
    </border>
    <border>
      <left style="dotted"/>
      <right style="dotted"/>
      <top style="dotted"/>
      <bottom style="thin"/>
      <diagonal/>
    </border>
    <border>
      <left style="dotted"/>
      <right/>
      <top style="dotted"/>
      <bottom style="thin"/>
      <diagonal/>
    </border>
    <border>
      <left/>
      <right/>
      <top style="thin"/>
      <bottom style="thin"/>
      <diagonal/>
    </border>
    <border>
      <left/>
      <right/>
      <top style="thin"/>
      <bottom style="dotted"/>
      <diagonal/>
    </border>
    <border>
      <left/>
      <right/>
      <top style="dotted"/>
      <bottom style="thin"/>
      <diagonal/>
    </border>
    <border>
      <left style="thin"/>
      <right style="thin"/>
      <top style="thin"/>
      <bottom style="thin"/>
      <diagonal/>
    </border>
    <border>
      <left style="thin"/>
      <right/>
      <top style="thin"/>
      <bottom style="thin"/>
      <diagonal/>
    </border>
    <border>
      <left style="thin"/>
      <right style="thin"/>
      <top/>
      <bottom style="thin"/>
      <diagonal/>
    </border>
    <border>
      <left style="thin"/>
      <right style="thin"/>
      <top style="thin"/>
      <bottom/>
      <diagonal/>
    </border>
    <border>
      <left/>
      <right style="thin"/>
      <top style="thin"/>
      <bottom style="thin"/>
      <diagonal/>
    </border>
    <border>
      <left/>
      <right style="dotted"/>
      <top/>
      <bottom/>
      <diagonal/>
    </border>
    <border>
      <left style="dotted"/>
      <right/>
      <top style="dotted"/>
      <bottom/>
      <diagonal/>
    </border>
    <border>
      <left/>
      <right/>
      <top style="dotted"/>
      <bottom/>
      <diagonal/>
    </border>
    <border>
      <left/>
      <right style="dotted"/>
      <top style="dotted"/>
      <bottom/>
      <diagonal/>
    </border>
    <border>
      <left style="dotted"/>
      <right/>
      <top/>
      <bottom/>
      <diagonal/>
    </border>
    <border>
      <left style="dotted"/>
      <right style="dotted"/>
      <top style="dotted"/>
      <bottom/>
      <diagonal/>
    </border>
    <border>
      <left style="dotted">
        <color rgb="FF2A6099"/>
      </left>
      <right style="dotted">
        <color rgb="FF2A6099"/>
      </right>
      <top style="dotted">
        <color rgb="FF2A6099"/>
      </top>
      <bottom style="dotted">
        <color rgb="FF2A6099"/>
      </bottom>
      <diagonal/>
    </border>
    <border>
      <left/>
      <right/>
      <top style="hair"/>
      <bottom/>
      <diagonal/>
    </border>
    <border>
      <left/>
      <right style="dotted"/>
      <top style="hair"/>
      <bottom/>
      <diagonal/>
    </border>
    <border>
      <left/>
      <right style="dotted"/>
      <top/>
      <bottom style="dotted"/>
      <diagonal/>
    </border>
    <border>
      <left/>
      <right/>
      <top style="dotted"/>
      <bottom style="hair"/>
      <diagonal/>
    </border>
    <border>
      <left style="dotted"/>
      <right/>
      <top/>
      <bottom style="dotted"/>
      <diagonal/>
    </border>
    <border>
      <left style="dotted"/>
      <right/>
      <top/>
      <bottom style="hair"/>
      <diagonal/>
    </border>
    <border>
      <left/>
      <right/>
      <top/>
      <bottom style="hair"/>
      <diagonal/>
    </border>
    <border>
      <left/>
      <right/>
      <top style="thin"/>
      <bottom/>
      <diagonal/>
    </border>
    <border>
      <left/>
      <right style="dotted"/>
      <top style="thin"/>
      <bottom/>
      <diagonal/>
    </border>
    <border>
      <left/>
      <right style="dotted"/>
      <top/>
      <bottom style="thin"/>
      <diagonal/>
    </border>
    <border>
      <left style="dotted"/>
      <right/>
      <top/>
      <bottom style="thin"/>
      <diagonal/>
    </border>
    <border>
      <left/>
      <right style="thin"/>
      <top style="thin"/>
      <bottom/>
      <diagonal/>
    </border>
    <border>
      <left style="thin"/>
      <right/>
      <top/>
      <bottom/>
      <diagonal/>
    </border>
    <border>
      <left/>
      <right style="thin"/>
      <top/>
      <bottom/>
      <diagonal/>
    </border>
    <border>
      <left style="thin"/>
      <right/>
      <top/>
      <bottom style="thin"/>
      <diagonal/>
    </border>
    <border>
      <left/>
      <right style="thin"/>
      <top/>
      <bottom style="thin"/>
      <diagonal/>
    </border>
    <border>
      <left style="dotted"/>
      <right style="dotted"/>
      <top/>
      <bottom/>
      <diagonal/>
    </border>
    <border>
      <left style="thin"/>
      <right style="thin"/>
      <top/>
      <bottom/>
      <diagonal/>
    </border>
    <border>
      <left style="dotted"/>
      <right style="dotted"/>
      <top/>
      <bottom style="dotted"/>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6" fillId="0" borderId="0" applyAlignment="1">
      <alignment horizontal="general" vertical="bottom"/>
    </xf>
  </cellStyleXfs>
  <cellXfs count="32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left" vertical="bottom" wrapText="1"/>
    </xf>
    <xf numFmtId="0" fontId="7" fillId="0" borderId="0" applyAlignment="1" pivotButton="0" quotePrefix="0" xfId="20">
      <alignment horizontal="general" vertical="bottom"/>
    </xf>
    <xf numFmtId="0" fontId="8" fillId="0" borderId="0" applyAlignment="1" pivotButton="0" quotePrefix="0" xfId="20">
      <alignment horizontal="general" vertical="center" wrapText="1"/>
    </xf>
    <xf numFmtId="0" fontId="5" fillId="0" borderId="0" applyAlignment="1" pivotButton="0" quotePrefix="0" xfId="0">
      <alignment horizontal="left" vertical="bottom" wrapText="1"/>
    </xf>
    <xf numFmtId="0" fontId="4" fillId="0" borderId="0" applyAlignment="1" pivotButton="0" quotePrefix="0" xfId="0">
      <alignment horizontal="general" vertical="center" wrapText="1"/>
    </xf>
    <xf numFmtId="0" fontId="4" fillId="0" borderId="0" applyAlignment="1" pivotButton="0" quotePrefix="0" xfId="0">
      <alignment horizontal="center" vertical="bottom"/>
    </xf>
    <xf numFmtId="0" fontId="4" fillId="0" borderId="1" applyAlignment="1" pivotButton="0" quotePrefix="0" xfId="0">
      <alignment horizontal="justify" vertical="center"/>
    </xf>
    <xf numFmtId="0" fontId="5" fillId="0" borderId="2" applyAlignment="1" pivotButton="0" quotePrefix="0" xfId="0">
      <alignment horizontal="center" vertical="bottom"/>
    </xf>
    <xf numFmtId="0" fontId="5" fillId="0" borderId="3" applyAlignment="1" pivotButton="0" quotePrefix="0" xfId="0">
      <alignment horizontal="center" vertical="bottom"/>
    </xf>
    <xf numFmtId="0" fontId="4" fillId="0" borderId="4" applyAlignment="1" pivotButton="0" quotePrefix="0" xfId="0">
      <alignment horizontal="center" vertical="bottom"/>
    </xf>
    <xf numFmtId="0" fontId="4" fillId="0" borderId="5" applyAlignment="1" pivotButton="0" quotePrefix="0" xfId="0">
      <alignment horizontal="center" vertical="bottom"/>
    </xf>
    <xf numFmtId="0" fontId="4" fillId="0" borderId="6" applyAlignment="1" pivotButton="0" quotePrefix="0" xfId="0">
      <alignment horizontal="justify" vertical="bottom"/>
    </xf>
    <xf numFmtId="0" fontId="4" fillId="0" borderId="6" applyAlignment="1" pivotButton="0" quotePrefix="0" xfId="0">
      <alignment horizontal="justify"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7" applyAlignment="1" pivotButton="0" quotePrefix="0" xfId="0">
      <alignment horizontal="justify" vertical="bottom"/>
    </xf>
    <xf numFmtId="0" fontId="4" fillId="0" borderId="8" applyAlignment="1" pivotButton="0" quotePrefix="0" xfId="0">
      <alignment horizontal="center" vertical="bottom"/>
    </xf>
    <xf numFmtId="0" fontId="4" fillId="0" borderId="9" applyAlignment="1" pivotButton="0" quotePrefix="0" xfId="0">
      <alignment horizontal="center" vertical="bottom"/>
    </xf>
    <xf numFmtId="0" fontId="5" fillId="0" borderId="0" applyAlignment="1" pivotButton="0" quotePrefix="0" xfId="0">
      <alignment horizontal="general" vertical="bottom"/>
    </xf>
    <xf numFmtId="0" fontId="9" fillId="0" borderId="0" applyAlignment="1" pivotButton="0" quotePrefix="0" xfId="0">
      <alignment horizontal="general" vertical="bottom"/>
    </xf>
    <xf numFmtId="0" fontId="4" fillId="0" borderId="1" applyAlignment="1" pivotButton="0" quotePrefix="0" xfId="0">
      <alignment horizontal="general" vertical="center"/>
    </xf>
    <xf numFmtId="0" fontId="4" fillId="0" borderId="2" applyAlignment="1" pivotButton="0" quotePrefix="0" xfId="0">
      <alignment horizontal="center" vertical="bottom"/>
    </xf>
    <xf numFmtId="0" fontId="10" fillId="0" borderId="2" applyAlignment="1" pivotButton="0" quotePrefix="0" xfId="0">
      <alignment horizontal="center" vertical="bottom"/>
    </xf>
    <xf numFmtId="0" fontId="11" fillId="0" borderId="2" applyAlignment="1" pivotButton="0" quotePrefix="0" xfId="0">
      <alignment horizontal="center" vertical="bottom"/>
    </xf>
    <xf numFmtId="0" fontId="4" fillId="0" borderId="3" applyAlignment="1" pivotButton="0" quotePrefix="0" xfId="0">
      <alignment horizontal="center" vertical="bottom"/>
    </xf>
    <xf numFmtId="0" fontId="4" fillId="0" borderId="6" applyAlignment="1" pivotButton="0" quotePrefix="0" xfId="0">
      <alignment horizontal="general" vertical="bottom"/>
    </xf>
    <xf numFmtId="12" fontId="4" fillId="0" borderId="8" applyAlignment="1" pivotButton="0" quotePrefix="0" xfId="0">
      <alignment horizontal="center" vertical="bottom"/>
    </xf>
    <xf numFmtId="12" fontId="4" fillId="0" borderId="9" applyAlignment="1" pivotButton="0" quotePrefix="0" xfId="0">
      <alignment horizontal="center" vertical="bottom"/>
    </xf>
    <xf numFmtId="0" fontId="4" fillId="0" borderId="0" applyAlignment="1" pivotButton="0" quotePrefix="0" xfId="0">
      <alignment horizontal="left" vertical="bottom" wrapText="1"/>
    </xf>
    <xf numFmtId="0" fontId="4" fillId="0" borderId="10" applyAlignment="1" pivotButton="0" quotePrefix="0" xfId="0">
      <alignment horizontal="left" vertical="bottom" wrapText="1"/>
    </xf>
    <xf numFmtId="0" fontId="4" fillId="0" borderId="10" applyAlignment="1" pivotButton="0" quotePrefix="0" xfId="0">
      <alignment horizontal="general" vertical="bottom"/>
    </xf>
    <xf numFmtId="0" fontId="5" fillId="0" borderId="11" applyAlignment="1" pivotButton="0" quotePrefix="0" xfId="0">
      <alignment horizontal="left" vertical="center"/>
    </xf>
    <xf numFmtId="0" fontId="4" fillId="0" borderId="6" applyAlignment="1" pivotButton="0" quotePrefix="0" xfId="0">
      <alignment horizontal="center" vertical="bottom"/>
    </xf>
    <xf numFmtId="0" fontId="5" fillId="0" borderId="5" applyAlignment="1" pivotButton="0" quotePrefix="0" xfId="0">
      <alignment horizontal="center" vertical="center"/>
    </xf>
    <xf numFmtId="0" fontId="5" fillId="0" borderId="12" applyAlignment="1" pivotButton="0" quotePrefix="0" xfId="0">
      <alignment horizontal="left" vertical="center"/>
    </xf>
    <xf numFmtId="0" fontId="5" fillId="0" borderId="9" applyAlignment="1" pivotButton="0" quotePrefix="0" xfId="0">
      <alignment horizontal="center" vertical="center"/>
    </xf>
    <xf numFmtId="0" fontId="4" fillId="0" borderId="7" applyAlignment="1" pivotButton="0" quotePrefix="0" xfId="0">
      <alignment horizontal="center" vertical="bottom"/>
    </xf>
    <xf numFmtId="0" fontId="12" fillId="0" borderId="0" applyAlignment="1" pivotButton="0" quotePrefix="0" xfId="0">
      <alignment horizontal="general" vertical="bottom"/>
    </xf>
    <xf numFmtId="0" fontId="0" fillId="0" borderId="0" applyAlignment="1" pivotButton="0" quotePrefix="0" xfId="0">
      <alignment horizontal="center" vertical="bottom"/>
    </xf>
    <xf numFmtId="0" fontId="5" fillId="2" borderId="13" applyAlignment="1" pivotButton="0" quotePrefix="0" xfId="0">
      <alignment horizontal="left" vertical="center" wrapText="1"/>
    </xf>
    <xf numFmtId="0" fontId="5" fillId="0" borderId="0" applyAlignment="1" pivotButton="0" quotePrefix="0" xfId="0">
      <alignment horizontal="general" vertical="bottom" wrapText="1"/>
    </xf>
    <xf numFmtId="0" fontId="5" fillId="0" borderId="0" applyAlignment="1" pivotButton="0" quotePrefix="0" xfId="0">
      <alignment horizontal="left" vertical="center" wrapText="1"/>
    </xf>
    <xf numFmtId="0" fontId="4" fillId="0" borderId="0" applyAlignment="1" pivotButton="0" quotePrefix="0" xfId="0">
      <alignment horizontal="general" vertical="bottom" wrapText="1"/>
    </xf>
    <xf numFmtId="0" fontId="4" fillId="0" borderId="0" applyAlignment="1" pivotButton="0" quotePrefix="0" xfId="0">
      <alignment horizontal="left" vertical="center" wrapText="1"/>
    </xf>
    <xf numFmtId="0" fontId="5" fillId="0" borderId="14" applyAlignment="1" pivotButton="0" quotePrefix="0" xfId="0">
      <alignment horizontal="center" vertical="center"/>
    </xf>
    <xf numFmtId="0" fontId="5" fillId="0" borderId="15" applyAlignment="1" pivotButton="0" quotePrefix="0" xfId="0">
      <alignment horizontal="center" vertical="center"/>
    </xf>
    <xf numFmtId="0" fontId="5" fillId="0" borderId="16" applyAlignment="1" pivotButton="0" quotePrefix="0" xfId="0">
      <alignment horizontal="center" vertical="center"/>
    </xf>
    <xf numFmtId="0" fontId="4" fillId="0" borderId="17" applyAlignment="1" pivotButton="0" quotePrefix="0" xfId="0">
      <alignment horizontal="center" vertical="center" wrapText="1"/>
    </xf>
    <xf numFmtId="0" fontId="4" fillId="0" borderId="18" applyAlignment="1" pivotButton="0" quotePrefix="0" xfId="0">
      <alignment horizontal="center" vertical="center"/>
    </xf>
    <xf numFmtId="0" fontId="4" fillId="0" borderId="19" applyAlignment="1" pivotButton="0" quotePrefix="0" xfId="0">
      <alignment horizontal="center" vertical="center" wrapText="1"/>
    </xf>
    <xf numFmtId="0" fontId="5" fillId="2" borderId="20" applyAlignment="1" pivotButton="0" quotePrefix="0" xfId="0">
      <alignment horizontal="left" vertical="bottom" wrapText="1"/>
    </xf>
    <xf numFmtId="0" fontId="4" fillId="0" borderId="0" applyAlignment="1" pivotButton="0" quotePrefix="0" xfId="0">
      <alignment horizontal="left" vertical="bottom"/>
    </xf>
    <xf numFmtId="0" fontId="11" fillId="0" borderId="18" applyAlignment="1" pivotButton="0" quotePrefix="0" xfId="0">
      <alignment horizontal="center" vertical="center" wrapText="1"/>
    </xf>
    <xf numFmtId="0" fontId="5" fillId="2" borderId="13" applyAlignment="1" pivotButton="0" quotePrefix="0" xfId="0">
      <alignment horizontal="general" vertical="bottom" wrapText="1"/>
    </xf>
    <xf numFmtId="0" fontId="4" fillId="2" borderId="13" applyAlignment="1" pivotButton="0" quotePrefix="0" xfId="0">
      <alignment horizontal="general" vertical="bottom"/>
    </xf>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13" fillId="0" borderId="0" applyAlignment="1" pivotButton="0" quotePrefix="0" xfId="0">
      <alignment horizontal="general" vertical="bottom" wrapText="1"/>
    </xf>
    <xf numFmtId="0" fontId="5" fillId="0" borderId="0" applyAlignment="1" pivotButton="0" quotePrefix="0" xfId="0">
      <alignment horizontal="center" vertical="bottom" wrapText="1"/>
    </xf>
    <xf numFmtId="0" fontId="14" fillId="0" borderId="21" applyAlignment="1" pivotButton="0" quotePrefix="0" xfId="0">
      <alignment horizontal="center" vertical="center" wrapText="1"/>
    </xf>
    <xf numFmtId="0" fontId="5" fillId="0" borderId="21" applyAlignment="1" pivotButton="0" quotePrefix="0" xfId="0">
      <alignment horizontal="center" vertical="center"/>
    </xf>
    <xf numFmtId="49" fontId="4" fillId="0" borderId="12" applyAlignment="1" pivotButton="0" quotePrefix="0" xfId="0">
      <alignment horizontal="center" vertical="bottom"/>
    </xf>
    <xf numFmtId="0" fontId="5" fillId="0" borderId="12" applyAlignment="1" pivotButton="0" quotePrefix="0" xfId="0">
      <alignment horizontal="center" vertical="center"/>
    </xf>
    <xf numFmtId="0" fontId="4" fillId="0" borderId="22" applyAlignment="1" pivotButton="0" quotePrefix="0" xfId="0">
      <alignment horizontal="center" vertical="bottom"/>
    </xf>
    <xf numFmtId="49" fontId="4" fillId="0" borderId="22" applyAlignment="1" pivotButton="0" quotePrefix="0" xfId="0">
      <alignment horizontal="center" vertical="bottom"/>
    </xf>
    <xf numFmtId="0" fontId="15" fillId="3" borderId="23" applyAlignment="1" pivotButton="0" quotePrefix="0" xfId="0">
      <alignment horizontal="center" vertical="center"/>
    </xf>
    <xf numFmtId="0" fontId="16" fillId="0" borderId="0" applyAlignment="1" pivotButton="0" quotePrefix="0" xfId="0">
      <alignment horizontal="general" vertical="bottom"/>
    </xf>
    <xf numFmtId="0" fontId="15" fillId="3" borderId="23" applyAlignment="1" pivotButton="0" quotePrefix="0" xfId="0">
      <alignment horizontal="left" vertical="center"/>
    </xf>
    <xf numFmtId="0" fontId="16" fillId="4" borderId="20" applyAlignment="1" pivotButton="0" quotePrefix="0" xfId="0">
      <alignment horizontal="center" vertical="bottom"/>
    </xf>
    <xf numFmtId="0" fontId="17" fillId="5" borderId="23" applyAlignment="1" pivotButton="0" quotePrefix="0" xfId="0">
      <alignment horizontal="center" vertical="center"/>
    </xf>
    <xf numFmtId="0" fontId="17" fillId="0" borderId="24" applyAlignment="1" pivotButton="0" quotePrefix="0" xfId="0">
      <alignment horizontal="center" vertical="center"/>
    </xf>
    <xf numFmtId="0" fontId="17" fillId="0" borderId="23" applyAlignment="1" pivotButton="0" quotePrefix="0" xfId="0">
      <alignment horizontal="center" vertical="center"/>
    </xf>
    <xf numFmtId="0" fontId="17" fillId="0" borderId="23" applyAlignment="1" pivotButton="0" quotePrefix="0" xfId="0">
      <alignment horizontal="center" vertical="center" shrinkToFit="1"/>
    </xf>
    <xf numFmtId="0" fontId="17" fillId="0" borderId="0" applyAlignment="1" pivotButton="0" quotePrefix="0" xfId="0">
      <alignment horizontal="center" vertical="center"/>
    </xf>
    <xf numFmtId="0" fontId="16" fillId="5" borderId="23" applyAlignment="1" pivotButton="0" quotePrefix="0" xfId="0">
      <alignment horizontal="right" vertical="bottom" textRotation="90"/>
    </xf>
    <xf numFmtId="0" fontId="16" fillId="5" borderId="25" applyAlignment="1" pivotButton="0" quotePrefix="0" xfId="0">
      <alignment horizontal="right" vertical="bottom" textRotation="90"/>
    </xf>
    <xf numFmtId="0" fontId="17" fillId="0" borderId="0" applyAlignment="1" pivotButton="0" quotePrefix="0" xfId="0">
      <alignment horizontal="right" vertical="bottom"/>
    </xf>
    <xf numFmtId="0" fontId="16" fillId="0" borderId="26" applyAlignment="1" pivotButton="0" quotePrefix="0" xfId="0">
      <alignment horizontal="right" vertical="bottom" textRotation="90"/>
    </xf>
    <xf numFmtId="0" fontId="16" fillId="0" borderId="23" applyAlignment="1" pivotButton="0" quotePrefix="0" xfId="0">
      <alignment horizontal="right" vertical="bottom" textRotation="90"/>
    </xf>
    <xf numFmtId="0" fontId="16" fillId="0" borderId="23" applyAlignment="1" pivotButton="0" quotePrefix="0" xfId="0">
      <alignment horizontal="center" vertical="center" textRotation="90"/>
    </xf>
    <xf numFmtId="0" fontId="16" fillId="5" borderId="23" applyAlignment="1" pivotButton="0" quotePrefix="0" xfId="0">
      <alignment horizontal="center" vertical="bottom"/>
    </xf>
    <xf numFmtId="164" fontId="17" fillId="5" borderId="27" applyAlignment="1" pivotButton="0" quotePrefix="0" xfId="0">
      <alignment horizontal="center" vertical="center"/>
    </xf>
    <xf numFmtId="0" fontId="17" fillId="5" borderId="23" applyAlignment="1" pivotButton="0" quotePrefix="0" xfId="0">
      <alignment horizontal="center" vertical="center" wrapText="1"/>
    </xf>
    <xf numFmtId="0" fontId="17" fillId="5" borderId="28" applyAlignment="1" pivotButton="0" quotePrefix="0" xfId="0">
      <alignment horizontal="left" vertical="center" indent="1"/>
    </xf>
    <xf numFmtId="0" fontId="17" fillId="0" borderId="0" applyAlignment="1" pivotButton="0" quotePrefix="0" xfId="0">
      <alignment horizontal="left" vertical="center" indent="1"/>
    </xf>
    <xf numFmtId="0" fontId="17" fillId="5" borderId="29" applyAlignment="1" pivotButton="0" quotePrefix="0" xfId="0">
      <alignment horizontal="center" vertical="center"/>
    </xf>
    <xf numFmtId="0" fontId="17" fillId="5" borderId="30" applyAlignment="1" pivotButton="0" quotePrefix="0" xfId="0">
      <alignment horizontal="center" vertical="center"/>
    </xf>
    <xf numFmtId="0" fontId="17" fillId="5" borderId="31" applyAlignment="1" pivotButton="0" quotePrefix="0" xfId="0">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center" vertical="center"/>
    </xf>
    <xf numFmtId="0" fontId="17" fillId="5" borderId="32" applyAlignment="1" pivotButton="0" quotePrefix="0" xfId="0">
      <alignment horizontal="center" vertical="center"/>
    </xf>
    <xf numFmtId="0" fontId="17" fillId="5" borderId="0" applyAlignment="1" pivotButton="0" quotePrefix="0" xfId="0">
      <alignment horizontal="center" vertical="center"/>
    </xf>
    <xf numFmtId="0" fontId="17" fillId="5" borderId="28" applyAlignment="1" pivotButton="0" quotePrefix="0" xfId="0">
      <alignment horizontal="center" vertical="center"/>
    </xf>
    <xf numFmtId="0" fontId="17" fillId="5" borderId="16" applyAlignment="1" pivotButton="0" quotePrefix="0" xfId="0">
      <alignment horizontal="center" vertical="center"/>
    </xf>
    <xf numFmtId="0" fontId="17" fillId="5" borderId="21" applyAlignment="1" pivotButton="0" quotePrefix="0" xfId="0">
      <alignment horizontal="center" vertical="center"/>
    </xf>
    <xf numFmtId="0" fontId="17" fillId="5" borderId="6" applyAlignment="1" pivotButton="0" quotePrefix="0" xfId="0">
      <alignment horizontal="center" vertical="center"/>
    </xf>
    <xf numFmtId="0" fontId="17" fillId="5" borderId="4" applyAlignment="1" pivotButton="0" quotePrefix="0" xfId="0">
      <alignment horizontal="center" vertical="center"/>
    </xf>
    <xf numFmtId="0" fontId="16" fillId="0" borderId="6" applyAlignment="1" pivotButton="0" quotePrefix="0" xfId="0">
      <alignment horizontal="center" vertical="center"/>
    </xf>
    <xf numFmtId="0" fontId="16" fillId="0" borderId="4" applyAlignment="1" pivotButton="0" quotePrefix="0" xfId="0">
      <alignment horizontal="center" vertical="center"/>
    </xf>
    <xf numFmtId="0" fontId="16" fillId="0" borderId="4" applyAlignment="1" pivotButton="0" quotePrefix="0" xfId="0">
      <alignment horizontal="general" vertical="center"/>
    </xf>
    <xf numFmtId="0" fontId="16" fillId="0" borderId="0" applyAlignment="1" pivotButton="0" quotePrefix="0" xfId="0">
      <alignment horizontal="general" vertical="center"/>
    </xf>
    <xf numFmtId="0" fontId="16" fillId="6" borderId="4" applyAlignment="1" pivotButton="0" quotePrefix="0" xfId="0">
      <alignment horizontal="center" vertical="center" textRotation="90"/>
    </xf>
    <xf numFmtId="0" fontId="16" fillId="6" borderId="4" applyAlignment="1" pivotButton="0" quotePrefix="0" xfId="0">
      <alignment horizontal="center" vertical="center"/>
    </xf>
    <xf numFmtId="0" fontId="16" fillId="0" borderId="0" applyAlignment="1" pivotButton="0" quotePrefix="0" xfId="0">
      <alignment horizontal="center" vertical="center"/>
    </xf>
    <xf numFmtId="0" fontId="16" fillId="7" borderId="4" applyAlignment="1" pivotButton="0" quotePrefix="0" xfId="0">
      <alignment horizontal="center" vertical="center" textRotation="90"/>
    </xf>
    <xf numFmtId="0" fontId="16" fillId="0" borderId="33" applyAlignment="1" pivotButton="0" quotePrefix="0" xfId="0">
      <alignment horizontal="center" vertical="center"/>
    </xf>
    <xf numFmtId="0" fontId="16" fillId="7" borderId="4" applyAlignment="1" pivotButton="0" quotePrefix="0" xfId="0">
      <alignment horizontal="center" vertical="center"/>
    </xf>
    <xf numFmtId="0" fontId="16" fillId="0" borderId="0" applyAlignment="1" pivotButton="0" quotePrefix="0" xfId="0">
      <alignment horizontal="center" vertical="center"/>
    </xf>
    <xf numFmtId="0" fontId="16" fillId="0" borderId="4" applyAlignment="1" pivotButton="0" quotePrefix="0" xfId="0">
      <alignment horizontal="center" vertical="center" textRotation="90"/>
    </xf>
    <xf numFmtId="0" fontId="16" fillId="0" borderId="0" applyAlignment="1" pivotButton="0" quotePrefix="0" xfId="0">
      <alignment horizontal="center" vertical="center" textRotation="90"/>
    </xf>
    <xf numFmtId="0" fontId="16" fillId="7" borderId="34" applyAlignment="1" pivotButton="0" quotePrefix="0" xfId="0">
      <alignment horizontal="center" vertical="center" textRotation="90"/>
    </xf>
    <xf numFmtId="0" fontId="16" fillId="0" borderId="34" applyAlignment="1" pivotButton="0" quotePrefix="0" xfId="0">
      <alignment horizontal="center" vertical="center" textRotation="90"/>
    </xf>
    <xf numFmtId="0" fontId="16" fillId="4" borderId="4" applyAlignment="1" pivotButton="0" quotePrefix="0" xfId="0">
      <alignment horizontal="center" vertical="center"/>
    </xf>
    <xf numFmtId="0" fontId="16" fillId="6" borderId="34" applyAlignment="1" pivotButton="0" quotePrefix="0" xfId="0">
      <alignment horizontal="center" vertical="center"/>
    </xf>
    <xf numFmtId="0" fontId="16" fillId="0" borderId="34" applyAlignment="1" pivotButton="0" quotePrefix="0" xfId="0">
      <alignment horizontal="center" vertical="center"/>
    </xf>
    <xf numFmtId="0" fontId="17" fillId="6" borderId="4" applyAlignment="1" pivotButton="0" quotePrefix="0" xfId="0">
      <alignment horizontal="center" vertical="center"/>
    </xf>
    <xf numFmtId="0" fontId="17" fillId="0" borderId="4" applyAlignment="1" pivotButton="0" quotePrefix="0" xfId="0">
      <alignment horizontal="center" vertical="center"/>
    </xf>
    <xf numFmtId="0" fontId="17" fillId="0" borderId="34" applyAlignment="1" pivotButton="0" quotePrefix="0" xfId="0">
      <alignment horizontal="center" vertical="center"/>
    </xf>
    <xf numFmtId="0" fontId="16" fillId="6" borderId="4" applyAlignment="1" pivotButton="0" quotePrefix="0" xfId="0">
      <alignment horizontal="general" vertical="center"/>
    </xf>
    <xf numFmtId="0" fontId="16" fillId="4" borderId="4" applyAlignment="1" pivotButton="0" quotePrefix="0" xfId="0">
      <alignment horizontal="general" vertical="bottom"/>
    </xf>
    <xf numFmtId="0" fontId="16" fillId="0" borderId="4" applyAlignment="1" pivotButton="0" quotePrefix="0" xfId="0">
      <alignment horizontal="general" vertical="bottom"/>
    </xf>
    <xf numFmtId="0" fontId="16" fillId="4" borderId="0" applyAlignment="1" pivotButton="0" quotePrefix="0" xfId="0">
      <alignment horizontal="center" vertical="center"/>
    </xf>
    <xf numFmtId="0" fontId="16"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applyAlignment="1" pivotButton="0" quotePrefix="0" xfId="0">
      <alignment horizontal="general" vertical="center"/>
    </xf>
    <xf numFmtId="0" fontId="0" fillId="0" borderId="0" applyAlignment="1" pivotButton="0" quotePrefix="0" xfId="0">
      <alignment horizontal="left" vertical="center" indent="1"/>
    </xf>
    <xf numFmtId="0" fontId="0" fillId="0" borderId="0" applyAlignment="1" pivotButton="0" quotePrefix="0" xfId="0">
      <alignment horizontal="center" vertical="center"/>
    </xf>
    <xf numFmtId="0" fontId="12" fillId="0" borderId="0" applyAlignment="1" pivotButton="0" quotePrefix="0" xfId="0">
      <alignment horizontal="left" vertical="center" indent="1"/>
    </xf>
    <xf numFmtId="0" fontId="0" fillId="8" borderId="20" applyAlignment="1" pivotButton="0" quotePrefix="0" xfId="0">
      <alignment horizontal="center" vertical="center"/>
    </xf>
    <xf numFmtId="0" fontId="0" fillId="9" borderId="0" applyAlignment="1" pivotButton="0" quotePrefix="0" xfId="0">
      <alignment horizontal="center" vertical="center"/>
    </xf>
    <xf numFmtId="0" fontId="18" fillId="0" borderId="0" applyAlignment="1" pivotButton="0" quotePrefix="0" xfId="0">
      <alignment horizontal="left" vertical="center" indent="1"/>
    </xf>
    <xf numFmtId="0" fontId="0" fillId="10" borderId="20" applyAlignment="1" pivotButton="0" quotePrefix="0" xfId="0">
      <alignment horizontal="center" vertical="center"/>
    </xf>
    <xf numFmtId="165" fontId="0" fillId="0" borderId="0" applyAlignment="1" pivotButton="0" quotePrefix="0" xfId="0">
      <alignment horizontal="center"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left" vertical="bottom" wrapText="1"/>
    </xf>
    <xf numFmtId="0" fontId="7" fillId="0" borderId="0" applyAlignment="1" pivotButton="0" quotePrefix="0" xfId="20">
      <alignment horizontal="general" vertical="bottom"/>
    </xf>
    <xf numFmtId="0" fontId="8" fillId="0" borderId="0" applyAlignment="1" pivotButton="0" quotePrefix="0" xfId="20">
      <alignment horizontal="general" vertical="center" wrapText="1"/>
    </xf>
    <xf numFmtId="0" fontId="4" fillId="0" borderId="0" applyAlignment="1" pivotButton="0" quotePrefix="0" xfId="0">
      <alignment horizontal="general" vertical="center" wrapText="1"/>
    </xf>
    <xf numFmtId="0" fontId="4" fillId="0" borderId="0" applyAlignment="1" pivotButton="0" quotePrefix="0" xfId="0">
      <alignment horizontal="center" vertical="bottom"/>
    </xf>
    <xf numFmtId="0" fontId="4" fillId="0" borderId="1" applyAlignment="1" pivotButton="0" quotePrefix="0" xfId="0">
      <alignment horizontal="justify" vertical="center"/>
    </xf>
    <xf numFmtId="0" fontId="0" fillId="0" borderId="35" pivotButton="0" quotePrefix="0" xfId="0"/>
    <xf numFmtId="0" fontId="0" fillId="0" borderId="36" pivotButton="0" quotePrefix="0" xfId="0"/>
    <xf numFmtId="0" fontId="5" fillId="0" borderId="2" applyAlignment="1" pivotButton="0" quotePrefix="0" xfId="0">
      <alignment horizontal="center" vertical="bottom"/>
    </xf>
    <xf numFmtId="0" fontId="5" fillId="0" borderId="3" applyAlignment="1" pivotButton="0" quotePrefix="0" xfId="0">
      <alignment horizontal="center" vertical="bottom"/>
    </xf>
    <xf numFmtId="0" fontId="0" fillId="0" borderId="10" pivotButton="0" quotePrefix="0" xfId="0"/>
    <xf numFmtId="0" fontId="0" fillId="0" borderId="37" pivotButton="0" quotePrefix="0" xfId="0"/>
    <xf numFmtId="0" fontId="4" fillId="0" borderId="4" applyAlignment="1" pivotButton="0" quotePrefix="0" xfId="0">
      <alignment horizontal="center" vertical="bottom"/>
    </xf>
    <xf numFmtId="0" fontId="4" fillId="0" borderId="5" applyAlignment="1" pivotButton="0" quotePrefix="0" xfId="0">
      <alignment horizontal="center" vertical="bottom"/>
    </xf>
    <xf numFmtId="0" fontId="4" fillId="0" borderId="6" applyAlignment="1" pivotButton="0" quotePrefix="0" xfId="0">
      <alignment horizontal="justify" vertical="bottom"/>
    </xf>
    <xf numFmtId="0" fontId="0" fillId="0" borderId="12" pivotButton="0" quotePrefix="0" xfId="0"/>
    <xf numFmtId="0" fontId="0" fillId="0" borderId="6" pivotButton="0" quotePrefix="0" xfId="0"/>
    <xf numFmtId="0" fontId="4" fillId="0" borderId="6" applyAlignment="1" pivotButton="0" quotePrefix="0" xfId="0">
      <alignment horizontal="justify"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7" applyAlignment="1" pivotButton="0" quotePrefix="0" xfId="0">
      <alignment horizontal="justify" vertical="bottom"/>
    </xf>
    <xf numFmtId="0" fontId="0" fillId="0" borderId="38" pivotButton="0" quotePrefix="0" xfId="0"/>
    <xf numFmtId="0" fontId="0" fillId="0" borderId="7" pivotButton="0" quotePrefix="0" xfId="0"/>
    <xf numFmtId="0" fontId="4" fillId="0" borderId="8" applyAlignment="1" pivotButton="0" quotePrefix="0" xfId="0">
      <alignment horizontal="center" vertical="bottom"/>
    </xf>
    <xf numFmtId="0" fontId="4" fillId="0" borderId="9" applyAlignment="1" pivotButton="0" quotePrefix="0" xfId="0">
      <alignment horizontal="center" vertical="bottom"/>
    </xf>
    <xf numFmtId="0" fontId="5" fillId="0" borderId="0" applyAlignment="1" pivotButton="0" quotePrefix="0" xfId="0">
      <alignment horizontal="general" vertical="bottom"/>
    </xf>
    <xf numFmtId="0" fontId="9" fillId="0" borderId="0" applyAlignment="1" pivotButton="0" quotePrefix="0" xfId="0">
      <alignment horizontal="general" vertical="bottom"/>
    </xf>
    <xf numFmtId="0" fontId="4" fillId="0" borderId="1" applyAlignment="1" pivotButton="0" quotePrefix="0" xfId="0">
      <alignment horizontal="general" vertical="center"/>
    </xf>
    <xf numFmtId="0" fontId="4" fillId="0" borderId="2" applyAlignment="1" pivotButton="0" quotePrefix="0" xfId="0">
      <alignment horizontal="center" vertical="bottom"/>
    </xf>
    <xf numFmtId="0" fontId="0" fillId="0" borderId="1" pivotButton="0" quotePrefix="0" xfId="0"/>
    <xf numFmtId="0" fontId="10" fillId="0" borderId="2" applyAlignment="1" pivotButton="0" quotePrefix="0" xfId="0">
      <alignment horizontal="center" vertical="bottom"/>
    </xf>
    <xf numFmtId="0" fontId="11" fillId="0" borderId="2" applyAlignment="1" pivotButton="0" quotePrefix="0" xfId="0">
      <alignment horizontal="center" vertical="bottom"/>
    </xf>
    <xf numFmtId="0" fontId="4" fillId="0" borderId="3" applyAlignment="1" pivotButton="0" quotePrefix="0" xfId="0">
      <alignment horizontal="center" vertical="bottom"/>
    </xf>
    <xf numFmtId="0" fontId="0" fillId="0" borderId="11" pivotButton="0" quotePrefix="0" xfId="0"/>
    <xf numFmtId="0" fontId="4" fillId="0" borderId="6" applyAlignment="1" pivotButton="0" quotePrefix="0" xfId="0">
      <alignment horizontal="general" vertical="bottom"/>
    </xf>
    <xf numFmtId="12" fontId="4" fillId="0" borderId="8" applyAlignment="1" pivotButton="0" quotePrefix="0" xfId="0">
      <alignment horizontal="center" vertical="bottom"/>
    </xf>
    <xf numFmtId="12" fontId="4" fillId="0" borderId="9" applyAlignment="1" pivotButton="0" quotePrefix="0" xfId="0">
      <alignment horizontal="center" vertical="bottom"/>
    </xf>
    <xf numFmtId="0" fontId="4" fillId="0" borderId="0" applyAlignment="1" pivotButton="0" quotePrefix="0" xfId="0">
      <alignment horizontal="left" vertical="bottom" wrapText="1"/>
    </xf>
    <xf numFmtId="0" fontId="4" fillId="0" borderId="10" applyAlignment="1" pivotButton="0" quotePrefix="0" xfId="0">
      <alignment horizontal="left" vertical="bottom" wrapText="1"/>
    </xf>
    <xf numFmtId="0" fontId="4" fillId="0" borderId="10" applyAlignment="1" pivotButton="0" quotePrefix="0" xfId="0">
      <alignment horizontal="general" vertical="bottom"/>
    </xf>
    <xf numFmtId="0" fontId="5" fillId="0" borderId="11" applyAlignment="1" pivotButton="0" quotePrefix="0" xfId="0">
      <alignment horizontal="left" vertical="center"/>
    </xf>
    <xf numFmtId="0" fontId="4" fillId="0" borderId="6" applyAlignment="1" pivotButton="0" quotePrefix="0" xfId="0">
      <alignment horizontal="center" vertical="bottom"/>
    </xf>
    <xf numFmtId="0" fontId="5" fillId="0" borderId="5" applyAlignment="1" pivotButton="0" quotePrefix="0" xfId="0">
      <alignment horizontal="center" vertical="center"/>
    </xf>
    <xf numFmtId="0" fontId="0" fillId="0" borderId="30" pivotButton="0" quotePrefix="0" xfId="0"/>
    <xf numFmtId="0" fontId="0" fillId="0" borderId="32" pivotButton="0" quotePrefix="0" xfId="0"/>
    <xf numFmtId="0" fontId="0" fillId="0" borderId="39" pivotButton="0" quotePrefix="0" xfId="0"/>
    <xf numFmtId="0" fontId="5" fillId="0" borderId="12" applyAlignment="1" pivotButton="0" quotePrefix="0" xfId="0">
      <alignment horizontal="left" vertical="center"/>
    </xf>
    <xf numFmtId="0" fontId="5" fillId="0" borderId="9" applyAlignment="1" pivotButton="0" quotePrefix="0" xfId="0">
      <alignment horizontal="center" vertical="center"/>
    </xf>
    <xf numFmtId="0" fontId="4" fillId="0" borderId="7" applyAlignment="1" pivotButton="0" quotePrefix="0" xfId="0">
      <alignment horizontal="center" vertical="bottom"/>
    </xf>
    <xf numFmtId="0" fontId="0" fillId="0" borderId="40" pivotButton="0" quotePrefix="0" xfId="0"/>
    <xf numFmtId="0" fontId="0" fillId="0" borderId="41" pivotButton="0" quotePrefix="0" xfId="0"/>
    <xf numFmtId="0" fontId="12" fillId="0" borderId="0" applyAlignment="1" pivotButton="0" quotePrefix="0" xfId="0">
      <alignment horizontal="general" vertical="bottom"/>
    </xf>
    <xf numFmtId="0" fontId="0" fillId="0" borderId="0" applyAlignment="1" pivotButton="0" quotePrefix="0" xfId="0">
      <alignment horizontal="center" vertical="bottom"/>
    </xf>
    <xf numFmtId="0" fontId="5" fillId="2" borderId="13" applyAlignment="1" pivotButton="0" quotePrefix="0" xfId="0">
      <alignment horizontal="left" vertical="center" wrapText="1"/>
    </xf>
    <xf numFmtId="0" fontId="0" fillId="0" borderId="13" pivotButton="0" quotePrefix="0" xfId="0"/>
    <xf numFmtId="0" fontId="5" fillId="0" borderId="0" applyAlignment="1" pivotButton="0" quotePrefix="0" xfId="0">
      <alignment horizontal="general" vertical="bottom" wrapText="1"/>
    </xf>
    <xf numFmtId="0" fontId="5" fillId="0" borderId="0" applyAlignment="1" pivotButton="0" quotePrefix="0" xfId="0">
      <alignment horizontal="left" vertical="center" wrapText="1"/>
    </xf>
    <xf numFmtId="0" fontId="4" fillId="0" borderId="0" applyAlignment="1" pivotButton="0" quotePrefix="0" xfId="0">
      <alignment horizontal="general" vertical="bottom" wrapText="1"/>
    </xf>
    <xf numFmtId="0" fontId="4" fillId="0" borderId="0" applyAlignment="1" pivotButton="0" quotePrefix="0" xfId="0">
      <alignment horizontal="left" vertical="center" wrapText="1"/>
    </xf>
    <xf numFmtId="0" fontId="5" fillId="0" borderId="14" applyAlignment="1" pivotButton="0" quotePrefix="0" xfId="0">
      <alignment horizontal="center" vertical="center"/>
    </xf>
    <xf numFmtId="0" fontId="0" fillId="0" borderId="43" pivotButton="0" quotePrefix="0" xfId="0"/>
    <xf numFmtId="0" fontId="5" fillId="0" borderId="15" applyAlignment="1" pivotButton="0" quotePrefix="0" xfId="0">
      <alignment horizontal="center" vertical="center"/>
    </xf>
    <xf numFmtId="0" fontId="5" fillId="0" borderId="16" applyAlignment="1" pivotButton="0" quotePrefix="0" xfId="0">
      <alignment horizontal="center" vertical="center"/>
    </xf>
    <xf numFmtId="0" fontId="0" fillId="0" borderId="42" pivotButton="0" quotePrefix="0" xfId="0"/>
    <xf numFmtId="0" fontId="4" fillId="0" borderId="17" applyAlignment="1" pivotButton="0" quotePrefix="0" xfId="0">
      <alignment horizontal="center" vertical="center" wrapText="1"/>
    </xf>
    <xf numFmtId="0" fontId="0" fillId="0" borderId="31" pivotButton="0" quotePrefix="0" xfId="0"/>
    <xf numFmtId="0" fontId="4" fillId="0" borderId="18" applyAlignment="1" pivotButton="0" quotePrefix="0" xfId="0">
      <alignment horizontal="center" vertical="center"/>
    </xf>
    <xf numFmtId="0" fontId="4" fillId="0" borderId="19" applyAlignment="1" pivotButton="0" quotePrefix="0" xfId="0">
      <alignment horizontal="center" vertical="center" wrapText="1"/>
    </xf>
    <xf numFmtId="0" fontId="0" fillId="0" borderId="28" pivotButton="0" quotePrefix="0" xfId="0"/>
    <xf numFmtId="0" fontId="0" fillId="0" borderId="44" pivotButton="0" quotePrefix="0" xfId="0"/>
    <xf numFmtId="0" fontId="0" fillId="0" borderId="45" pivotButton="0" quotePrefix="0" xfId="0"/>
    <xf numFmtId="0" fontId="5" fillId="2" borderId="20" applyAlignment="1" pivotButton="0" quotePrefix="0" xfId="0">
      <alignment horizontal="left" vertical="bottom" wrapText="1"/>
    </xf>
    <xf numFmtId="0" fontId="0" fillId="0" borderId="20" pivotButton="0" quotePrefix="0" xfId="0"/>
    <xf numFmtId="0" fontId="4" fillId="0" borderId="0" applyAlignment="1" pivotButton="0" quotePrefix="0" xfId="0">
      <alignment horizontal="left" vertical="bottom"/>
    </xf>
    <xf numFmtId="0" fontId="0" fillId="0" borderId="14" pivotButton="0" quotePrefix="0" xfId="0"/>
    <xf numFmtId="0" fontId="0" fillId="0" borderId="21" pivotButton="0" quotePrefix="0" xfId="0"/>
    <xf numFmtId="0" fontId="11" fillId="0" borderId="18" applyAlignment="1" pivotButton="0" quotePrefix="0" xfId="0">
      <alignment horizontal="center" vertical="center" wrapText="1"/>
    </xf>
    <xf numFmtId="0" fontId="5" fillId="2" borderId="13" applyAlignment="1" pivotButton="0" quotePrefix="0" xfId="0">
      <alignment horizontal="general" vertical="bottom" wrapText="1"/>
    </xf>
    <xf numFmtId="0" fontId="4" fillId="2" borderId="13" applyAlignment="1" pivotButton="0" quotePrefix="0" xfId="0">
      <alignment horizontal="general" vertical="bottom"/>
    </xf>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13" fillId="0" borderId="0" applyAlignment="1" pivotButton="0" quotePrefix="0" xfId="0">
      <alignment horizontal="general" vertical="bottom" wrapText="1"/>
    </xf>
    <xf numFmtId="0" fontId="5" fillId="0" borderId="0" applyAlignment="1" pivotButton="0" quotePrefix="0" xfId="0">
      <alignment horizontal="center" vertical="bottom" wrapText="1"/>
    </xf>
    <xf numFmtId="0" fontId="14" fillId="0" borderId="21" applyAlignment="1" pivotButton="0" quotePrefix="0" xfId="0">
      <alignment horizontal="center" vertical="center" wrapText="1"/>
    </xf>
    <xf numFmtId="0" fontId="5" fillId="0" borderId="21" applyAlignment="1" pivotButton="0" quotePrefix="0" xfId="0">
      <alignment horizontal="center" vertical="center"/>
    </xf>
    <xf numFmtId="49" fontId="4" fillId="0" borderId="12" applyAlignment="1" pivotButton="0" quotePrefix="0" xfId="0">
      <alignment horizontal="center" vertical="bottom"/>
    </xf>
    <xf numFmtId="0" fontId="5" fillId="0" borderId="12" applyAlignment="1" pivotButton="0" quotePrefix="0" xfId="0">
      <alignment horizontal="center" vertical="center"/>
    </xf>
    <xf numFmtId="0" fontId="4" fillId="0" borderId="22" applyAlignment="1" pivotButton="0" quotePrefix="0" xfId="0">
      <alignment horizontal="center" vertical="bottom"/>
    </xf>
    <xf numFmtId="49" fontId="4" fillId="0" borderId="22" applyAlignment="1" pivotButton="0" quotePrefix="0" xfId="0">
      <alignment horizontal="center" vertical="bottom"/>
    </xf>
    <xf numFmtId="0" fontId="15" fillId="3" borderId="23" applyAlignment="1" pivotButton="0" quotePrefix="0" xfId="0">
      <alignment horizontal="center" vertical="center"/>
    </xf>
    <xf numFmtId="0" fontId="0" fillId="0" borderId="27" pivotButton="0" quotePrefix="0" xfId="0"/>
    <xf numFmtId="0" fontId="16" fillId="0" borderId="0" applyAlignment="1" pivotButton="0" quotePrefix="0" xfId="0">
      <alignment horizontal="general" vertical="bottom"/>
    </xf>
    <xf numFmtId="0" fontId="15" fillId="3" borderId="23" applyAlignment="1" pivotButton="0" quotePrefix="0" xfId="0">
      <alignment horizontal="left" vertical="center"/>
    </xf>
    <xf numFmtId="0" fontId="16" fillId="4" borderId="20" applyAlignment="1" pivotButton="0" quotePrefix="0" xfId="0">
      <alignment horizontal="center" vertical="bottom"/>
    </xf>
    <xf numFmtId="0" fontId="17" fillId="5" borderId="23" applyAlignment="1" pivotButton="0" quotePrefix="0" xfId="0">
      <alignment horizontal="center" vertical="center"/>
    </xf>
    <xf numFmtId="0" fontId="0" fillId="0" borderId="46" pivotButton="0" quotePrefix="0" xfId="0"/>
    <xf numFmtId="0" fontId="17" fillId="0" borderId="24" applyAlignment="1" pivotButton="0" quotePrefix="0" xfId="0">
      <alignment horizontal="center" vertical="center"/>
    </xf>
    <xf numFmtId="0" fontId="17" fillId="0" borderId="23" applyAlignment="1" pivotButton="0" quotePrefix="0" xfId="0">
      <alignment horizontal="center" vertical="center"/>
    </xf>
    <xf numFmtId="0" fontId="17" fillId="0" borderId="23" applyAlignment="1" pivotButton="0" quotePrefix="0" xfId="0">
      <alignment horizontal="center" vertical="center" shrinkToFit="1"/>
    </xf>
    <xf numFmtId="0" fontId="0" fillId="0" borderId="49" pivotButton="0" quotePrefix="0" xfId="0"/>
    <xf numFmtId="0" fontId="0" fillId="0" borderId="50" pivotButton="0" quotePrefix="0" xfId="0"/>
    <xf numFmtId="0" fontId="17" fillId="0" borderId="0" applyAlignment="1" pivotButton="0" quotePrefix="0" xfId="0">
      <alignment horizontal="center" vertical="center"/>
    </xf>
    <xf numFmtId="0" fontId="16" fillId="5" borderId="23" applyAlignment="1" pivotButton="0" quotePrefix="0" xfId="0">
      <alignment horizontal="right" vertical="bottom" textRotation="90"/>
    </xf>
    <xf numFmtId="0" fontId="16" fillId="5" borderId="25" applyAlignment="1" pivotButton="0" quotePrefix="0" xfId="0">
      <alignment horizontal="right" vertical="bottom" textRotation="90"/>
    </xf>
    <xf numFmtId="0" fontId="17" fillId="0" borderId="0" applyAlignment="1" pivotButton="0" quotePrefix="0" xfId="0">
      <alignment horizontal="right" vertical="bottom"/>
    </xf>
    <xf numFmtId="0" fontId="16" fillId="0" borderId="26" applyAlignment="1" pivotButton="0" quotePrefix="0" xfId="0">
      <alignment horizontal="right" vertical="bottom" textRotation="90"/>
    </xf>
    <xf numFmtId="0" fontId="16" fillId="0" borderId="23" applyAlignment="1" pivotButton="0" quotePrefix="0" xfId="0">
      <alignment horizontal="right" vertical="bottom" textRotation="90"/>
    </xf>
    <xf numFmtId="0" fontId="16" fillId="0" borderId="23" applyAlignment="1" pivotButton="0" quotePrefix="0" xfId="0">
      <alignment horizontal="center" vertical="center" textRotation="90"/>
    </xf>
    <xf numFmtId="0" fontId="16" fillId="5" borderId="23" applyAlignment="1" pivotButton="0" quotePrefix="0" xfId="0">
      <alignment horizontal="center" vertical="bottom"/>
    </xf>
    <xf numFmtId="164" fontId="17" fillId="5" borderId="27" applyAlignment="1" pivotButton="0" quotePrefix="0" xfId="0">
      <alignment horizontal="center" vertical="center"/>
    </xf>
    <xf numFmtId="0" fontId="17" fillId="5" borderId="23" applyAlignment="1" pivotButton="0" quotePrefix="0" xfId="0">
      <alignment horizontal="center" vertical="center" wrapText="1"/>
    </xf>
    <xf numFmtId="0" fontId="17" fillId="5" borderId="28" applyAlignment="1" pivotButton="0" quotePrefix="0" xfId="0">
      <alignment horizontal="left" vertical="center" indent="1"/>
    </xf>
    <xf numFmtId="0" fontId="17" fillId="0" borderId="0" applyAlignment="1" pivotButton="0" quotePrefix="0" xfId="0">
      <alignment horizontal="left" vertical="center" indent="1"/>
    </xf>
    <xf numFmtId="0" fontId="17" fillId="5" borderId="29" applyAlignment="1" pivotButton="0" quotePrefix="0" xfId="0">
      <alignment horizontal="center" vertical="center"/>
    </xf>
    <xf numFmtId="0" fontId="17" fillId="5" borderId="30" applyAlignment="1" pivotButton="0" quotePrefix="0" xfId="0">
      <alignment horizontal="center" vertical="center"/>
    </xf>
    <xf numFmtId="0" fontId="17" fillId="5" borderId="31" applyAlignment="1" pivotButton="0" quotePrefix="0" xfId="0">
      <alignment horizontal="center" vertical="center"/>
    </xf>
    <xf numFmtId="0" fontId="17" fillId="5" borderId="32" applyAlignment="1" pivotButton="0" quotePrefix="0" xfId="0">
      <alignment horizontal="center" vertical="center"/>
    </xf>
    <xf numFmtId="0" fontId="17" fillId="5" borderId="0" applyAlignment="1" pivotButton="0" quotePrefix="0" xfId="0">
      <alignment horizontal="center" vertical="center"/>
    </xf>
    <xf numFmtId="0" fontId="17" fillId="5" borderId="28" applyAlignment="1" pivotButton="0" quotePrefix="0" xfId="0">
      <alignment horizontal="center" vertical="center"/>
    </xf>
    <xf numFmtId="0" fontId="17" fillId="5" borderId="16" applyAlignment="1" pivotButton="0" quotePrefix="0" xfId="0">
      <alignment horizontal="center" vertical="center"/>
    </xf>
    <xf numFmtId="0" fontId="17" fillId="5" borderId="21" applyAlignment="1" pivotButton="0" quotePrefix="0" xfId="0">
      <alignment horizontal="center" vertical="center"/>
    </xf>
    <xf numFmtId="0" fontId="17" fillId="5" borderId="6" applyAlignment="1" pivotButton="0" quotePrefix="0" xfId="0">
      <alignment horizontal="center" vertical="center"/>
    </xf>
    <xf numFmtId="0" fontId="17" fillId="5" borderId="4" applyAlignment="1" pivotButton="0" quotePrefix="0" xfId="0">
      <alignment horizontal="center" vertical="center"/>
    </xf>
    <xf numFmtId="0" fontId="16" fillId="0" borderId="6" applyAlignment="1" pivotButton="0" quotePrefix="0" xfId="0">
      <alignment horizontal="center" vertical="center"/>
    </xf>
    <xf numFmtId="0" fontId="16" fillId="0" borderId="4" applyAlignment="1" pivotButton="0" quotePrefix="0" xfId="0">
      <alignment horizontal="center" vertical="center"/>
    </xf>
    <xf numFmtId="0" fontId="16" fillId="0" borderId="4" applyAlignment="1" pivotButton="0" quotePrefix="0" xfId="0">
      <alignment horizontal="general" vertical="center"/>
    </xf>
    <xf numFmtId="0" fontId="16" fillId="0" borderId="0" applyAlignment="1" pivotButton="0" quotePrefix="0" xfId="0">
      <alignment horizontal="general" vertical="center"/>
    </xf>
    <xf numFmtId="0" fontId="16" fillId="6" borderId="4" applyAlignment="1" pivotButton="0" quotePrefix="0" xfId="0">
      <alignment horizontal="center" vertical="center" textRotation="90"/>
    </xf>
    <xf numFmtId="0" fontId="16" fillId="6" borderId="4" applyAlignment="1" pivotButton="0" quotePrefix="0" xfId="0">
      <alignment horizontal="center" vertical="center"/>
    </xf>
    <xf numFmtId="0" fontId="16" fillId="0" borderId="0" applyAlignment="1" pivotButton="0" quotePrefix="0" xfId="0">
      <alignment horizontal="center" vertical="center"/>
    </xf>
    <xf numFmtId="0" fontId="16" fillId="7" borderId="4" applyAlignment="1" pivotButton="0" quotePrefix="0" xfId="0">
      <alignment horizontal="center" vertical="center" textRotation="90"/>
    </xf>
    <xf numFmtId="0" fontId="16" fillId="0" borderId="33" applyAlignment="1" pivotButton="0" quotePrefix="0" xfId="0">
      <alignment horizontal="center" vertical="center"/>
    </xf>
    <xf numFmtId="0" fontId="16" fillId="7" borderId="4" applyAlignment="1" pivotButton="0" quotePrefix="0" xfId="0">
      <alignment horizontal="center" vertical="center"/>
    </xf>
    <xf numFmtId="0" fontId="16" fillId="0" borderId="4" applyAlignment="1" pivotButton="0" quotePrefix="0" xfId="0">
      <alignment horizontal="center" vertical="center" textRotation="90"/>
    </xf>
    <xf numFmtId="0" fontId="16" fillId="0" borderId="0" applyAlignment="1" pivotButton="0" quotePrefix="0" xfId="0">
      <alignment horizontal="center" vertical="center" textRotation="90"/>
    </xf>
    <xf numFmtId="0" fontId="16" fillId="7" borderId="34" applyAlignment="1" pivotButton="0" quotePrefix="0" xfId="0">
      <alignment horizontal="center" vertical="center" textRotation="90"/>
    </xf>
    <xf numFmtId="0" fontId="16" fillId="0" borderId="34" applyAlignment="1" pivotButton="0" quotePrefix="0" xfId="0">
      <alignment horizontal="center" vertical="center" textRotation="90"/>
    </xf>
    <xf numFmtId="0" fontId="16" fillId="4" borderId="4" applyAlignment="1" pivotButton="0" quotePrefix="0" xfId="0">
      <alignment horizontal="center" vertical="center"/>
    </xf>
    <xf numFmtId="0" fontId="0" fillId="0" borderId="51" pivotButton="0" quotePrefix="0" xfId="0"/>
    <xf numFmtId="0" fontId="16" fillId="6" borderId="34" applyAlignment="1" pivotButton="0" quotePrefix="0" xfId="0">
      <alignment horizontal="center" vertical="center"/>
    </xf>
    <xf numFmtId="0" fontId="16" fillId="0" borderId="34" applyAlignment="1" pivotButton="0" quotePrefix="0" xfId="0">
      <alignment horizontal="center" vertical="center"/>
    </xf>
    <xf numFmtId="0" fontId="17" fillId="6" borderId="4" applyAlignment="1" pivotButton="0" quotePrefix="0" xfId="0">
      <alignment horizontal="center" vertical="center"/>
    </xf>
    <xf numFmtId="0" fontId="17" fillId="0" borderId="4" applyAlignment="1" pivotButton="0" quotePrefix="0" xfId="0">
      <alignment horizontal="center" vertical="center"/>
    </xf>
    <xf numFmtId="0" fontId="17" fillId="0" borderId="34" applyAlignment="1" pivotButton="0" quotePrefix="0" xfId="0">
      <alignment horizontal="center" vertical="center"/>
    </xf>
    <xf numFmtId="0" fontId="16" fillId="6" borderId="4" applyAlignment="1" pivotButton="0" quotePrefix="0" xfId="0">
      <alignment horizontal="general" vertical="center"/>
    </xf>
    <xf numFmtId="0" fontId="16" fillId="4" borderId="4" applyAlignment="1" pivotButton="0" quotePrefix="0" xfId="0">
      <alignment horizontal="general" vertical="bottom"/>
    </xf>
    <xf numFmtId="0" fontId="16" fillId="0" borderId="4" applyAlignment="1" pivotButton="0" quotePrefix="0" xfId="0">
      <alignment horizontal="general" vertical="bottom"/>
    </xf>
    <xf numFmtId="0" fontId="16" fillId="4" borderId="0" applyAlignment="1" pivotButton="0" quotePrefix="0" xfId="0">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left" vertical="center" indent="1"/>
    </xf>
    <xf numFmtId="0" fontId="0" fillId="0" borderId="0" applyAlignment="1" pivotButton="0" quotePrefix="0" xfId="0">
      <alignment horizontal="center" vertical="center"/>
    </xf>
    <xf numFmtId="0" fontId="12" fillId="0" borderId="0" applyAlignment="1" pivotButton="0" quotePrefix="0" xfId="0">
      <alignment horizontal="left" vertical="center" indent="1"/>
    </xf>
    <xf numFmtId="0" fontId="0" fillId="8" borderId="20" applyAlignment="1" pivotButton="0" quotePrefix="0" xfId="0">
      <alignment horizontal="center" vertical="center"/>
    </xf>
    <xf numFmtId="0" fontId="0" fillId="9" borderId="0" applyAlignment="1" pivotButton="0" quotePrefix="0" xfId="0">
      <alignment horizontal="center" vertical="center"/>
    </xf>
    <xf numFmtId="0" fontId="18" fillId="0" borderId="0" applyAlignment="1" pivotButton="0" quotePrefix="0" xfId="0">
      <alignment horizontal="left" vertical="center" indent="1"/>
    </xf>
    <xf numFmtId="0" fontId="0" fillId="10" borderId="20" applyAlignment="1" pivotButton="0" quotePrefix="0" xfId="0">
      <alignment horizontal="center" vertical="center"/>
    </xf>
    <xf numFmtId="165" fontId="0" fillId="0" borderId="0" applyAlignment="1" pivotButton="0" quotePrefix="0" xfId="0">
      <alignment horizontal="center" vertical="center"/>
    </xf>
    <xf numFmtId="0" fontId="0" fillId="0" borderId="20" applyAlignment="1" pivotButton="0" quotePrefix="0" xfId="0">
      <alignment horizontal="center" vertical="center"/>
    </xf>
    <xf numFmtId="0" fontId="19" fillId="0" borderId="0" applyAlignment="1" pivotButton="0" quotePrefix="0" xfId="0">
      <alignment horizontal="center" vertical="center" wrapText="1"/>
    </xf>
    <xf numFmtId="0" fontId="19" fillId="11" borderId="23" applyAlignment="1" pivotButton="0" quotePrefix="0" xfId="0">
      <alignment horizontal="center" vertical="center" wrapText="1"/>
    </xf>
    <xf numFmtId="0" fontId="0" fillId="0" borderId="25" pivotButton="0" quotePrefix="0" xfId="0"/>
    <xf numFmtId="0" fontId="19" fillId="12" borderId="23" applyAlignment="1" pivotButton="0" quotePrefix="0" xfId="0">
      <alignment horizontal="center" vertical="center" wrapText="1"/>
    </xf>
    <xf numFmtId="0" fontId="19" fillId="11" borderId="23" applyAlignment="1" pivotButton="0" quotePrefix="0" xfId="0">
      <alignment horizontal="left" vertical="center"/>
    </xf>
    <xf numFmtId="0" fontId="20" fillId="0" borderId="23" applyAlignment="1" pivotButton="0" quotePrefix="0" xfId="0">
      <alignment horizontal="left" vertical="center"/>
    </xf>
    <xf numFmtId="2" fontId="20" fillId="0" borderId="4" applyAlignment="1" pivotButton="0" quotePrefix="0" xfId="0">
      <alignment horizontal="center" vertical="center" wrapText="1"/>
    </xf>
    <xf numFmtId="0" fontId="20" fillId="0" borderId="4" applyAlignment="1" pivotButton="0" quotePrefix="0" xfId="0">
      <alignment horizontal="center" vertical="center" wrapText="1"/>
    </xf>
    <xf numFmtId="0" fontId="20" fillId="0" borderId="4" applyAlignment="1" pivotButton="0" quotePrefix="0" xfId="0">
      <alignment horizontal="left" vertical="center"/>
    </xf>
    <xf numFmtId="0" fontId="20" fillId="0" borderId="4" applyAlignment="1" pivotButton="0" quotePrefix="0" xfId="0">
      <alignment horizontal="left" vertical="center" wrapText="1"/>
    </xf>
    <xf numFmtId="0" fontId="21" fillId="0" borderId="23" applyAlignment="1" pivotButton="0" quotePrefix="0" xfId="0">
      <alignment horizontal="general" vertical="bottom"/>
    </xf>
    <xf numFmtId="0" fontId="19" fillId="0" borderId="23" applyAlignment="1" pivotButton="0" quotePrefix="0" xfId="0">
      <alignment horizontal="left" vertical="center"/>
    </xf>
    <xf numFmtId="0" fontId="19" fillId="0" borderId="23" applyAlignment="1" pivotButton="0" quotePrefix="0" xfId="0">
      <alignment horizontal="center" vertical="center" wrapText="1"/>
    </xf>
    <xf numFmtId="0" fontId="0" fillId="0" borderId="52" pivotButton="0" quotePrefix="0" xfId="0"/>
    <xf numFmtId="0" fontId="19" fillId="0" borderId="23" applyAlignment="1" pivotButton="0" quotePrefix="0" xfId="0">
      <alignment horizontal="center" vertical="center"/>
    </xf>
    <xf numFmtId="0" fontId="19" fillId="0" borderId="24" applyAlignment="1" pivotButton="0" quotePrefix="0" xfId="0">
      <alignment horizontal="center" vertical="center" wrapText="1"/>
    </xf>
    <xf numFmtId="0" fontId="19" fillId="0" borderId="4" applyAlignment="1" pivotButton="0" quotePrefix="0" xfId="0">
      <alignment horizontal="center" vertical="center" wrapText="1"/>
    </xf>
    <xf numFmtId="2" fontId="19" fillId="0" borderId="4" applyAlignment="1" pivotButton="0" quotePrefix="0" xfId="0">
      <alignment horizontal="center" vertical="center" wrapText="1"/>
    </xf>
    <xf numFmtId="166" fontId="20" fillId="0" borderId="4" applyAlignment="1" pivotButton="0" quotePrefix="0" xfId="0">
      <alignment horizontal="center" vertical="center" wrapText="1"/>
    </xf>
    <xf numFmtId="0" fontId="0" fillId="0" borderId="53" pivotButton="0" quotePrefix="0" xfId="0"/>
    <xf numFmtId="0" fontId="21" fillId="0" borderId="0" applyAlignment="1" pivotButton="0" quotePrefix="0" xfId="0">
      <alignment horizontal="general" vertical="bottom"/>
    </xf>
    <xf numFmtId="0" fontId="19" fillId="0" borderId="0" applyAlignment="1" pivotButton="0" quotePrefix="0" xfId="0">
      <alignment horizontal="general" vertical="bottom"/>
    </xf>
    <xf numFmtId="0" fontId="20" fillId="0" borderId="0" applyAlignment="1" pivotButton="0" quotePrefix="0" xfId="0">
      <alignment horizontal="general" vertical="bottom"/>
    </xf>
    <xf numFmtId="0" fontId="19" fillId="0" borderId="0" applyAlignment="1" pivotButton="0" quotePrefix="0" xfId="0">
      <alignment horizontal="left" vertical="center"/>
    </xf>
    <xf numFmtId="0" fontId="19" fillId="12" borderId="4" applyAlignment="1" pivotButton="0" quotePrefix="0" xfId="0">
      <alignment horizontal="center" vertical="center" wrapText="1"/>
    </xf>
    <xf numFmtId="1" fontId="20" fillId="0" borderId="4" applyAlignment="1" pivotButton="0" quotePrefix="0" xfId="0">
      <alignment horizontal="center" vertical="center" wrapText="1"/>
    </xf>
    <xf numFmtId="167" fontId="20" fillId="0" borderId="4" applyAlignment="1" pivotButton="0" quotePrefix="0" xfId="0">
      <alignment horizontal="center" vertical="center" wrapText="1"/>
    </xf>
    <xf numFmtId="168" fontId="20" fillId="0" borderId="4" applyAlignment="1" pivotButton="0" quotePrefix="0" xfId="0">
      <alignment horizontal="center" vertical="center" wrapText="1"/>
    </xf>
    <xf numFmtId="0" fontId="19" fillId="0" borderId="0" applyAlignment="1" pivotButton="0" quotePrefix="0" xfId="0">
      <alignment horizontal="center" vertical="center"/>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2">
    <dxf>
      <font>
        <name val="Bahnschrift Light Condensed"/>
        <charset val="1"/>
        <family val="0"/>
        <b val="1"/>
        <color rgb="FF006100"/>
        <sz val="12"/>
      </font>
    </dxf>
    <dxf>
      <font>
        <name val="Bahnschrift Light Condensed"/>
        <charset val="1"/>
        <family val="0"/>
        <b val="1"/>
        <color rgb="FF9C0006"/>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BDBDB"/>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BFBFBF"/>
      <rgbColor rgb="FFFFA6A6"/>
      <rgbColor rgb="FFCC99FF"/>
      <rgbColor rgb="FFFFB66C"/>
      <rgbColor rgb="FF3366FF"/>
      <rgbColor rgb="FF33CCCC"/>
      <rgbColor rgb="FF99CC00"/>
      <rgbColor rgb="FFFFCC00"/>
      <rgbColor rgb="FFFF9900"/>
      <rgbColor rgb="FFFF6600"/>
      <rgbColor rgb="FF2A60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 Type="http://schemas.openxmlformats.org/officeDocument/2006/relationships/image" Target="/xl/media/image15.png" Id="rId14"/><Relationship Type="http://schemas.openxmlformats.org/officeDocument/2006/relationships/image" Target="/xl/media/image16.png" Id="rId15"/><Relationship Type="http://schemas.openxmlformats.org/officeDocument/2006/relationships/image" Target="/xl/media/image17.png" Id="rId16"/><Relationship Type="http://schemas.openxmlformats.org/officeDocument/2006/relationships/image" Target="/xl/media/image18.png" Id="rId17"/><Relationship Type="http://schemas.openxmlformats.org/officeDocument/2006/relationships/image" Target="/xl/media/image19.png" Id="rId18"/><Relationship Type="http://schemas.openxmlformats.org/officeDocument/2006/relationships/image" Target="/xl/media/image20.png" Id="rId19"/><Relationship Type="http://schemas.openxmlformats.org/officeDocument/2006/relationships/image" Target="/xl/media/image21.png" Id="rId20"/><Relationship Type="http://schemas.openxmlformats.org/officeDocument/2006/relationships/image" Target="/xl/media/image22.png" Id="rId21"/><Relationship Type="http://schemas.openxmlformats.org/officeDocument/2006/relationships/image" Target="/xl/media/image23.png" Id="rId22"/><Relationship Type="http://schemas.openxmlformats.org/officeDocument/2006/relationships/image" Target="/xl/media/image24.png" Id="rId23"/><Relationship Type="http://schemas.openxmlformats.org/officeDocument/2006/relationships/image" Target="/xl/media/image25.png" Id="rId24"/><Relationship Type="http://schemas.openxmlformats.org/officeDocument/2006/relationships/image" Target="/xl/media/image26.png" Id="rId25"/><Relationship Type="http://schemas.openxmlformats.org/officeDocument/2006/relationships/image" Target="/xl/media/image27.png" Id="rId26"/><Relationship Type="http://schemas.openxmlformats.org/officeDocument/2006/relationships/image" Target="/xl/media/image28.png" Id="rId27"/><Relationship Type="http://schemas.openxmlformats.org/officeDocument/2006/relationships/image" Target="/xl/media/image29.png" Id="rId28"/><Relationship Type="http://schemas.openxmlformats.org/officeDocument/2006/relationships/image" Target="/xl/media/image30.png" Id="rId29"/><Relationship Type="http://schemas.openxmlformats.org/officeDocument/2006/relationships/image" Target="/xl/media/image31.png" Id="rId30"/><Relationship Type="http://schemas.openxmlformats.org/officeDocument/2006/relationships/image" Target="/xl/media/image32.png" Id="rId31"/></Relationships>
</file>

<file path=xl/drawings/_rels/drawing3.xml.rels><Relationships xmlns="http://schemas.openxmlformats.org/package/2006/relationships"><Relationship Type="http://schemas.openxmlformats.org/officeDocument/2006/relationships/image" Target="/xl/media/image33.png" Id="rId1"/><Relationship Type="http://schemas.openxmlformats.org/officeDocument/2006/relationships/image" Target="/xl/media/image34.png" Id="rId2"/><Relationship Type="http://schemas.openxmlformats.org/officeDocument/2006/relationships/image" Target="/xl/media/image35.png" Id="rId3"/><Relationship Type="http://schemas.openxmlformats.org/officeDocument/2006/relationships/image" Target="/xl/media/image36.png" Id="rId4"/><Relationship Type="http://schemas.openxmlformats.org/officeDocument/2006/relationships/image" Target="/xl/media/image37.png" Id="rId5"/><Relationship Type="http://schemas.openxmlformats.org/officeDocument/2006/relationships/image" Target="/xl/media/image38.png" Id="rId6"/><Relationship Type="http://schemas.openxmlformats.org/officeDocument/2006/relationships/image" Target="/xl/media/image39.png" Id="rId7"/><Relationship Type="http://schemas.openxmlformats.org/officeDocument/2006/relationships/image" Target="/xl/media/image40.png" Id="rId8"/><Relationship Type="http://schemas.openxmlformats.org/officeDocument/2006/relationships/image" Target="/xl/media/image41.png" Id="rId9"/><Relationship Type="http://schemas.openxmlformats.org/officeDocument/2006/relationships/image" Target="/xl/media/image42.png" Id="rId10"/><Relationship Type="http://schemas.openxmlformats.org/officeDocument/2006/relationships/image" Target="/xl/media/image43.png" Id="rId11"/><Relationship Type="http://schemas.openxmlformats.org/officeDocument/2006/relationships/image" Target="/xl/media/image44.png" Id="rId12"/></Relationships>
</file>

<file path=xl/drawings/_rels/drawing4.xml.rels><Relationships xmlns="http://schemas.openxmlformats.org/package/2006/relationships"><Relationship Type="http://schemas.openxmlformats.org/officeDocument/2006/relationships/image" Target="/xl/media/image45.png" Id="rId1"/><Relationship Type="http://schemas.openxmlformats.org/officeDocument/2006/relationships/image" Target="/xl/media/image46.png" Id="rId2"/><Relationship Type="http://schemas.openxmlformats.org/officeDocument/2006/relationships/image" Target="/xl/media/image47.png" Id="rId3"/><Relationship Type="http://schemas.openxmlformats.org/officeDocument/2006/relationships/image" Target="/xl/media/image48.png" Id="rId4"/><Relationship Type="http://schemas.openxmlformats.org/officeDocument/2006/relationships/image" Target="/xl/media/image49.png" Id="rId5"/><Relationship Type="http://schemas.openxmlformats.org/officeDocument/2006/relationships/image" Target="/xl/media/image50.png" Id="rId6"/><Relationship Type="http://schemas.openxmlformats.org/officeDocument/2006/relationships/image" Target="/xl/media/image51.png" Id="rId7"/><Relationship Type="http://schemas.openxmlformats.org/officeDocument/2006/relationships/image" Target="/xl/media/image52.png" Id="rId8"/><Relationship Type="http://schemas.openxmlformats.org/officeDocument/2006/relationships/image" Target="/xl/media/image53.png" Id="rId9"/><Relationship Type="http://schemas.openxmlformats.org/officeDocument/2006/relationships/image" Target="/xl/media/image54.png" Id="rId10"/><Relationship Type="http://schemas.openxmlformats.org/officeDocument/2006/relationships/image" Target="/xl/media/image55.png" Id="rId11"/><Relationship Type="http://schemas.openxmlformats.org/officeDocument/2006/relationships/image" Target="/xl/media/image56.png" Id="rId12"/><Relationship Type="http://schemas.openxmlformats.org/officeDocument/2006/relationships/image" Target="/xl/media/image57.png" Id="rId13"/><Relationship Type="http://schemas.openxmlformats.org/officeDocument/2006/relationships/image" Target="/xl/media/image58.png" Id="rId14"/><Relationship Type="http://schemas.openxmlformats.org/officeDocument/2006/relationships/image" Target="/xl/media/image59.png" Id="rId15"/><Relationship Type="http://schemas.openxmlformats.org/officeDocument/2006/relationships/image" Target="/xl/media/image60.png" Id="rId16"/><Relationship Type="http://schemas.openxmlformats.org/officeDocument/2006/relationships/image" Target="/xl/media/image61.png" Id="rId17"/><Relationship Type="http://schemas.openxmlformats.org/officeDocument/2006/relationships/image" Target="/xl/media/image62.png" Id="rId18"/><Relationship Type="http://schemas.openxmlformats.org/officeDocument/2006/relationships/image" Target="/xl/media/image63.png" Id="rId19"/><Relationship Type="http://schemas.openxmlformats.org/officeDocument/2006/relationships/image" Target="/xl/media/image64.png" Id="rId20"/><Relationship Type="http://schemas.openxmlformats.org/officeDocument/2006/relationships/image" Target="/xl/media/image65.png" Id="rId21"/><Relationship Type="http://schemas.openxmlformats.org/officeDocument/2006/relationships/image" Target="/xl/media/image66.png" Id="rId22"/><Relationship Type="http://schemas.openxmlformats.org/officeDocument/2006/relationships/image" Target="/xl/media/image67.png" Id="rId23"/><Relationship Type="http://schemas.openxmlformats.org/officeDocument/2006/relationships/image" Target="/xl/media/image68.png" Id="rId24"/><Relationship Type="http://schemas.openxmlformats.org/officeDocument/2006/relationships/image" Target="/xl/media/image69.png" Id="rId25"/><Relationship Type="http://schemas.openxmlformats.org/officeDocument/2006/relationships/image" Target="/xl/media/image70.png" Id="rId26"/><Relationship Type="http://schemas.openxmlformats.org/officeDocument/2006/relationships/image" Target="/xl/media/image71.png" Id="rId27"/><Relationship Type="http://schemas.openxmlformats.org/officeDocument/2006/relationships/image" Target="/xl/media/image72.png" Id="rId28"/><Relationship Type="http://schemas.openxmlformats.org/officeDocument/2006/relationships/image" Target="/xl/media/image73.png" Id="rId29"/><Relationship Type="http://schemas.openxmlformats.org/officeDocument/2006/relationships/image" Target="/xl/media/image74.png" Id="rId30"/><Relationship Type="http://schemas.openxmlformats.org/officeDocument/2006/relationships/image" Target="/xl/media/image75.png" Id="rId31"/></Relationships>
</file>

<file path=xl/drawings/drawing1.xml><?xml version="1.0" encoding="utf-8"?>
<wsDr xmlns="http://schemas.openxmlformats.org/drawingml/2006/spreadsheetDrawing">
  <twoCellAnchor editAs="oneCell">
    <from>
      <col>0</col>
      <colOff>309240</colOff>
      <row>0</row>
      <rowOff>0</rowOff>
    </from>
    <to>
      <col>0</col>
      <colOff>1017360</colOff>
      <row>2</row>
      <rowOff>192600</rowOff>
    </to>
    <pic>
      <nvPicPr>
        <cNvPr id="1" name="Imagen 2"/>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9240" y="0"/>
          <a:ext cx="708120" cy="7693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4</col>
      <colOff>0</colOff>
      <row>12</row>
      <rowOff>0</rowOff>
    </from>
    <to>
      <col>4</col>
      <colOff>1289880</colOff>
      <row>12</row>
      <rowOff>351000</rowOff>
    </to>
    <pic>
      <nvPicPr>
        <cNvPr id="2" name="Image 10"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58920" y="4565520"/>
          <a:ext cx="1289880" cy="35100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0</colOff>
      <row>15</row>
      <rowOff>0</rowOff>
    </from>
    <to>
      <col>4</col>
      <colOff>1281960</colOff>
      <row>15</row>
      <rowOff>348840</rowOff>
    </to>
    <pic>
      <nvPicPr>
        <cNvPr id="3" name="Image 13"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58920" y="5754240"/>
          <a:ext cx="128196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0</colOff>
      <row>19</row>
      <rowOff>0</rowOff>
    </from>
    <to>
      <col>4</col>
      <colOff>1266840</colOff>
      <row>19</row>
      <rowOff>344880</rowOff>
    </to>
    <pic>
      <nvPicPr>
        <cNvPr id="4" name="Image 17"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158920" y="7339320"/>
          <a:ext cx="1266840" cy="3448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1800</colOff>
      <row>4</row>
      <rowOff>1440</rowOff>
    </from>
    <to>
      <col>4</col>
      <colOff>1284120</colOff>
      <row>4</row>
      <rowOff>350280</rowOff>
    </to>
    <pic>
      <nvPicPr>
        <cNvPr id="5" name="Image 3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160720" y="139716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1800</colOff>
      <row>5</row>
      <rowOff>1440</rowOff>
    </from>
    <to>
      <col>4</col>
      <colOff>1284120</colOff>
      <row>5</row>
      <rowOff>350280</rowOff>
    </to>
    <pic>
      <nvPicPr>
        <cNvPr id="6" name="Image 33"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160720" y="179352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1800</colOff>
      <row>6</row>
      <rowOff>1440</rowOff>
    </from>
    <to>
      <col>4</col>
      <colOff>1284120</colOff>
      <row>6</row>
      <rowOff>350280</rowOff>
    </to>
    <pic>
      <nvPicPr>
        <cNvPr id="7" name="Image 34"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160720" y="218952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1800</colOff>
      <row>7</row>
      <rowOff>1440</rowOff>
    </from>
    <to>
      <col>4</col>
      <colOff>1284120</colOff>
      <row>7</row>
      <rowOff>350280</rowOff>
    </to>
    <pic>
      <nvPicPr>
        <cNvPr id="8" name="Image 35"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160720" y="258588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1800</colOff>
      <row>8</row>
      <rowOff>1080</rowOff>
    </from>
    <to>
      <col>4</col>
      <colOff>1284120</colOff>
      <row>8</row>
      <rowOff>349920</rowOff>
    </to>
    <pic>
      <nvPicPr>
        <cNvPr id="9" name="Image 36"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160720" y="298188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1800</colOff>
      <row>9</row>
      <rowOff>1440</rowOff>
    </from>
    <to>
      <col>4</col>
      <colOff>1284120</colOff>
      <row>9</row>
      <rowOff>350280</rowOff>
    </to>
    <pic>
      <nvPicPr>
        <cNvPr id="10" name="Image 37"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160720" y="337824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1800</colOff>
      <row>10</row>
      <rowOff>1080</rowOff>
    </from>
    <to>
      <col>4</col>
      <colOff>1284120</colOff>
      <row>10</row>
      <rowOff>349920</rowOff>
    </to>
    <pic>
      <nvPicPr>
        <cNvPr id="11" name="Image 38"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2160720" y="377424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1800</colOff>
      <row>11</row>
      <rowOff>1080</rowOff>
    </from>
    <to>
      <col>4</col>
      <colOff>1284120</colOff>
      <row>11</row>
      <rowOff>349920</rowOff>
    </to>
    <pic>
      <nvPicPr>
        <cNvPr id="12" name="Image 39"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160720" y="417060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1800</colOff>
      <row>3</row>
      <rowOff>1800</rowOff>
    </from>
    <to>
      <col>4</col>
      <colOff>1284120</colOff>
      <row>3</row>
      <rowOff>350640</rowOff>
    </to>
    <pic>
      <nvPicPr>
        <cNvPr id="13" name="Image 40"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2160720" y="100116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13</row>
      <rowOff>1080</rowOff>
    </from>
    <to>
      <col>4</col>
      <colOff>1284840</colOff>
      <row>13</row>
      <rowOff>349920</rowOff>
    </to>
    <pic>
      <nvPicPr>
        <cNvPr id="14" name="Image 4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161440" y="496296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14</row>
      <rowOff>720</rowOff>
    </from>
    <to>
      <col>4</col>
      <colOff>1284840</colOff>
      <row>14</row>
      <rowOff>349560</rowOff>
    </to>
    <pic>
      <nvPicPr>
        <cNvPr id="15" name="Image 4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2161440" y="535896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16</row>
      <rowOff>720</rowOff>
    </from>
    <to>
      <col>4</col>
      <colOff>1284840</colOff>
      <row>16</row>
      <rowOff>349560</rowOff>
    </to>
    <pic>
      <nvPicPr>
        <cNvPr id="16" name="Image 43"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161440" y="615132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17</row>
      <rowOff>360</rowOff>
    </from>
    <to>
      <col>4</col>
      <colOff>1284840</colOff>
      <row>17</row>
      <rowOff>349200</rowOff>
    </to>
    <pic>
      <nvPicPr>
        <cNvPr id="17" name="Image 44"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2161440" y="654732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18</row>
      <rowOff>720</rowOff>
    </from>
    <to>
      <col>4</col>
      <colOff>1284840</colOff>
      <row>18</row>
      <rowOff>349560</rowOff>
    </to>
    <pic>
      <nvPicPr>
        <cNvPr id="18" name="Image 45"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161440" y="694368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20</row>
      <rowOff>360</rowOff>
    </from>
    <to>
      <col>4</col>
      <colOff>1284840</colOff>
      <row>20</row>
      <rowOff>349200</rowOff>
    </to>
    <pic>
      <nvPicPr>
        <cNvPr id="19" name="Image 46"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2161440" y="773604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21</row>
      <rowOff>720</rowOff>
    </from>
    <to>
      <col>4</col>
      <colOff>1284840</colOff>
      <row>21</row>
      <rowOff>349560</rowOff>
    </to>
    <pic>
      <nvPicPr>
        <cNvPr id="20" name="Image 47"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161440" y="813240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22</row>
      <rowOff>360</rowOff>
    </from>
    <to>
      <col>4</col>
      <colOff>1284840</colOff>
      <row>22</row>
      <rowOff>349200</rowOff>
    </to>
    <pic>
      <nvPicPr>
        <cNvPr id="21" name="Image 48"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161440" y="852840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23</row>
      <rowOff>360</rowOff>
    </from>
    <to>
      <col>4</col>
      <colOff>1284840</colOff>
      <row>23</row>
      <rowOff>349200</rowOff>
    </to>
    <pic>
      <nvPicPr>
        <cNvPr id="22" name="Image 49"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161440" y="892476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2160</colOff>
      <row>24</row>
      <rowOff>360</rowOff>
    </from>
    <to>
      <col>4</col>
      <colOff>1284120</colOff>
      <row>24</row>
      <rowOff>349200</rowOff>
    </to>
    <pic>
      <nvPicPr>
        <cNvPr id="23" name="Image 50"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2161080" y="9320760"/>
          <a:ext cx="128196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25</row>
      <rowOff>0</rowOff>
    </from>
    <to>
      <col>4</col>
      <colOff>1284840</colOff>
      <row>25</row>
      <rowOff>348840</rowOff>
    </to>
    <pic>
      <nvPicPr>
        <cNvPr id="24" name="Image 5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161440" y="971676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26</row>
      <rowOff>0</rowOff>
    </from>
    <to>
      <col>4</col>
      <colOff>1284840</colOff>
      <row>26</row>
      <rowOff>348840</rowOff>
    </to>
    <pic>
      <nvPicPr>
        <cNvPr id="25" name="Image 5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2161440" y="1011312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27</row>
      <rowOff>0</rowOff>
    </from>
    <to>
      <col>4</col>
      <colOff>1284840</colOff>
      <row>27</row>
      <rowOff>348840</rowOff>
    </to>
    <pic>
      <nvPicPr>
        <cNvPr id="26" name="Image 53"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161440" y="1050912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28</row>
      <rowOff>0</rowOff>
    </from>
    <to>
      <col>4</col>
      <colOff>1284840</colOff>
      <row>28</row>
      <rowOff>348840</rowOff>
    </to>
    <pic>
      <nvPicPr>
        <cNvPr id="27" name="Image 54"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2161440" y="1090548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29</row>
      <rowOff>-360</rowOff>
    </from>
    <to>
      <col>4</col>
      <colOff>1284840</colOff>
      <row>29</row>
      <rowOff>348480</rowOff>
    </to>
    <pic>
      <nvPicPr>
        <cNvPr id="28" name="Image 55"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161440" y="1130148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30</row>
      <rowOff>0</rowOff>
    </from>
    <to>
      <col>4</col>
      <colOff>1284840</colOff>
      <row>30</row>
      <rowOff>348840</rowOff>
    </to>
    <pic>
      <nvPicPr>
        <cNvPr id="29" name="Image 56"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161440" y="1169784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31</row>
      <rowOff>-360</rowOff>
    </from>
    <to>
      <col>4</col>
      <colOff>1284840</colOff>
      <row>31</row>
      <rowOff>348480</rowOff>
    </to>
    <pic>
      <nvPicPr>
        <cNvPr id="30" name="Image 57"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161440" y="1209384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32</row>
      <rowOff>-360</rowOff>
    </from>
    <to>
      <col>4</col>
      <colOff>1284840</colOff>
      <row>32</row>
      <rowOff>348480</rowOff>
    </to>
    <pic>
      <nvPicPr>
        <cNvPr id="31" name="Image 58"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2161440" y="1249020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colOff>
      <row>33</row>
      <rowOff>-360</rowOff>
    </from>
    <to>
      <col>4</col>
      <colOff>1284840</colOff>
      <row>33</row>
      <rowOff>348480</rowOff>
    </to>
    <pic>
      <nvPicPr>
        <cNvPr id="32" name="Image 59"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161440" y="12886200"/>
          <a:ext cx="1282320" cy="348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3.xml><?xml version="1.0" encoding="utf-8"?>
<wsDr xmlns="http://schemas.openxmlformats.org/drawingml/2006/spreadsheetDrawing">
  <twoCellAnchor editAs="oneCell">
    <from>
      <col>5</col>
      <colOff>23040</colOff>
      <row>3</row>
      <rowOff>39240</rowOff>
    </from>
    <to>
      <col>5</col>
      <colOff>1243440</colOff>
      <row>3</row>
      <rowOff>371520</rowOff>
    </to>
    <pic>
      <nvPicPr>
        <cNvPr id="3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60720" y="1263600"/>
          <a:ext cx="1220400" cy="332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5</col>
      <colOff>0</colOff>
      <row>4</row>
      <rowOff>54360</rowOff>
    </from>
    <to>
      <col>5</col>
      <colOff>1227960</colOff>
      <row>4</row>
      <rowOff>388800</rowOff>
    </to>
    <pic>
      <nvPicPr>
        <cNvPr id="34"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037680" y="1674720"/>
          <a:ext cx="1227960" cy="3344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5</col>
      <colOff>4320</colOff>
      <row>5</row>
      <rowOff>8280</rowOff>
    </from>
    <to>
      <col>5</col>
      <colOff>1224720</colOff>
      <row>5</row>
      <rowOff>340560</rowOff>
    </to>
    <pic>
      <nvPicPr>
        <cNvPr id="35" name="Image 60"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042000" y="2025000"/>
          <a:ext cx="1220400" cy="332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5</col>
      <colOff>4320</colOff>
      <row>6</row>
      <rowOff>9000</rowOff>
    </from>
    <to>
      <col>5</col>
      <colOff>1224720</colOff>
      <row>6</row>
      <rowOff>341280</rowOff>
    </to>
    <pic>
      <nvPicPr>
        <cNvPr id="36" name="Image 61"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042000" y="2422080"/>
          <a:ext cx="1220400" cy="332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5</col>
      <colOff>4320</colOff>
      <row>7</row>
      <rowOff>10080</rowOff>
    </from>
    <to>
      <col>5</col>
      <colOff>1224720</colOff>
      <row>7</row>
      <rowOff>342360</rowOff>
    </to>
    <pic>
      <nvPicPr>
        <cNvPr id="37" name="Image 62"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042000" y="2819160"/>
          <a:ext cx="1220400" cy="332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5</col>
      <colOff>4320</colOff>
      <row>8</row>
      <rowOff>11160</rowOff>
    </from>
    <to>
      <col>5</col>
      <colOff>1224720</colOff>
      <row>8</row>
      <rowOff>343440</rowOff>
    </to>
    <pic>
      <nvPicPr>
        <cNvPr id="38" name="Image 63"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3042000" y="3216600"/>
          <a:ext cx="1220400" cy="332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5</col>
      <colOff>4320</colOff>
      <row>9</row>
      <rowOff>11880</rowOff>
    </from>
    <to>
      <col>5</col>
      <colOff>1224720</colOff>
      <row>9</row>
      <rowOff>344160</rowOff>
    </to>
    <pic>
      <nvPicPr>
        <cNvPr id="39" name="Image 64"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042000" y="3613680"/>
          <a:ext cx="1220400" cy="332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5</col>
      <colOff>4320</colOff>
      <row>10</row>
      <rowOff>13320</rowOff>
    </from>
    <to>
      <col>5</col>
      <colOff>1224720</colOff>
      <row>10</row>
      <rowOff>345600</rowOff>
    </to>
    <pic>
      <nvPicPr>
        <cNvPr id="40" name="Image 65"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3042000" y="4011120"/>
          <a:ext cx="1220400" cy="332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5</col>
      <colOff>3960</colOff>
      <row>11</row>
      <rowOff>14040</rowOff>
    </from>
    <to>
      <col>5</col>
      <colOff>1231920</colOff>
      <row>11</row>
      <rowOff>348480</rowOff>
    </to>
    <pic>
      <nvPicPr>
        <cNvPr id="41" name="Image 66"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041640" y="4408200"/>
          <a:ext cx="1227960" cy="3344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5</col>
      <colOff>4320</colOff>
      <row>12</row>
      <rowOff>14760</rowOff>
    </from>
    <to>
      <col>5</col>
      <colOff>1224720</colOff>
      <row>12</row>
      <rowOff>347040</rowOff>
    </to>
    <pic>
      <nvPicPr>
        <cNvPr id="42" name="Image 67"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3042000" y="4805280"/>
          <a:ext cx="1220400" cy="332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5</col>
      <colOff>4320</colOff>
      <row>13</row>
      <rowOff>16200</rowOff>
    </from>
    <to>
      <col>5</col>
      <colOff>1224720</colOff>
      <row>13</row>
      <rowOff>348480</rowOff>
    </to>
    <pic>
      <nvPicPr>
        <cNvPr id="43" name="Image 68"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042000" y="5202720"/>
          <a:ext cx="1220400" cy="332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5</col>
      <colOff>4320</colOff>
      <row>14</row>
      <rowOff>16920</rowOff>
    </from>
    <to>
      <col>5</col>
      <colOff>1224720</colOff>
      <row>14</row>
      <rowOff>349200</rowOff>
    </to>
    <pic>
      <nvPicPr>
        <cNvPr id="44" name="Image 69"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3042000" y="5599800"/>
          <a:ext cx="1220400" cy="332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4</col>
      <colOff>0</colOff>
      <row>3</row>
      <rowOff>0</rowOff>
    </from>
    <to>
      <col>4</col>
      <colOff>1253520</colOff>
      <row>3</row>
      <rowOff>341280</rowOff>
    </to>
    <pic>
      <nvPicPr>
        <cNvPr id="4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58920" y="128772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0</colOff>
      <row>6</row>
      <rowOff>0</rowOff>
    </from>
    <to>
      <col>4</col>
      <colOff>1245960</colOff>
      <row>6</row>
      <rowOff>339120</rowOff>
    </to>
    <pic>
      <nvPicPr>
        <cNvPr id="46" name="Image 4"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58920" y="2476440"/>
          <a:ext cx="1245960" cy="3391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4</row>
      <rowOff>1800</rowOff>
    </from>
    <to>
      <col>4</col>
      <colOff>1248480</colOff>
      <row>4</row>
      <rowOff>343080</rowOff>
    </to>
    <pic>
      <nvPicPr>
        <cNvPr id="47" name="Image 3"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153880" y="168588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5</row>
      <rowOff>1800</rowOff>
    </from>
    <to>
      <col>4</col>
      <colOff>1248480</colOff>
      <row>5</row>
      <rowOff>343080</rowOff>
    </to>
    <pic>
      <nvPicPr>
        <cNvPr id="48" name="Image 70"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153880" y="208224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7</row>
      <rowOff>1800</rowOff>
    </from>
    <to>
      <col>4</col>
      <colOff>1248480</colOff>
      <row>7</row>
      <rowOff>343080</rowOff>
    </to>
    <pic>
      <nvPicPr>
        <cNvPr id="49" name="Image 5"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153880" y="287460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8</row>
      <rowOff>1440</rowOff>
    </from>
    <to>
      <col>4</col>
      <colOff>1248480</colOff>
      <row>8</row>
      <rowOff>342720</rowOff>
    </to>
    <pic>
      <nvPicPr>
        <cNvPr id="50" name="Image 6"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153880" y="327060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9</row>
      <rowOff>1800</rowOff>
    </from>
    <to>
      <col>4</col>
      <colOff>1248480</colOff>
      <row>9</row>
      <rowOff>343080</rowOff>
    </to>
    <pic>
      <nvPicPr>
        <cNvPr id="51" name="Image 7"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153880" y="366696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10</row>
      <rowOff>1440</rowOff>
    </from>
    <to>
      <col>4</col>
      <colOff>1248480</colOff>
      <row>10</row>
      <rowOff>342720</rowOff>
    </to>
    <pic>
      <nvPicPr>
        <cNvPr id="52" name="Image 8"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153880" y="406296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17640</colOff>
      <row>11</row>
      <rowOff>16560</rowOff>
    </from>
    <to>
      <col>4</col>
      <colOff>1263600</colOff>
      <row>11</row>
      <rowOff>355680</rowOff>
    </to>
    <pic>
      <nvPicPr>
        <cNvPr id="53" name="Image 9"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176560" y="4474440"/>
          <a:ext cx="1245960" cy="3391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12</row>
      <rowOff>1440</rowOff>
    </from>
    <to>
      <col>4</col>
      <colOff>1248480</colOff>
      <row>12</row>
      <rowOff>342720</rowOff>
    </to>
    <pic>
      <nvPicPr>
        <cNvPr id="54" name="Image 11"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2153880" y="485532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13</row>
      <rowOff>1080</rowOff>
    </from>
    <to>
      <col>4</col>
      <colOff>1248480</colOff>
      <row>13</row>
      <rowOff>342360</rowOff>
    </to>
    <pic>
      <nvPicPr>
        <cNvPr id="55" name="Image 12"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153880" y="525132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14</row>
      <rowOff>1080</rowOff>
    </from>
    <to>
      <col>4</col>
      <colOff>1248480</colOff>
      <row>14</row>
      <rowOff>342360</rowOff>
    </to>
    <pic>
      <nvPicPr>
        <cNvPr id="56" name="Image 71"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2153880" y="564768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15</row>
      <rowOff>1080</rowOff>
    </from>
    <to>
      <col>4</col>
      <colOff>1248480</colOff>
      <row>15</row>
      <rowOff>342360</rowOff>
    </to>
    <pic>
      <nvPicPr>
        <cNvPr id="57" name="Image 72"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153880" y="604368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33120</colOff>
      <row>16</row>
      <rowOff>1080</rowOff>
    </from>
    <to>
      <col>4</col>
      <colOff>1279080</colOff>
      <row>16</row>
      <rowOff>340200</rowOff>
    </to>
    <pic>
      <nvPicPr>
        <cNvPr id="58" name="Image 14"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2192040" y="6440040"/>
          <a:ext cx="1245960" cy="3391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40680</colOff>
      <row>17</row>
      <rowOff>40320</rowOff>
    </from>
    <to>
      <col>4</col>
      <colOff>1286640</colOff>
      <row>17</row>
      <rowOff>379440</rowOff>
    </to>
    <pic>
      <nvPicPr>
        <cNvPr id="59" name="Image 15"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199600" y="6875640"/>
          <a:ext cx="1245960" cy="3391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33480</colOff>
      <row>18</row>
      <rowOff>16560</rowOff>
    </from>
    <to>
      <col>4</col>
      <colOff>1287000</colOff>
      <row>18</row>
      <rowOff>357840</rowOff>
    </to>
    <pic>
      <nvPicPr>
        <cNvPr id="60" name="Image 16"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2192400" y="724788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19</row>
      <rowOff>1080</rowOff>
    </from>
    <to>
      <col>4</col>
      <colOff>1248480</colOff>
      <row>19</row>
      <rowOff>342360</rowOff>
    </to>
    <pic>
      <nvPicPr>
        <cNvPr id="61" name="Image 18"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153880" y="762876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20</row>
      <rowOff>720</rowOff>
    </from>
    <to>
      <col>4</col>
      <colOff>1248480</colOff>
      <row>20</row>
      <rowOff>342000</rowOff>
    </to>
    <pic>
      <nvPicPr>
        <cNvPr id="62" name="Image 19"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2153880" y="802476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21</row>
      <rowOff>1080</rowOff>
    </from>
    <to>
      <col>4</col>
      <colOff>1248480</colOff>
      <row>21</row>
      <rowOff>342360</rowOff>
    </to>
    <pic>
      <nvPicPr>
        <cNvPr id="63" name="Image 20"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153880" y="842112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22</row>
      <rowOff>720</rowOff>
    </from>
    <to>
      <col>4</col>
      <colOff>1248480</colOff>
      <row>22</row>
      <rowOff>342000</rowOff>
    </to>
    <pic>
      <nvPicPr>
        <cNvPr id="64" name="Image 73"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153880" y="881712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25200</colOff>
      <row>23</row>
      <rowOff>720</rowOff>
    </from>
    <to>
      <col>4</col>
      <colOff>1271160</colOff>
      <row>23</row>
      <rowOff>339840</rowOff>
    </to>
    <pic>
      <nvPicPr>
        <cNvPr id="65" name="Image 2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184120" y="9213480"/>
          <a:ext cx="1245960" cy="3391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17640</colOff>
      <row>24</row>
      <rowOff>8640</rowOff>
    </from>
    <to>
      <col>4</col>
      <colOff>1263600</colOff>
      <row>24</row>
      <rowOff>347760</rowOff>
    </to>
    <pic>
      <nvPicPr>
        <cNvPr id="66" name="Image 2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2176560" y="9617400"/>
          <a:ext cx="1245960" cy="3391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25560</colOff>
      <row>25</row>
      <rowOff>15840</rowOff>
    </from>
    <to>
      <col>4</col>
      <colOff>1271520</colOff>
      <row>25</row>
      <rowOff>354960</rowOff>
    </to>
    <pic>
      <nvPicPr>
        <cNvPr id="67" name="Image 23"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184480" y="10020960"/>
          <a:ext cx="1245960" cy="3391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33120</colOff>
      <row>26</row>
      <rowOff>15840</rowOff>
    </from>
    <to>
      <col>4</col>
      <colOff>1279080</colOff>
      <row>26</row>
      <rowOff>354960</rowOff>
    </to>
    <pic>
      <nvPicPr>
        <cNvPr id="68" name="Image 24"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2192040" y="10417320"/>
          <a:ext cx="1245960" cy="3391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40680</colOff>
      <row>27</row>
      <rowOff>720</rowOff>
    </from>
    <to>
      <col>4</col>
      <colOff>1286640</colOff>
      <row>27</row>
      <rowOff>339840</rowOff>
    </to>
    <pic>
      <nvPicPr>
        <cNvPr id="69" name="Image 25"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199600" y="10798200"/>
          <a:ext cx="1245960" cy="3391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28</row>
      <rowOff>360</rowOff>
    </from>
    <to>
      <col>4</col>
      <colOff>1248480</colOff>
      <row>28</row>
      <rowOff>341640</rowOff>
    </to>
    <pic>
      <nvPicPr>
        <cNvPr id="70" name="Image 26"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2153880" y="1119420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29</row>
      <rowOff>360</rowOff>
    </from>
    <to>
      <col>4</col>
      <colOff>1248480</colOff>
      <row>29</row>
      <rowOff>341640</rowOff>
    </to>
    <pic>
      <nvPicPr>
        <cNvPr id="71" name="Image 27"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153880" y="1159056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4</col>
      <colOff>17640</colOff>
      <row>30</row>
      <rowOff>15840</rowOff>
    </from>
    <to>
      <col>4</col>
      <colOff>1263600</colOff>
      <row>30</row>
      <rowOff>354960</rowOff>
    </to>
    <pic>
      <nvPicPr>
        <cNvPr id="72" name="Image 28"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176560" y="12002040"/>
          <a:ext cx="1245960" cy="3391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31</row>
      <rowOff>0</rowOff>
    </from>
    <to>
      <col>4</col>
      <colOff>1248480</colOff>
      <row>31</row>
      <rowOff>341280</rowOff>
    </to>
    <pic>
      <nvPicPr>
        <cNvPr id="73" name="Image 29"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153880" y="1238256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32</row>
      <rowOff>0</rowOff>
    </from>
    <to>
      <col>4</col>
      <colOff>1248480</colOff>
      <row>32</row>
      <rowOff>341280</rowOff>
    </to>
    <pic>
      <nvPicPr>
        <cNvPr id="74" name="Image 30"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2153880" y="1277892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3</col>
      <colOff>534600</colOff>
      <row>33</row>
      <rowOff>0</rowOff>
    </from>
    <to>
      <col>4</col>
      <colOff>1248480</colOff>
      <row>33</row>
      <rowOff>341280</rowOff>
    </to>
    <pic>
      <nvPicPr>
        <cNvPr id="75" name="Image 3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153880" y="13174920"/>
          <a:ext cx="1253520" cy="341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Mi%20unidad/FAPyD/01%20MII/Unidad%2004%20-%20La%20selectividad%20termica%20en%20cerramientos%20opacos%20I/Higrotermia%20Municipalidad%20Rosario/Planilla_3_Transmitancia_Termica_y_fes%20(2).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lanilla3"/>
      <sheetName val="Datos"/>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filterMode="0">
    <outlinePr summaryBelow="1" summaryRight="1"/>
    <pageSetUpPr fitToPage="0"/>
  </sheetPr>
  <dimension ref="A1:K54"/>
  <sheetViews>
    <sheetView showFormulas="0" showGridLines="1" showRowColHeaders="1" showZeros="1" rightToLeft="0" tabSelected="0" showOutlineSymbols="1" defaultGridColor="1" view="normal" topLeftCell="A1" colorId="64" zoomScale="124" zoomScaleNormal="124" zoomScalePageLayoutView="100" workbookViewId="0">
      <selection pane="topLeft" activeCell="B2" activeCellId="0" sqref="B2"/>
    </sheetView>
  </sheetViews>
  <sheetFormatPr baseColWidth="8" defaultColWidth="9.1484375" defaultRowHeight="15" customHeight="0" zeroHeight="0" outlineLevelRow="0"/>
  <cols>
    <col width="1.71" customWidth="1" style="139" min="1" max="1"/>
    <col width="19.57" customWidth="1" style="139" min="2" max="2"/>
    <col width="8.710000000000001" customWidth="1" style="139" min="3" max="10"/>
    <col width="76.14" customWidth="1" style="139" min="11" max="11"/>
    <col width="11.57" customWidth="1" style="139" min="16383" max="16384"/>
  </cols>
  <sheetData>
    <row r="1" ht="15" customHeight="1" s="140">
      <c r="A1" s="139" t="n"/>
      <c r="B1" s="141" t="n"/>
      <c r="C1" s="141" t="n"/>
      <c r="D1" s="141" t="n"/>
      <c r="E1" s="141" t="n"/>
      <c r="F1" s="141" t="n"/>
      <c r="G1" s="141" t="n"/>
      <c r="H1" s="141" t="n"/>
      <c r="I1" s="141" t="n"/>
      <c r="J1" s="141" t="n"/>
    </row>
    <row r="2" ht="15" customHeight="1" s="140">
      <c r="A2" s="139" t="n"/>
      <c r="B2" s="142" t="inlineStr">
        <is>
          <t>CÁLCULO PARA LA INSTALACION</t>
        </is>
      </c>
    </row>
    <row r="3" ht="8.25" customHeight="1" s="140">
      <c r="A3" s="139" t="n"/>
      <c r="B3" s="143" t="n"/>
      <c r="C3" s="141" t="n"/>
      <c r="D3" s="141" t="n"/>
      <c r="E3" s="141" t="n"/>
      <c r="F3" s="141" t="n"/>
      <c r="G3" s="141" t="n"/>
      <c r="H3" s="141" t="n"/>
      <c r="I3" s="141" t="n"/>
      <c r="J3" s="141" t="n"/>
    </row>
    <row r="4" ht="15" customHeight="1" s="140">
      <c r="A4" s="139" t="n"/>
      <c r="B4" s="144" t="inlineStr">
        <is>
          <t xml:space="preserve">Para el cálculo de tuberías debe emplearse el método indicado en las "disposiciones y normas para la ejecución de instalaciones domiciliarias de gas - NAG 200". Las tablas a emplearse son las adjuntas. </t>
        </is>
      </c>
    </row>
    <row r="5" ht="15" customHeight="1" s="140">
      <c r="A5" s="139" t="n"/>
    </row>
    <row r="6" ht="8.25" customHeight="1" s="140">
      <c r="A6" s="139" t="n"/>
      <c r="B6" s="141" t="n"/>
      <c r="C6" s="141" t="n"/>
      <c r="D6" s="141" t="n"/>
      <c r="E6" s="141" t="n"/>
      <c r="F6" s="141" t="n"/>
      <c r="G6" s="141" t="n"/>
      <c r="H6" s="141" t="n"/>
      <c r="I6" s="141" t="n"/>
      <c r="J6" s="141" t="n"/>
    </row>
    <row r="7" ht="15" customHeight="1" s="140">
      <c r="A7" s="139" t="n"/>
      <c r="B7" s="142" t="inlineStr">
        <is>
          <t xml:space="preserve">CONSUMO DE LA INTALACIÓN DE GAS: </t>
        </is>
      </c>
    </row>
    <row r="8" ht="8.25" customHeight="1" s="140">
      <c r="A8" s="139" t="n"/>
      <c r="B8" s="142" t="n"/>
      <c r="C8" s="142" t="n"/>
      <c r="D8" s="142" t="n"/>
      <c r="E8" s="142" t="n"/>
      <c r="F8" s="142" t="n"/>
      <c r="G8" s="142" t="n"/>
      <c r="H8" s="142" t="n"/>
      <c r="I8" s="142" t="n"/>
      <c r="J8" s="142" t="n"/>
    </row>
    <row r="9" ht="15" customHeight="1" s="140">
      <c r="A9" s="139" t="n"/>
      <c r="B9" s="145" t="inlineStr">
        <is>
          <t xml:space="preserve">La capacidad del regulador de presión esta en relación al gas que se consuma en el edificio.                                                                       Se prevee el siguiente consumo: </t>
        </is>
      </c>
    </row>
    <row r="10" ht="15" customHeight="1" s="140">
      <c r="A10" s="139" t="n"/>
    </row>
    <row r="11" ht="8.25" customHeight="1" s="140">
      <c r="A11" s="139" t="n"/>
      <c r="B11" s="141" t="n"/>
      <c r="C11" s="146" t="n"/>
      <c r="D11" s="141" t="n"/>
      <c r="E11" s="146" t="n"/>
      <c r="F11" s="146" t="n"/>
      <c r="G11" s="146" t="n"/>
      <c r="H11" s="141" t="n"/>
      <c r="I11" s="141" t="n"/>
      <c r="J11" s="141" t="n"/>
    </row>
    <row r="12" ht="15" customHeight="1" s="140">
      <c r="A12" s="139" t="n"/>
      <c r="B12" s="147" t="inlineStr">
        <is>
          <t>DESCRIPCION</t>
        </is>
      </c>
      <c r="C12" s="148" t="n"/>
      <c r="D12" s="148" t="n"/>
      <c r="E12" s="148" t="n"/>
      <c r="F12" s="148" t="n"/>
      <c r="G12" s="149" t="n"/>
      <c r="H12" s="150" t="inlineStr">
        <is>
          <t>Consumo</t>
        </is>
      </c>
      <c r="I12" s="150" t="inlineStr">
        <is>
          <t>PCS Gas</t>
        </is>
      </c>
      <c r="J12" s="151" t="inlineStr">
        <is>
          <t>Consumo</t>
        </is>
      </c>
    </row>
    <row r="13" ht="15" customHeight="1" s="140">
      <c r="A13" s="139" t="n"/>
      <c r="B13" s="152" t="n"/>
      <c r="C13" s="152" t="n"/>
      <c r="D13" s="152" t="n"/>
      <c r="E13" s="152" t="n"/>
      <c r="F13" s="152" t="n"/>
      <c r="G13" s="153" t="n"/>
      <c r="H13" s="154" t="inlineStr">
        <is>
          <t>(kcal/h)</t>
        </is>
      </c>
      <c r="I13" s="154" t="inlineStr">
        <is>
          <t>(kcal/m3)</t>
        </is>
      </c>
      <c r="J13" s="155" t="inlineStr">
        <is>
          <t>(m3/h)</t>
        </is>
      </c>
    </row>
    <row r="14" ht="15" customHeight="1" s="140">
      <c r="A14" s="139" t="n"/>
      <c r="B14" s="156" t="inlineStr">
        <is>
          <t>Caldera Diva Dual 24 T. Forzado Peisa. 14 a 21lts/min</t>
        </is>
      </c>
      <c r="C14" s="157" t="n"/>
      <c r="D14" s="157" t="n"/>
      <c r="E14" s="157" t="n"/>
      <c r="F14" s="157" t="n"/>
      <c r="G14" s="158" t="n"/>
      <c r="H14" s="154" t="n">
        <v>23670</v>
      </c>
      <c r="I14" s="154" t="n">
        <v>9300</v>
      </c>
      <c r="J14" s="155" t="n">
        <v>2.55</v>
      </c>
    </row>
    <row r="15" ht="24.8" customHeight="1" s="140">
      <c r="A15" s="139" t="n"/>
      <c r="B15" s="159" t="inlineStr">
        <is>
          <t xml:space="preserve">Anafe Empotrable a Gas Whirlpool 60cm:Quemadores de hornalla: 2 grande/ 1 mediano / 1 chico </t>
        </is>
      </c>
      <c r="C15" s="157" t="n"/>
      <c r="D15" s="157" t="n"/>
      <c r="E15" s="157" t="n"/>
      <c r="F15" s="157" t="n"/>
      <c r="G15" s="158" t="n"/>
      <c r="H15" s="160" t="n">
        <v>6708</v>
      </c>
      <c r="I15" s="160" t="n">
        <v>9300</v>
      </c>
      <c r="J15" s="161" t="n">
        <v>0.72</v>
      </c>
    </row>
    <row r="16" ht="15" customHeight="1" s="140">
      <c r="A16" s="139" t="n"/>
      <c r="B16" s="162" t="inlineStr">
        <is>
          <t>Horno Empotrable a Gas 80L Efficient OE8GH</t>
        </is>
      </c>
      <c r="C16" s="163" t="n"/>
      <c r="D16" s="163" t="n"/>
      <c r="E16" s="163" t="n"/>
      <c r="F16" s="163" t="n"/>
      <c r="G16" s="164" t="n"/>
      <c r="H16" s="165" t="n">
        <v>1530.8</v>
      </c>
      <c r="I16" s="165" t="n">
        <v>9300</v>
      </c>
      <c r="J16" s="166" t="n">
        <v>0.16</v>
      </c>
    </row>
    <row r="17" ht="8.25" customHeight="1" s="140">
      <c r="A17" s="139" t="n"/>
      <c r="B17" s="141" t="n"/>
      <c r="C17" s="141" t="n"/>
      <c r="D17" s="141" t="n"/>
      <c r="E17" s="141" t="n"/>
      <c r="F17" s="141" t="n"/>
      <c r="G17" s="141" t="n"/>
      <c r="H17" s="141" t="n"/>
      <c r="I17" s="141" t="n"/>
      <c r="J17" s="141" t="n"/>
    </row>
    <row r="18" ht="15" customHeight="1" s="140">
      <c r="A18" s="139" t="n"/>
      <c r="B18" s="145" t="inlineStr">
        <is>
          <t xml:space="preserve">El consumo total sería del orden de las 31.908,8 kcal/h y si el poder calorífico del gas natural suministrado es de 9300 kcal/m3, tendremos un consumo de 3,43m3/h. </t>
        </is>
      </c>
    </row>
    <row r="19" ht="15" customHeight="1" s="140">
      <c r="A19" s="139" t="n"/>
    </row>
    <row r="20" ht="8.25" customHeight="1" s="140">
      <c r="A20" s="139" t="n"/>
      <c r="B20" s="141" t="n"/>
      <c r="C20" s="141" t="n"/>
      <c r="D20" s="141" t="n"/>
      <c r="E20" s="141" t="n"/>
      <c r="F20" s="141" t="n"/>
      <c r="G20" s="141" t="n"/>
      <c r="H20" s="141" t="n"/>
      <c r="I20" s="141" t="n"/>
      <c r="J20" s="141" t="n"/>
    </row>
    <row r="21" ht="15" customHeight="1" s="140">
      <c r="A21" s="139" t="n"/>
      <c r="B21" s="167" t="inlineStr">
        <is>
          <t>CÁLCULO DIÁMETRO CAÑERÍAS INTERNAS. TABLA 18</t>
        </is>
      </c>
      <c r="C21" s="141" t="n"/>
      <c r="D21" s="141" t="n"/>
      <c r="E21" s="141" t="n"/>
      <c r="F21" s="141" t="n"/>
      <c r="G21" s="141" t="n"/>
      <c r="H21" s="141" t="n"/>
      <c r="I21" s="141" t="n"/>
      <c r="J21" s="141" t="n"/>
      <c r="K21" s="168" t="n"/>
    </row>
    <row r="22" ht="8.25" customHeight="1" s="140">
      <c r="A22" s="139" t="n"/>
      <c r="B22" s="141" t="n"/>
      <c r="C22" s="141" t="n"/>
      <c r="D22" s="141" t="n"/>
      <c r="E22" s="141" t="n"/>
      <c r="F22" s="141" t="n"/>
      <c r="G22" s="141" t="n"/>
      <c r="H22" s="141" t="n"/>
      <c r="I22" s="141" t="n"/>
      <c r="J22" s="141" t="n"/>
      <c r="K22" s="168" t="n"/>
    </row>
    <row r="23" ht="15" customHeight="1" s="140">
      <c r="A23" s="139" t="n"/>
      <c r="B23" s="169" t="inlineStr">
        <is>
          <t>Tramos</t>
        </is>
      </c>
      <c r="C23" s="170" t="inlineStr">
        <is>
          <t>Long. Real</t>
        </is>
      </c>
      <c r="D23" s="170" t="inlineStr">
        <is>
          <t>Consumo</t>
        </is>
      </c>
      <c r="E23" s="170" t="inlineStr">
        <is>
          <t>ø</t>
        </is>
      </c>
      <c r="F23" s="171" t="n"/>
      <c r="G23" s="172" t="inlineStr">
        <is>
          <t>Long. Equiv.</t>
        </is>
      </c>
      <c r="H23" s="173" t="inlineStr">
        <is>
          <t>Long. Cálculo</t>
        </is>
      </c>
      <c r="I23" s="174" t="inlineStr">
        <is>
          <t>ø Final</t>
        </is>
      </c>
      <c r="J23" s="175" t="n"/>
      <c r="K23" s="168" t="n"/>
    </row>
    <row r="24" ht="15" customHeight="1" s="140">
      <c r="A24" s="139" t="n"/>
      <c r="B24" s="153" t="n"/>
      <c r="C24" s="154" t="inlineStr">
        <is>
          <t>(m)</t>
        </is>
      </c>
      <c r="D24" s="154" t="inlineStr">
        <is>
          <t>(m3/h)</t>
        </is>
      </c>
      <c r="E24" s="154" t="inlineStr">
        <is>
          <t>(mm)</t>
        </is>
      </c>
      <c r="F24" s="154" t="inlineStr">
        <is>
          <t>(")</t>
        </is>
      </c>
      <c r="G24" s="154" t="inlineStr">
        <is>
          <t>(m)</t>
        </is>
      </c>
      <c r="H24" s="154" t="inlineStr">
        <is>
          <t>(m)</t>
        </is>
      </c>
      <c r="I24" s="154" t="inlineStr">
        <is>
          <t>(mm)</t>
        </is>
      </c>
      <c r="J24" s="155" t="inlineStr">
        <is>
          <t>(")</t>
        </is>
      </c>
      <c r="K24" s="168" t="n"/>
    </row>
    <row r="25" ht="15" customHeight="1" s="140">
      <c r="A25" s="139" t="n"/>
      <c r="B25" s="176" t="inlineStr">
        <is>
          <t>desde Medidor a Punto "A"</t>
        </is>
      </c>
      <c r="C25" s="154" t="n">
        <v>32.81</v>
      </c>
      <c r="D25" s="154" t="n">
        <v>3.43</v>
      </c>
      <c r="E25" s="154" t="n">
        <v>25</v>
      </c>
      <c r="F25" s="154" t="n">
        <v>1</v>
      </c>
      <c r="G25" s="154">
        <f>I36</f>
        <v/>
      </c>
      <c r="H25" s="154">
        <f>C25+G25</f>
        <v/>
      </c>
      <c r="I25" s="154" t="n">
        <v>25</v>
      </c>
      <c r="J25" s="155" t="n">
        <v>1</v>
      </c>
      <c r="K25" s="168" t="n"/>
    </row>
    <row r="26" ht="15" customHeight="1" s="140">
      <c r="A26" s="139" t="n"/>
      <c r="B26" s="176" t="inlineStr">
        <is>
          <t>desde Punto "A" a Caldera</t>
        </is>
      </c>
      <c r="C26" s="154" t="n">
        <v>32.81</v>
      </c>
      <c r="D26" s="154" t="n">
        <v>2.55</v>
      </c>
      <c r="E26" s="154" t="n">
        <v>25</v>
      </c>
      <c r="F26" s="154" t="n">
        <v>1</v>
      </c>
      <c r="G26" s="154">
        <f>I41</f>
        <v/>
      </c>
      <c r="H26" s="154">
        <f>C26+G26</f>
        <v/>
      </c>
      <c r="I26" s="154" t="n">
        <v>25</v>
      </c>
      <c r="J26" s="155" t="n">
        <v>1</v>
      </c>
      <c r="K26" s="168" t="n"/>
    </row>
    <row r="27" ht="15" customHeight="1" s="140">
      <c r="A27" s="139" t="n"/>
      <c r="B27" s="176" t="inlineStr">
        <is>
          <t>desde Punto "A" a Horno</t>
        </is>
      </c>
      <c r="C27" s="165" t="n">
        <v>15.95</v>
      </c>
      <c r="D27" s="165" t="n">
        <v>0.88</v>
      </c>
      <c r="E27" s="165" t="n">
        <v>13</v>
      </c>
      <c r="F27" s="177" t="inlineStr">
        <is>
          <t xml:space="preserve"> ½</t>
        </is>
      </c>
      <c r="G27" s="165">
        <f>I46</f>
        <v/>
      </c>
      <c r="H27" s="154">
        <f>C27+G27</f>
        <v/>
      </c>
      <c r="I27" s="165" t="n">
        <v>13</v>
      </c>
      <c r="J27" s="178" t="inlineStr">
        <is>
          <t xml:space="preserve"> ½</t>
        </is>
      </c>
      <c r="K27" s="168" t="n"/>
    </row>
    <row r="28" ht="15" customHeight="1" s="140">
      <c r="A28" s="139" t="n"/>
      <c r="B28" s="176" t="inlineStr">
        <is>
          <t>desde Punto "A" a Anafe</t>
        </is>
      </c>
      <c r="C28" s="165" t="n">
        <v>19.14</v>
      </c>
      <c r="D28" s="165" t="n">
        <v>0.72</v>
      </c>
      <c r="E28" s="165" t="n">
        <v>13</v>
      </c>
      <c r="F28" s="177" t="inlineStr">
        <is>
          <t xml:space="preserve"> ½</t>
        </is>
      </c>
      <c r="G28" s="165">
        <f>I51</f>
        <v/>
      </c>
      <c r="H28" s="165">
        <f>C28+G28</f>
        <v/>
      </c>
      <c r="I28" s="165" t="n">
        <v>13</v>
      </c>
      <c r="J28" s="178" t="inlineStr">
        <is>
          <t xml:space="preserve"> ½</t>
        </is>
      </c>
      <c r="K28" s="168" t="n"/>
    </row>
    <row r="29" ht="15" customHeight="1" s="140">
      <c r="A29" s="139" t="n"/>
      <c r="B29" s="141" t="n"/>
      <c r="C29" s="146" t="n"/>
      <c r="D29" s="146" t="n"/>
      <c r="E29" s="146" t="n"/>
      <c r="F29" s="146" t="n"/>
      <c r="G29" s="146" t="n"/>
      <c r="H29" s="146" t="n"/>
      <c r="I29" s="146" t="n"/>
      <c r="J29" s="146" t="n"/>
      <c r="K29" s="168" t="n"/>
    </row>
    <row r="30" ht="15" customHeight="1" s="140">
      <c r="A30" s="139" t="n"/>
      <c r="B30" s="167" t="inlineStr">
        <is>
          <t xml:space="preserve">CÁLCULO DE ACCESORIOS: </t>
        </is>
      </c>
      <c r="C30" s="146" t="n"/>
      <c r="D30" s="146" t="n"/>
      <c r="E30" s="146" t="n"/>
      <c r="F30" s="146" t="n"/>
      <c r="G30" s="146" t="n"/>
      <c r="H30" s="141" t="n"/>
      <c r="I30" s="141" t="n"/>
      <c r="J30" s="141" t="n"/>
    </row>
    <row r="31" ht="15" customHeight="1" s="140">
      <c r="A31" s="139" t="n"/>
      <c r="B31" s="179" t="inlineStr">
        <is>
          <t>Nota: Transforma en metros de cañería la pérdida de carga que producen los accesorios interpuestos en el tramo (Longitud de equivalencia)</t>
        </is>
      </c>
    </row>
    <row r="32" ht="15" customHeight="1" s="140">
      <c r="A32" s="139" t="n"/>
    </row>
    <row r="33" ht="8.25" customHeight="1" s="140">
      <c r="A33" s="139" t="n"/>
      <c r="B33" s="180" t="n"/>
      <c r="C33" s="180" t="n"/>
      <c r="D33" s="180" t="n"/>
      <c r="E33" s="180" t="n"/>
      <c r="F33" s="180" t="n"/>
      <c r="G33" s="180" t="n"/>
      <c r="H33" s="181" t="n"/>
      <c r="I33" s="181" t="n"/>
      <c r="J33" s="181" t="n"/>
    </row>
    <row r="34" ht="15" customHeight="1" s="140">
      <c r="A34" s="139" t="n"/>
      <c r="B34" s="182" t="inlineStr">
        <is>
          <t>desde Medidor  a Punto "A" (long. Mayor)</t>
        </is>
      </c>
      <c r="C34" s="175" t="n"/>
      <c r="D34" s="175" t="n"/>
      <c r="E34" s="175" t="n"/>
      <c r="F34" s="175" t="n"/>
      <c r="G34" s="175" t="n"/>
      <c r="H34" s="175" t="n"/>
      <c r="I34" s="175" t="n"/>
      <c r="J34" s="175" t="n"/>
    </row>
    <row r="35" ht="15" customHeight="1" s="140">
      <c r="A35" s="139" t="n"/>
      <c r="B35" s="183" t="inlineStr">
        <is>
          <t>Cant.</t>
        </is>
      </c>
      <c r="C35" s="154" t="inlineStr">
        <is>
          <t>Tipo</t>
        </is>
      </c>
      <c r="D35" s="158" t="n"/>
      <c r="E35" s="154" t="inlineStr">
        <is>
          <t>ø (d)</t>
        </is>
      </c>
      <c r="F35" s="154" t="inlineStr">
        <is>
          <t>ø Caño (m)</t>
        </is>
      </c>
      <c r="G35" s="154" t="inlineStr">
        <is>
          <t>Long. Equiv. (m)</t>
        </is>
      </c>
      <c r="H35" s="158" t="n"/>
      <c r="I35" s="155" t="inlineStr">
        <is>
          <t>Long Eq. Total (m)</t>
        </is>
      </c>
      <c r="J35" s="157" t="n"/>
    </row>
    <row r="36" ht="15" customHeight="1" s="140">
      <c r="A36" s="139" t="n"/>
      <c r="B36" s="183" t="n">
        <v>5</v>
      </c>
      <c r="C36" s="154" t="inlineStr">
        <is>
          <t>Codo 90</t>
        </is>
      </c>
      <c r="D36" s="158" t="n"/>
      <c r="E36" s="154" t="n">
        <v>30</v>
      </c>
      <c r="F36" s="154" t="n">
        <v>0.025</v>
      </c>
      <c r="G36" s="154">
        <f>B36*E36*F36</f>
        <v/>
      </c>
      <c r="H36" s="158" t="n"/>
      <c r="I36" s="184">
        <f>G36+G37+G38</f>
        <v/>
      </c>
      <c r="J36" s="185" t="n"/>
    </row>
    <row r="37" ht="15" customHeight="1" s="140">
      <c r="A37" s="139" t="n"/>
      <c r="B37" s="183" t="n">
        <v>1</v>
      </c>
      <c r="C37" s="154" t="inlineStr">
        <is>
          <t>Te a través</t>
        </is>
      </c>
      <c r="D37" s="158" t="n"/>
      <c r="E37" s="154" t="n">
        <v>20</v>
      </c>
      <c r="F37" s="154" t="n">
        <v>0.025</v>
      </c>
      <c r="G37" s="154">
        <f>B37*E37*F37</f>
        <v/>
      </c>
      <c r="H37" s="158" t="n"/>
      <c r="I37" s="186" t="n"/>
    </row>
    <row r="38" ht="15" customHeight="1" s="140">
      <c r="A38" s="139" t="n"/>
      <c r="B38" s="183" t="n">
        <v>1</v>
      </c>
      <c r="C38" s="154" t="inlineStr">
        <is>
          <t>válv  macho</t>
        </is>
      </c>
      <c r="D38" s="158" t="n"/>
      <c r="E38" s="154" t="n">
        <v>100</v>
      </c>
      <c r="F38" s="154" t="n">
        <v>0.025</v>
      </c>
      <c r="G38" s="154">
        <f>B38*E38*F38</f>
        <v/>
      </c>
      <c r="H38" s="158" t="n"/>
      <c r="I38" s="187" t="n"/>
      <c r="J38" s="152" t="n"/>
    </row>
    <row r="39" ht="15" customHeight="1" s="140">
      <c r="A39" s="139" t="n"/>
      <c r="B39" s="188" t="inlineStr">
        <is>
          <t>desde Punto "A" a Caldera</t>
        </is>
      </c>
      <c r="C39" s="157" t="n"/>
      <c r="D39" s="157" t="n"/>
      <c r="E39" s="157" t="n"/>
      <c r="F39" s="157" t="n"/>
      <c r="G39" s="157" t="n"/>
      <c r="H39" s="157" t="n"/>
      <c r="I39" s="157" t="n"/>
      <c r="J39" s="157" t="n"/>
    </row>
    <row r="40" ht="15" customHeight="1" s="140">
      <c r="A40" s="139" t="n"/>
      <c r="B40" s="183" t="inlineStr">
        <is>
          <t>Cant.</t>
        </is>
      </c>
      <c r="C40" s="154" t="inlineStr">
        <is>
          <t>Tipo</t>
        </is>
      </c>
      <c r="D40" s="158" t="n"/>
      <c r="E40" s="154" t="inlineStr">
        <is>
          <t>ø (d)</t>
        </is>
      </c>
      <c r="F40" s="154" t="inlineStr">
        <is>
          <t>ø Caño (m)</t>
        </is>
      </c>
      <c r="G40" s="154" t="inlineStr">
        <is>
          <t>Long. Equiv. (m)</t>
        </is>
      </c>
      <c r="H40" s="158" t="n"/>
      <c r="I40" s="155" t="inlineStr">
        <is>
          <t>Long Eq. Total (m)</t>
        </is>
      </c>
      <c r="J40" s="157" t="n"/>
    </row>
    <row r="41" ht="15" customHeight="1" s="140">
      <c r="A41" s="139" t="n"/>
      <c r="B41" s="183" t="n">
        <v>5</v>
      </c>
      <c r="C41" s="154" t="inlineStr">
        <is>
          <t>Codo 90</t>
        </is>
      </c>
      <c r="D41" s="158" t="n"/>
      <c r="E41" s="154" t="n">
        <v>30</v>
      </c>
      <c r="F41" s="154" t="n">
        <v>0.025</v>
      </c>
      <c r="G41" s="154">
        <f>B41*E41*F41</f>
        <v/>
      </c>
      <c r="H41" s="158" t="n"/>
      <c r="I41" s="184">
        <f>G41+G42+G43</f>
        <v/>
      </c>
      <c r="J41" s="185" t="n"/>
    </row>
    <row r="42" ht="15" customHeight="1" s="140">
      <c r="A42" s="139" t="n"/>
      <c r="B42" s="183" t="n">
        <v>1</v>
      </c>
      <c r="C42" s="154" t="inlineStr">
        <is>
          <t>Te a través</t>
        </is>
      </c>
      <c r="D42" s="158" t="n"/>
      <c r="E42" s="154" t="n">
        <v>20</v>
      </c>
      <c r="F42" s="154" t="n">
        <v>0.025</v>
      </c>
      <c r="G42" s="154">
        <f>B42*E42*F42</f>
        <v/>
      </c>
      <c r="H42" s="158" t="n"/>
      <c r="I42" s="186" t="n"/>
    </row>
    <row r="43" ht="15" customHeight="1" s="140">
      <c r="A43" s="139" t="n"/>
      <c r="B43" s="183" t="n">
        <v>1</v>
      </c>
      <c r="C43" s="154" t="inlineStr">
        <is>
          <t>válv  macho</t>
        </is>
      </c>
      <c r="D43" s="158" t="n"/>
      <c r="E43" s="154" t="n">
        <v>100</v>
      </c>
      <c r="F43" s="154" t="n">
        <v>0.025</v>
      </c>
      <c r="G43" s="154">
        <f>B43*E43*F43</f>
        <v/>
      </c>
      <c r="H43" s="158" t="n"/>
      <c r="I43" s="187" t="n"/>
      <c r="J43" s="152" t="n"/>
    </row>
    <row r="44" ht="15" customHeight="1" s="140">
      <c r="A44" s="139" t="n"/>
      <c r="B44" s="188" t="inlineStr">
        <is>
          <t>desde Punto "A" a Horno</t>
        </is>
      </c>
      <c r="C44" s="157" t="n"/>
      <c r="D44" s="157" t="n"/>
      <c r="E44" s="157" t="n"/>
      <c r="F44" s="157" t="n"/>
      <c r="G44" s="157" t="n"/>
      <c r="H44" s="157" t="n"/>
      <c r="I44" s="157" t="n"/>
      <c r="J44" s="157" t="n"/>
    </row>
    <row r="45" ht="15" customHeight="1" s="140">
      <c r="A45" s="139" t="n"/>
      <c r="B45" s="183" t="inlineStr">
        <is>
          <t>Cant.</t>
        </is>
      </c>
      <c r="C45" s="154" t="inlineStr">
        <is>
          <t>Tipo</t>
        </is>
      </c>
      <c r="D45" s="158" t="n"/>
      <c r="E45" s="154" t="inlineStr">
        <is>
          <t>ø (d)</t>
        </is>
      </c>
      <c r="F45" s="154" t="inlineStr">
        <is>
          <t>ø Caño (m)</t>
        </is>
      </c>
      <c r="G45" s="154" t="inlineStr">
        <is>
          <t>Long. Equiv. (m)</t>
        </is>
      </c>
      <c r="H45" s="158" t="n"/>
      <c r="I45" s="155" t="inlineStr">
        <is>
          <t>Long Eq. Total (m)</t>
        </is>
      </c>
      <c r="J45" s="157" t="n"/>
    </row>
    <row r="46" ht="15" customHeight="1" s="140">
      <c r="A46" s="139" t="n"/>
      <c r="B46" s="183" t="n">
        <v>1</v>
      </c>
      <c r="C46" s="154" t="inlineStr">
        <is>
          <t>Codo 90</t>
        </is>
      </c>
      <c r="D46" s="158" t="n"/>
      <c r="E46" s="154" t="n">
        <v>30</v>
      </c>
      <c r="F46" s="154" t="n">
        <v>0.0095</v>
      </c>
      <c r="G46" s="154">
        <f>B46*E46*F46</f>
        <v/>
      </c>
      <c r="H46" s="158" t="n"/>
      <c r="I46" s="184">
        <f>G46+G47+G48</f>
        <v/>
      </c>
      <c r="J46" s="185" t="n"/>
    </row>
    <row r="47" ht="15" customHeight="1" s="140">
      <c r="A47" s="139" t="n"/>
      <c r="B47" s="183" t="n">
        <v>1</v>
      </c>
      <c r="C47" s="154" t="inlineStr">
        <is>
          <t>Te a través</t>
        </is>
      </c>
      <c r="D47" s="158" t="n"/>
      <c r="E47" s="154" t="n">
        <v>20</v>
      </c>
      <c r="F47" s="154" t="n">
        <v>0.0095</v>
      </c>
      <c r="G47" s="154">
        <f>B47*E47*F47</f>
        <v/>
      </c>
      <c r="H47" s="158" t="n"/>
      <c r="I47" s="186" t="n"/>
    </row>
    <row r="48" ht="15" customHeight="1" s="140">
      <c r="A48" s="139" t="n"/>
      <c r="B48" s="183" t="n">
        <v>1</v>
      </c>
      <c r="C48" s="154" t="inlineStr">
        <is>
          <t>válv  macho</t>
        </is>
      </c>
      <c r="D48" s="158" t="n"/>
      <c r="E48" s="154" t="n">
        <v>100</v>
      </c>
      <c r="F48" s="154" t="n">
        <v>0.0095</v>
      </c>
      <c r="G48" s="154">
        <f>B48*E48*F48</f>
        <v/>
      </c>
      <c r="H48" s="158" t="n"/>
      <c r="I48" s="187" t="n"/>
      <c r="J48" s="152" t="n"/>
    </row>
    <row r="49" ht="15" customHeight="1" s="140">
      <c r="A49" s="139" t="n"/>
      <c r="B49" s="188" t="inlineStr">
        <is>
          <t>desde Punto "A" a Anafe</t>
        </is>
      </c>
      <c r="C49" s="157" t="n"/>
      <c r="D49" s="157" t="n"/>
      <c r="E49" s="157" t="n"/>
      <c r="F49" s="157" t="n"/>
      <c r="G49" s="157" t="n"/>
      <c r="H49" s="157" t="n"/>
      <c r="I49" s="157" t="n"/>
      <c r="J49" s="157" t="n"/>
    </row>
    <row r="50" ht="15" customHeight="1" s="140">
      <c r="A50" s="139" t="n"/>
      <c r="B50" s="183" t="inlineStr">
        <is>
          <t>Cant.</t>
        </is>
      </c>
      <c r="C50" s="154" t="inlineStr">
        <is>
          <t>Tipo</t>
        </is>
      </c>
      <c r="D50" s="158" t="n"/>
      <c r="E50" s="154" t="inlineStr">
        <is>
          <t>ø (d)</t>
        </is>
      </c>
      <c r="F50" s="154" t="inlineStr">
        <is>
          <t>ø Caño (m)</t>
        </is>
      </c>
      <c r="G50" s="154" t="inlineStr">
        <is>
          <t>Long. Equiv. (m)</t>
        </is>
      </c>
      <c r="H50" s="158" t="n"/>
      <c r="I50" s="155" t="inlineStr">
        <is>
          <t>Long Eq. Total (m)</t>
        </is>
      </c>
      <c r="J50" s="157" t="n"/>
    </row>
    <row r="51" ht="15" customHeight="1" s="140">
      <c r="A51" s="139" t="n"/>
      <c r="B51" s="183" t="n">
        <v>6</v>
      </c>
      <c r="C51" s="154" t="inlineStr">
        <is>
          <t>Codo 90</t>
        </is>
      </c>
      <c r="D51" s="158" t="n"/>
      <c r="E51" s="154" t="n">
        <v>30</v>
      </c>
      <c r="F51" s="154" t="n">
        <v>0.013</v>
      </c>
      <c r="G51" s="154">
        <f>B51*E51*F51</f>
        <v/>
      </c>
      <c r="H51" s="158" t="n"/>
      <c r="I51" s="189">
        <f>G51+G52+G53</f>
        <v/>
      </c>
      <c r="J51" s="185" t="n"/>
    </row>
    <row r="52" ht="15" customHeight="1" s="140">
      <c r="A52" s="139" t="n"/>
      <c r="B52" s="183" t="n">
        <v>1</v>
      </c>
      <c r="C52" s="154" t="inlineStr">
        <is>
          <t>Te a través</t>
        </is>
      </c>
      <c r="D52" s="158" t="n"/>
      <c r="E52" s="154" t="n">
        <v>20</v>
      </c>
      <c r="F52" s="154" t="n">
        <v>0.013</v>
      </c>
      <c r="G52" s="154">
        <f>B52*E52*F52</f>
        <v/>
      </c>
      <c r="H52" s="158" t="n"/>
      <c r="I52" s="186" t="n"/>
    </row>
    <row r="53" ht="15" customHeight="1" s="140">
      <c r="A53" s="139" t="n"/>
      <c r="B53" s="190" t="n">
        <v>1</v>
      </c>
      <c r="C53" s="165" t="inlineStr">
        <is>
          <t>válv  macho</t>
        </is>
      </c>
      <c r="D53" s="164" t="n"/>
      <c r="E53" s="165" t="n">
        <v>100</v>
      </c>
      <c r="F53" s="165" t="n">
        <v>0.013</v>
      </c>
      <c r="G53" s="165">
        <f>B53*E53*F53</f>
        <v/>
      </c>
      <c r="H53" s="164" t="n"/>
      <c r="I53" s="191" t="n"/>
      <c r="J53" s="192" t="n"/>
    </row>
    <row r="54" ht="15" customHeight="1" s="140">
      <c r="A54" s="139" t="n"/>
      <c r="B54" s="193" t="n"/>
      <c r="C54" s="194" t="n"/>
      <c r="D54" s="194" t="n"/>
      <c r="E54" s="194" t="n"/>
      <c r="F54" s="194" t="n"/>
      <c r="G54" s="194" t="n"/>
    </row>
  </sheetData>
  <mergeCells count="57">
    <mergeCell ref="G43:H43"/>
    <mergeCell ref="G52:H52"/>
    <mergeCell ref="B14:G14"/>
    <mergeCell ref="G42:H42"/>
    <mergeCell ref="C42:D42"/>
    <mergeCell ref="I46:J48"/>
    <mergeCell ref="E23:F23"/>
    <mergeCell ref="G36:H36"/>
    <mergeCell ref="C45:D45"/>
    <mergeCell ref="I45:J45"/>
    <mergeCell ref="G40:H40"/>
    <mergeCell ref="B4:J5"/>
    <mergeCell ref="G48:H48"/>
    <mergeCell ref="I36:J38"/>
    <mergeCell ref="B44:J44"/>
    <mergeCell ref="C35:D35"/>
    <mergeCell ref="B23:B24"/>
    <mergeCell ref="B34:J34"/>
    <mergeCell ref="C47:D47"/>
    <mergeCell ref="G38:H38"/>
    <mergeCell ref="C41:D41"/>
    <mergeCell ref="G37:H37"/>
    <mergeCell ref="B31:J32"/>
    <mergeCell ref="I41:J43"/>
    <mergeCell ref="C50:D50"/>
    <mergeCell ref="B18:J19"/>
    <mergeCell ref="C40:D40"/>
    <mergeCell ref="B49:J49"/>
    <mergeCell ref="B12:G13"/>
    <mergeCell ref="G53:H53"/>
    <mergeCell ref="B15:G15"/>
    <mergeCell ref="C43:D43"/>
    <mergeCell ref="C46:D46"/>
    <mergeCell ref="C51:D51"/>
    <mergeCell ref="C36:D36"/>
    <mergeCell ref="I23:J23"/>
    <mergeCell ref="G45:H45"/>
    <mergeCell ref="C52:D52"/>
    <mergeCell ref="C48:D48"/>
    <mergeCell ref="G35:H35"/>
    <mergeCell ref="B7:J7"/>
    <mergeCell ref="B16:G16"/>
    <mergeCell ref="I35:J35"/>
    <mergeCell ref="G51:H51"/>
    <mergeCell ref="C38:D38"/>
    <mergeCell ref="G47:H47"/>
    <mergeCell ref="I51:J53"/>
    <mergeCell ref="C37:D37"/>
    <mergeCell ref="G41:H41"/>
    <mergeCell ref="G50:H50"/>
    <mergeCell ref="B9:J10"/>
    <mergeCell ref="G46:H46"/>
    <mergeCell ref="I50:J50"/>
    <mergeCell ref="C53:D53"/>
    <mergeCell ref="B39:J39"/>
    <mergeCell ref="I40:J40"/>
    <mergeCell ref="B2:J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X57"/>
  <sheetViews>
    <sheetView showFormulas="0" showGridLines="0" showRowColHeaders="1" showZeros="1" rightToLeft="0" tabSelected="0" showOutlineSymbols="1" defaultGridColor="1" view="normal" topLeftCell="A1" colorId="64" zoomScale="124" zoomScaleNormal="124" zoomScalePageLayoutView="100" workbookViewId="0">
      <selection pane="topLeft" activeCell="P64" activeCellId="0" sqref="P64"/>
    </sheetView>
  </sheetViews>
  <sheetFormatPr baseColWidth="8" defaultColWidth="11.5703125" defaultRowHeight="15" customHeight="1" zeroHeight="0" outlineLevelRow="0"/>
  <cols>
    <col width="2.71" customWidth="1" style="139" min="1" max="1"/>
    <col width="12.71" customWidth="1" style="139" min="2" max="2"/>
    <col width="19.57" customWidth="1" style="139" min="5" max="5"/>
    <col width="16.43" customWidth="1" style="139" min="6" max="6"/>
    <col width="15" customWidth="1" style="139" min="7" max="7"/>
    <col width="12.29" customWidth="1" style="139" min="10" max="11"/>
    <col width="17.15" customWidth="1" style="139" min="12" max="13"/>
    <col width="12.29" customWidth="1" style="139" min="14" max="22"/>
  </cols>
  <sheetData>
    <row r="1" ht="15" customHeight="1" s="140">
      <c r="B1" s="141" t="n"/>
      <c r="C1" s="141" t="n"/>
      <c r="D1" s="141" t="n"/>
      <c r="E1" s="141" t="n"/>
      <c r="F1" s="141" t="n"/>
      <c r="G1" s="141" t="n"/>
      <c r="H1" s="141" t="n"/>
      <c r="I1" s="141" t="n"/>
      <c r="J1" s="141" t="n"/>
      <c r="K1" s="141" t="n"/>
      <c r="L1" s="141" t="n"/>
      <c r="M1" s="141" t="n"/>
      <c r="N1" s="141" t="n"/>
      <c r="O1" s="141" t="n"/>
      <c r="P1" s="141" t="n"/>
      <c r="Q1" s="141" t="n"/>
      <c r="R1" s="141" t="n"/>
      <c r="S1" s="141" t="n"/>
      <c r="T1" s="141" t="n"/>
      <c r="U1" s="141" t="n"/>
      <c r="V1" s="141" t="n"/>
      <c r="W1" s="141" t="n"/>
      <c r="X1" s="141" t="n"/>
    </row>
    <row r="2" ht="15" customHeight="1" s="140">
      <c r="B2" s="195" t="inlineStr">
        <is>
          <t xml:space="preserve">CÁLCULO PARA RESERVA PARA USO SANITARIO </t>
        </is>
      </c>
      <c r="C2" s="196" t="n"/>
      <c r="D2" s="196" t="n"/>
      <c r="E2" s="196" t="n"/>
      <c r="F2" s="196" t="n"/>
      <c r="G2" s="196" t="n"/>
      <c r="H2" s="196" t="n"/>
      <c r="I2" s="141" t="n"/>
      <c r="J2" s="197" t="inlineStr">
        <is>
          <t xml:space="preserve">CÁLCULO DE BAJADAS SANITARIAS </t>
        </is>
      </c>
      <c r="Q2" s="167" t="inlineStr">
        <is>
          <t>BAJADA 6: AF3</t>
        </is>
      </c>
      <c r="R2" s="141" t="n"/>
      <c r="S2" s="141" t="n"/>
      <c r="T2" s="141" t="n"/>
      <c r="U2" s="141" t="n"/>
      <c r="V2" s="141" t="n"/>
      <c r="W2" s="141" t="n"/>
      <c r="X2" s="141" t="n"/>
    </row>
    <row r="3" ht="15" customHeight="1" s="140">
      <c r="B3" s="198" t="n"/>
      <c r="C3" s="141" t="n"/>
      <c r="D3" s="141" t="n"/>
      <c r="E3" s="141" t="n"/>
      <c r="F3" s="141" t="n"/>
      <c r="G3" s="141" t="n"/>
      <c r="H3" s="141" t="n"/>
      <c r="I3" s="141" t="n"/>
      <c r="J3" s="141" t="n"/>
      <c r="K3" s="141" t="n"/>
      <c r="L3" s="141" t="n"/>
      <c r="M3" s="141" t="n"/>
      <c r="N3" s="141" t="n"/>
      <c r="O3" s="141" t="n"/>
      <c r="P3" s="141" t="n"/>
      <c r="Q3" s="141" t="n"/>
      <c r="R3" s="141" t="n"/>
      <c r="S3" s="141" t="n"/>
      <c r="T3" s="141" t="n"/>
      <c r="U3" s="141" t="n"/>
      <c r="V3" s="141" t="n"/>
      <c r="W3" s="141" t="n"/>
      <c r="X3" s="141" t="n"/>
    </row>
    <row r="4" ht="15" customHeight="1" s="140">
      <c r="B4" s="199" t="inlineStr">
        <is>
          <t xml:space="preserve">Teniendo en cuenta la cantidad de personas y las funciones a desarrollarse según TABLA I: </t>
        </is>
      </c>
      <c r="I4" s="141" t="n"/>
      <c r="J4" s="200" t="inlineStr">
        <is>
          <t xml:space="preserve">Carga mínima sobre artefacto más alto: 3 Bajadas independientes de servicio sanitario y abastecimiento a minicaldera, 3 Bajadas independientes de válvulas de Inodoros </t>
        </is>
      </c>
      <c r="P4" s="141" t="n"/>
      <c r="Q4" s="201" t="inlineStr">
        <is>
          <t>ARTEFACTO</t>
        </is>
      </c>
      <c r="R4" s="202" t="n"/>
      <c r="S4" s="203" t="inlineStr">
        <is>
          <t>SECCION</t>
        </is>
      </c>
      <c r="T4" s="202" t="n"/>
      <c r="U4" s="204" t="inlineStr">
        <is>
          <t xml:space="preserve">SECCIÓN BAJADA </t>
        </is>
      </c>
      <c r="V4" s="205" t="n"/>
      <c r="W4" s="141" t="n"/>
      <c r="X4" s="141" t="n"/>
    </row>
    <row r="5" ht="15" customHeight="1" s="140">
      <c r="B5" s="141" t="inlineStr">
        <is>
          <t>Vivienda unifamiliar</t>
        </is>
      </c>
      <c r="C5" s="141" t="n"/>
      <c r="D5" s="141" t="n"/>
      <c r="E5" s="141" t="n"/>
      <c r="F5" s="141" t="n"/>
      <c r="G5" s="141" t="n"/>
      <c r="H5" s="141" t="n"/>
      <c r="I5" s="141" t="n"/>
      <c r="P5" s="141" t="n"/>
      <c r="Q5" s="152" t="n"/>
      <c r="R5" s="153" t="n"/>
      <c r="S5" s="187" t="n"/>
      <c r="T5" s="153" t="n"/>
      <c r="U5" s="187" t="n"/>
      <c r="V5" s="152" t="n"/>
      <c r="W5" s="141" t="n"/>
      <c r="X5" s="141" t="n"/>
    </row>
    <row r="6" ht="15" customHeight="1" s="140">
      <c r="B6" s="141" t="inlineStr">
        <is>
          <t>3 dormitorios</t>
        </is>
      </c>
      <c r="C6" s="141" t="n"/>
      <c r="D6" s="141" t="n"/>
      <c r="E6" s="141" t="n"/>
      <c r="F6" s="141" t="n"/>
      <c r="G6" s="141" t="n"/>
      <c r="H6" s="141" t="n"/>
      <c r="I6" s="141" t="n"/>
      <c r="J6" s="141" t="inlineStr">
        <is>
          <t>NOTA: EL Ø MÍNIMO PERMITIDO PARA ALIMENTACIÓN DE ARTEFACTOS ES DE 13 mm</t>
        </is>
      </c>
      <c r="K6" s="141" t="n"/>
      <c r="L6" s="141" t="n"/>
      <c r="M6" s="141" t="n"/>
      <c r="N6" s="167" t="n"/>
      <c r="O6" s="141" t="n"/>
      <c r="P6" s="141" t="n"/>
      <c r="Q6" s="206" t="inlineStr">
        <is>
          <t>Cocina+ Lavadero + Canilla de servicio</t>
        </is>
      </c>
      <c r="R6" s="207" t="n"/>
      <c r="S6" s="208" t="inlineStr">
        <is>
          <t>0,98 cm²</t>
        </is>
      </c>
      <c r="T6" s="207" t="n"/>
      <c r="U6" s="209" t="inlineStr">
        <is>
          <t xml:space="preserve">Se adopta Ø 13mm </t>
        </is>
      </c>
      <c r="V6" s="185" t="n"/>
      <c r="W6" s="141" t="n"/>
      <c r="X6" s="141" t="n"/>
    </row>
    <row r="7" ht="15" customHeight="1" s="140">
      <c r="B7" s="141" t="inlineStr">
        <is>
          <t>Alimentación por servicio directo</t>
        </is>
      </c>
      <c r="C7" s="141" t="n"/>
      <c r="D7" s="141" t="n"/>
      <c r="E7" s="141" t="n"/>
      <c r="F7" s="141" t="n"/>
      <c r="G7" s="141" t="n"/>
      <c r="H7" s="141" t="n"/>
      <c r="I7" s="141" t="n"/>
      <c r="J7" s="141" t="n"/>
      <c r="K7" s="141" t="n"/>
      <c r="L7" s="141" t="n"/>
      <c r="M7" s="141" t="n"/>
      <c r="N7" s="141" t="n"/>
      <c r="O7" s="141" t="n"/>
      <c r="P7" s="141" t="n"/>
      <c r="R7" s="210" t="n"/>
      <c r="S7" s="186" t="n"/>
      <c r="T7" s="210" t="n"/>
      <c r="U7" s="186" t="n"/>
      <c r="W7" s="141" t="n"/>
      <c r="X7" s="141" t="n"/>
    </row>
    <row r="8" ht="15" customHeight="1" s="140">
      <c r="B8" s="141" t="inlineStr">
        <is>
          <t>Capacidad mínima de tanque: 800 ltrs</t>
        </is>
      </c>
      <c r="C8" s="141" t="n"/>
      <c r="D8" s="141" t="n"/>
      <c r="E8" s="141" t="n"/>
      <c r="F8" s="141" t="n"/>
      <c r="G8" s="141" t="n"/>
      <c r="H8" s="141" t="n"/>
      <c r="I8" s="141" t="n"/>
      <c r="J8" s="167" t="inlineStr">
        <is>
          <t>BAJADA 1: BI1</t>
        </is>
      </c>
      <c r="K8" s="141" t="n"/>
      <c r="L8" s="141" t="n"/>
      <c r="M8" s="141" t="n"/>
      <c r="N8" s="141" t="n"/>
      <c r="O8" s="141" t="n"/>
      <c r="P8" s="141" t="n"/>
      <c r="Q8" s="196" t="n"/>
      <c r="R8" s="211" t="n"/>
      <c r="S8" s="212" t="n"/>
      <c r="T8" s="211" t="n"/>
      <c r="U8" s="212" t="n"/>
      <c r="V8" s="196" t="n"/>
      <c r="W8" s="141" t="n"/>
      <c r="X8" s="141" t="n"/>
    </row>
    <row r="9" ht="15" customHeight="1" s="140">
      <c r="B9" s="141" t="n"/>
      <c r="C9" s="141" t="n"/>
      <c r="D9" s="141" t="n"/>
      <c r="E9" s="141" t="n"/>
      <c r="F9" s="141" t="n"/>
      <c r="G9" s="141" t="n"/>
      <c r="H9" s="141" t="n"/>
      <c r="I9" s="141" t="n"/>
      <c r="J9" s="141" t="n"/>
      <c r="K9" s="141" t="n"/>
      <c r="L9" s="141" t="n"/>
      <c r="M9" s="141" t="n"/>
      <c r="N9" s="141" t="n"/>
      <c r="O9" s="141" t="n"/>
      <c r="P9" s="141" t="n"/>
      <c r="Q9" s="141" t="n"/>
      <c r="R9" s="141" t="n"/>
      <c r="S9" s="141" t="n"/>
      <c r="T9" s="141" t="n"/>
      <c r="U9" s="141" t="n"/>
      <c r="V9" s="141" t="n"/>
      <c r="W9" s="141" t="n"/>
      <c r="X9" s="141" t="n"/>
    </row>
    <row r="10" ht="15" customHeight="1" s="140">
      <c r="B10" s="213" t="inlineStr">
        <is>
          <t xml:space="preserve">Adopto tanque de reserva Rotoplast de 850 lts color Beige. </t>
        </is>
      </c>
      <c r="C10" s="214" t="n"/>
      <c r="D10" s="214" t="n"/>
      <c r="E10" s="214" t="n"/>
      <c r="F10" s="215" t="n"/>
      <c r="G10" s="215" t="n"/>
      <c r="H10" s="215" t="n"/>
      <c r="I10" s="141" t="n"/>
      <c r="J10" s="201" t="inlineStr">
        <is>
          <t>ARTEFACTO</t>
        </is>
      </c>
      <c r="K10" s="216" t="n"/>
      <c r="L10" s="203" t="inlineStr">
        <is>
          <t>SECCION</t>
        </is>
      </c>
      <c r="M10" s="216" t="n"/>
      <c r="N10" s="204" t="inlineStr">
        <is>
          <t xml:space="preserve">SECCIÓN BAJADA </t>
        </is>
      </c>
      <c r="O10" s="217" t="n"/>
      <c r="P10" s="141" t="n"/>
      <c r="Q10" s="167" t="inlineStr">
        <is>
          <t>BAJADA 7: AF4</t>
        </is>
      </c>
      <c r="R10" s="141" t="n"/>
      <c r="S10" s="141" t="n"/>
      <c r="T10" s="141" t="n"/>
      <c r="U10" s="141" t="n"/>
      <c r="V10" s="141" t="n"/>
      <c r="W10" s="141" t="n"/>
      <c r="X10" s="141" t="n"/>
    </row>
    <row r="11" ht="15" customHeight="1" s="140">
      <c r="B11" s="141" t="n"/>
      <c r="C11" s="141" t="n"/>
      <c r="D11" s="141" t="n"/>
      <c r="E11" s="141" t="n"/>
      <c r="F11" s="141" t="n"/>
      <c r="G11" s="141" t="n"/>
      <c r="H11" s="141" t="n"/>
      <c r="I11" s="141" t="n"/>
      <c r="J11" s="206" t="inlineStr">
        <is>
          <t>Válvula Inodoro Baño Visita. PB</t>
        </is>
      </c>
      <c r="K11" s="207" t="n"/>
      <c r="L11" s="218" t="inlineStr">
        <is>
          <t>Sección nominal que exige el fabricante FV para garantizar el correcto funcionamiento de las válvulas de inodoro Slim 0378.01</t>
        </is>
      </c>
      <c r="M11" s="207" t="n"/>
      <c r="N11" s="209" t="inlineStr">
        <is>
          <t xml:space="preserve">Se adopta Ø 38 mm </t>
        </is>
      </c>
      <c r="O11" s="185" t="n"/>
      <c r="P11" s="141" t="n"/>
      <c r="Q11" s="141" t="n"/>
      <c r="R11" s="141" t="n"/>
      <c r="S11" s="141" t="n"/>
      <c r="T11" s="141" t="n"/>
      <c r="U11" s="141" t="n"/>
      <c r="V11" s="141" t="n"/>
      <c r="W11" s="141" t="n"/>
      <c r="X11" s="141" t="n"/>
    </row>
    <row r="12" ht="15" customHeight="1" s="140">
      <c r="B12" s="179" t="inlineStr">
        <is>
          <t xml:space="preserve">Características: </t>
        </is>
      </c>
      <c r="D12" s="141" t="n"/>
      <c r="E12" s="141" t="n"/>
      <c r="F12" s="141" t="n"/>
      <c r="G12" s="141" t="n"/>
      <c r="H12" s="141" t="n"/>
      <c r="I12" s="141" t="n"/>
      <c r="K12" s="210" t="n"/>
      <c r="L12" s="186" t="n"/>
      <c r="M12" s="210" t="n"/>
      <c r="N12" s="186" t="n"/>
      <c r="P12" s="141" t="n"/>
      <c r="Q12" s="201" t="inlineStr">
        <is>
          <t>ARTEFACTO</t>
        </is>
      </c>
      <c r="R12" s="202" t="n"/>
      <c r="S12" s="203" t="inlineStr">
        <is>
          <t>SECCION</t>
        </is>
      </c>
      <c r="T12" s="202" t="n"/>
      <c r="U12" s="204" t="inlineStr">
        <is>
          <t xml:space="preserve">SECCIÓN BAJADA </t>
        </is>
      </c>
      <c r="V12" s="205" t="n"/>
      <c r="W12" s="141" t="n"/>
      <c r="X12" s="141" t="n"/>
    </row>
    <row r="13" ht="15" customHeight="1" s="140">
      <c r="B13" s="199" t="inlineStr">
        <is>
          <t xml:space="preserve">- Tanque para agua tricapa de polietileno. </t>
        </is>
      </c>
      <c r="E13" s="141" t="n"/>
      <c r="F13" s="141" t="n"/>
      <c r="G13" s="141" t="n"/>
      <c r="H13" s="141" t="n"/>
      <c r="I13" s="141" t="n"/>
      <c r="J13" s="196" t="n"/>
      <c r="K13" s="211" t="n"/>
      <c r="L13" s="212" t="n"/>
      <c r="M13" s="211" t="n"/>
      <c r="N13" s="212" t="n"/>
      <c r="O13" s="196" t="n"/>
      <c r="P13" s="141" t="n"/>
      <c r="Q13" s="152" t="n"/>
      <c r="R13" s="153" t="n"/>
      <c r="S13" s="187" t="n"/>
      <c r="T13" s="153" t="n"/>
      <c r="U13" s="187" t="n"/>
      <c r="V13" s="152" t="n"/>
      <c r="W13" s="141" t="n"/>
      <c r="X13" s="141" t="n"/>
    </row>
    <row r="14" ht="15" customHeight="1" s="140">
      <c r="B14" s="199" t="inlineStr">
        <is>
          <t xml:space="preserve">- Altura: 1.18m y Ø 1.10m </t>
        </is>
      </c>
      <c r="E14" s="141" t="n"/>
      <c r="F14" s="141" t="n"/>
      <c r="G14" s="141" t="n"/>
      <c r="H14" s="141" t="n"/>
      <c r="I14" s="141" t="n"/>
      <c r="J14" s="141" t="n"/>
      <c r="K14" s="141" t="n"/>
      <c r="L14" s="141" t="n"/>
      <c r="M14" s="141" t="n"/>
      <c r="N14" s="141" t="n"/>
      <c r="O14" s="141" t="n"/>
      <c r="P14" s="141" t="n"/>
      <c r="Q14" s="206" t="inlineStr">
        <is>
          <t>Caldera dual</t>
        </is>
      </c>
      <c r="R14" s="207" t="n"/>
      <c r="S14" s="208" t="inlineStr">
        <is>
          <t>1,10 cm²</t>
        </is>
      </c>
      <c r="T14" s="207" t="n"/>
      <c r="U14" s="209" t="inlineStr">
        <is>
          <t xml:space="preserve">Se adopta Ø 13mm </t>
        </is>
      </c>
      <c r="V14" s="185" t="n"/>
      <c r="W14" s="141" t="n"/>
      <c r="X14" s="141" t="n"/>
    </row>
    <row r="15" ht="15" customHeight="1" s="140">
      <c r="B15" s="199" t="inlineStr">
        <is>
          <t>- Colocado sobre Losa de H°A°</t>
        </is>
      </c>
      <c r="F15" s="141" t="n"/>
      <c r="G15" s="141" t="n"/>
      <c r="H15" s="141" t="n"/>
      <c r="I15" s="141" t="n"/>
      <c r="J15" s="167" t="inlineStr">
        <is>
          <t>BAJADA 2: BI2</t>
        </is>
      </c>
      <c r="K15" s="141" t="n"/>
      <c r="L15" s="141" t="n"/>
      <c r="M15" s="141" t="n"/>
      <c r="N15" s="141" t="n"/>
      <c r="O15" s="141" t="n"/>
      <c r="P15" s="141" t="n"/>
      <c r="Q15" s="196" t="n"/>
      <c r="R15" s="211" t="n"/>
      <c r="S15" s="212" t="n"/>
      <c r="T15" s="211" t="n"/>
      <c r="U15" s="212" t="n"/>
      <c r="V15" s="196" t="n"/>
      <c r="W15" s="141" t="n"/>
      <c r="X15" s="141" t="n"/>
    </row>
    <row r="16" ht="15" customHeight="1" s="140">
      <c r="B16" s="141" t="n"/>
      <c r="C16" s="141" t="n"/>
      <c r="D16" s="141" t="n"/>
      <c r="E16" s="141" t="n"/>
      <c r="F16" s="141" t="n"/>
      <c r="G16" s="141" t="n"/>
      <c r="H16" s="141" t="n"/>
      <c r="I16" s="141" t="n"/>
      <c r="J16" s="141" t="n"/>
      <c r="K16" s="141" t="n"/>
      <c r="L16" s="141" t="n"/>
      <c r="M16" s="141" t="n"/>
      <c r="N16" s="141" t="n"/>
      <c r="O16" s="141" t="n"/>
      <c r="P16" s="141" t="n"/>
      <c r="Q16" s="141" t="n"/>
      <c r="R16" s="141" t="n"/>
      <c r="S16" s="141" t="n"/>
      <c r="T16" s="141" t="n"/>
      <c r="U16" s="141" t="n"/>
      <c r="V16" s="141" t="n"/>
      <c r="W16" s="141" t="n"/>
      <c r="X16" s="141" t="n"/>
    </row>
    <row r="17" ht="15" customHeight="1" s="140">
      <c r="B17" s="197" t="inlineStr">
        <is>
          <t xml:space="preserve">CÁLCULO DEL DIÁMETRO DE LA CONEXIÓN DOMICILIARIA </t>
        </is>
      </c>
      <c r="G17" s="141" t="n"/>
      <c r="H17" s="141" t="n"/>
      <c r="I17" s="141" t="n"/>
      <c r="J17" s="201" t="inlineStr">
        <is>
          <t>ARTEFACTO</t>
        </is>
      </c>
      <c r="K17" s="216" t="n"/>
      <c r="L17" s="203" t="inlineStr">
        <is>
          <t>SECCION</t>
        </is>
      </c>
      <c r="M17" s="216" t="n"/>
      <c r="N17" s="204" t="inlineStr">
        <is>
          <t xml:space="preserve">SECCIÓN BAJADA </t>
        </is>
      </c>
      <c r="O17" s="217" t="n"/>
      <c r="P17" s="141" t="n"/>
      <c r="Q17" s="167" t="inlineStr">
        <is>
          <t>DISTRIBUCIÓN INTERNA</t>
        </is>
      </c>
      <c r="R17" s="141" t="n"/>
      <c r="S17" s="141" t="n"/>
      <c r="T17" s="141" t="n"/>
      <c r="U17" s="141" t="n"/>
      <c r="V17" s="141" t="n"/>
      <c r="W17" s="141" t="n"/>
      <c r="X17" s="141" t="n"/>
    </row>
    <row r="18" ht="15" customHeight="1" s="140">
      <c r="B18" s="141" t="n"/>
      <c r="C18" s="141" t="n"/>
      <c r="D18" s="141" t="n"/>
      <c r="E18" s="141" t="n"/>
      <c r="F18" s="141" t="n"/>
      <c r="G18" s="141" t="n"/>
      <c r="H18" s="141" t="n"/>
      <c r="I18" s="141" t="n"/>
      <c r="J18" s="206" t="inlineStr">
        <is>
          <t>Válvula Inodoro Baño Suite PB</t>
        </is>
      </c>
      <c r="K18" s="207" t="n"/>
      <c r="L18" s="218" t="inlineStr">
        <is>
          <t>Sección nominal que exige el fabricante FV para garantizar el correcto funcionamiento de las válvulas de inodoro Slim 0378.01</t>
        </is>
      </c>
      <c r="M18" s="207" t="n"/>
      <c r="N18" s="209" t="inlineStr">
        <is>
          <t xml:space="preserve">Se adopta Ø 38 mm </t>
        </is>
      </c>
      <c r="O18" s="185" t="n"/>
      <c r="P18" s="141" t="n"/>
      <c r="Q18" s="199" t="inlineStr">
        <is>
          <t xml:space="preserve">Diámetro de cañería: Ø 13mm </t>
        </is>
      </c>
      <c r="U18" s="141" t="n"/>
      <c r="V18" s="141" t="n"/>
      <c r="W18" s="141" t="n"/>
      <c r="X18" s="141" t="n"/>
    </row>
    <row r="19" ht="15" customHeight="1" s="140">
      <c r="B19" s="219" t="inlineStr">
        <is>
          <t xml:space="preserve">Presión disponible mínima </t>
        </is>
      </c>
      <c r="C19" s="196" t="n"/>
      <c r="D19" s="196" t="n"/>
      <c r="E19" s="196" t="n"/>
      <c r="F19" s="220" t="n"/>
      <c r="G19" s="220" t="n"/>
      <c r="H19" s="220" t="n"/>
      <c r="I19" s="141" t="n"/>
      <c r="K19" s="210" t="n"/>
      <c r="L19" s="186" t="n"/>
      <c r="M19" s="210" t="n"/>
      <c r="N19" s="186" t="n"/>
      <c r="P19" s="141" t="n"/>
      <c r="Q19" s="141" t="n"/>
      <c r="R19" s="141" t="n"/>
      <c r="S19" s="141" t="n"/>
      <c r="T19" s="141" t="n"/>
      <c r="U19" s="141" t="n"/>
      <c r="V19" s="141" t="n"/>
      <c r="W19" s="141" t="n"/>
      <c r="X19" s="141" t="n"/>
    </row>
    <row r="20" ht="15" customHeight="1" s="140">
      <c r="B20" s="145" t="inlineStr">
        <is>
          <t xml:space="preserve">Según la ubicación del tanque de reserva alimentado desde la red exterior la Presión Disponible =                                                Presión a nivel de vereda - H de desnivel existente entre la vereda el orificio de alimentación del tanque de reserva. </t>
        </is>
      </c>
      <c r="H20" s="141" t="n"/>
      <c r="I20" s="141" t="n"/>
      <c r="J20" s="196" t="n"/>
      <c r="K20" s="211" t="n"/>
      <c r="L20" s="212" t="n"/>
      <c r="M20" s="211" t="n"/>
      <c r="N20" s="212" t="n"/>
      <c r="O20" s="196" t="n"/>
      <c r="P20" s="141" t="n"/>
      <c r="Q20" s="167" t="inlineStr">
        <is>
          <t>CALCULO RAPTOR DE VACÍO</t>
        </is>
      </c>
      <c r="R20" s="141" t="n"/>
      <c r="S20" s="141" t="n"/>
      <c r="T20" s="141" t="n"/>
      <c r="U20" s="141" t="n"/>
      <c r="V20" s="141" t="n"/>
      <c r="W20" s="141" t="n"/>
      <c r="X20" s="141" t="n"/>
    </row>
    <row r="21" ht="15" customHeight="1" s="140">
      <c r="H21" s="141" t="n"/>
      <c r="I21" s="141" t="n"/>
      <c r="J21" s="221" t="n"/>
      <c r="K21" s="221" t="n"/>
      <c r="L21" s="222" t="n"/>
      <c r="M21" s="222" t="n"/>
      <c r="N21" s="221" t="n"/>
      <c r="O21" s="221" t="n"/>
      <c r="P21" s="141" t="n"/>
      <c r="Q21" s="145" t="inlineStr">
        <is>
          <t xml:space="preserve">Su diámetro se determina en función del diámetro de la cañería de bajada. Al tener una altura menor a 15m el ruptor de vacío debe ser 3 rangos menor que el diámetro de la bajada. </t>
        </is>
      </c>
      <c r="W21" s="141" t="n"/>
      <c r="X21" s="141" t="n"/>
    </row>
    <row r="22" ht="15" customHeight="1" s="140">
      <c r="B22" s="141" t="n"/>
      <c r="C22" s="141" t="n"/>
      <c r="D22" s="141" t="n"/>
      <c r="E22" s="141" t="n"/>
      <c r="F22" s="141" t="n"/>
      <c r="G22" s="141" t="n"/>
      <c r="H22" s="141" t="n"/>
      <c r="I22" s="141" t="n"/>
      <c r="J22" s="167" t="inlineStr">
        <is>
          <t>BAJADA 3: BI3</t>
        </is>
      </c>
      <c r="K22" s="141" t="n"/>
      <c r="L22" s="141" t="n"/>
      <c r="M22" s="141" t="n"/>
      <c r="N22" s="141" t="n"/>
      <c r="O22" s="141" t="n"/>
      <c r="P22" s="141" t="n"/>
      <c r="W22" s="141" t="n"/>
      <c r="X22" s="141" t="n"/>
    </row>
    <row r="23" ht="15" customHeight="1" s="140">
      <c r="B23" s="223" t="inlineStr">
        <is>
          <t xml:space="preserve">Presión a nivel vereda - H = Presión disponible </t>
        </is>
      </c>
      <c r="F23" s="141" t="n"/>
      <c r="G23" s="141" t="n"/>
      <c r="H23" s="141" t="n"/>
      <c r="I23" s="141" t="n"/>
      <c r="J23" s="141" t="n"/>
      <c r="K23" s="141" t="n"/>
      <c r="L23" s="141" t="n"/>
      <c r="M23" s="141" t="n"/>
      <c r="N23" s="141" t="n"/>
      <c r="O23" s="141" t="n"/>
      <c r="P23" s="141" t="n"/>
      <c r="Q23" s="141" t="n"/>
      <c r="R23" s="141" t="n"/>
      <c r="S23" s="141" t="n"/>
      <c r="T23" s="141" t="n"/>
      <c r="U23" s="141" t="n"/>
      <c r="V23" s="141" t="n"/>
      <c r="W23" s="141" t="n"/>
      <c r="X23" s="141" t="n"/>
    </row>
    <row r="24" ht="15" customHeight="1" s="140">
      <c r="B24" s="199" t="inlineStr">
        <is>
          <t xml:space="preserve">12m – 8.92m = 3.08 m </t>
        </is>
      </c>
      <c r="F24" s="141" t="n"/>
      <c r="G24" s="141" t="n"/>
      <c r="H24" s="141" t="n"/>
      <c r="I24" s="141" t="n"/>
      <c r="J24" s="201" t="inlineStr">
        <is>
          <t>ARTEFACTO</t>
        </is>
      </c>
      <c r="K24" s="216" t="n"/>
      <c r="L24" s="203" t="inlineStr">
        <is>
          <t>SECCION</t>
        </is>
      </c>
      <c r="M24" s="216" t="n"/>
      <c r="N24" s="204" t="inlineStr">
        <is>
          <t xml:space="preserve">SECCIÓN BAJADA </t>
        </is>
      </c>
      <c r="O24" s="217" t="n"/>
      <c r="P24" s="141" t="n"/>
      <c r="Q24" s="141" t="inlineStr">
        <is>
          <t>BAJADA 1: 19 mm</t>
        </is>
      </c>
      <c r="R24" s="141" t="n"/>
      <c r="S24" s="141" t="inlineStr">
        <is>
          <t>BAJADA 4: 9 mm</t>
        </is>
      </c>
      <c r="T24" s="141" t="n"/>
      <c r="U24" s="141" t="inlineStr">
        <is>
          <t>BAJADA 7: 9 mm</t>
        </is>
      </c>
      <c r="V24" s="141" t="n"/>
      <c r="W24" s="141" t="n"/>
      <c r="X24" s="141" t="n"/>
    </row>
    <row r="25" ht="15" customHeight="1" s="140">
      <c r="B25" s="141" t="n"/>
      <c r="C25" s="141" t="n"/>
      <c r="D25" s="141" t="n"/>
      <c r="E25" s="141" t="n"/>
      <c r="F25" s="141" t="n"/>
      <c r="G25" s="141" t="n"/>
      <c r="H25" s="141" t="n"/>
      <c r="I25" s="141" t="n"/>
      <c r="J25" s="206" t="inlineStr">
        <is>
          <t>Válvula Inodoro Baño PA</t>
        </is>
      </c>
      <c r="K25" s="207" t="n"/>
      <c r="L25" s="218" t="inlineStr">
        <is>
          <t>Sección nominal que exige el fabricante FV para garantizar el correcto funcionamiento de las válvulas de inodoro Slim 0378.01</t>
        </is>
      </c>
      <c r="M25" s="207" t="n"/>
      <c r="N25" s="209" t="inlineStr">
        <is>
          <t xml:space="preserve">Se adopta Ø 38 mm </t>
        </is>
      </c>
      <c r="O25" s="185" t="n"/>
      <c r="P25" s="141" t="n"/>
      <c r="Q25" s="141" t="inlineStr">
        <is>
          <t>BAJADA 2: 19 mm</t>
        </is>
      </c>
      <c r="R25" s="141" t="n"/>
      <c r="S25" s="141" t="inlineStr">
        <is>
          <t>BAJADA 5: 9 mm</t>
        </is>
      </c>
      <c r="T25" s="141" t="n"/>
      <c r="U25" s="141" t="n"/>
      <c r="V25" s="141" t="n"/>
      <c r="W25" s="141" t="n"/>
      <c r="X25" s="141" t="n"/>
    </row>
    <row r="26" ht="15" customHeight="1" s="140">
      <c r="B26" s="219" t="inlineStr">
        <is>
          <t xml:space="preserve">Determinación del diámetro de la conexión: Según TABLA II: </t>
        </is>
      </c>
      <c r="C26" s="196" t="n"/>
      <c r="D26" s="196" t="n"/>
      <c r="E26" s="196" t="n"/>
      <c r="F26" s="196" t="n"/>
      <c r="G26" s="196" t="n"/>
      <c r="H26" s="196" t="n"/>
      <c r="I26" s="141" t="n"/>
      <c r="K26" s="210" t="n"/>
      <c r="L26" s="186" t="n"/>
      <c r="M26" s="210" t="n"/>
      <c r="N26" s="186" t="n"/>
      <c r="P26" s="141" t="n"/>
      <c r="Q26" s="141" t="inlineStr">
        <is>
          <t>BAJADA 3: 19 mm</t>
        </is>
      </c>
      <c r="R26" s="141" t="n"/>
      <c r="S26" s="141" t="inlineStr">
        <is>
          <t>BAJADA 6: 9 mm</t>
        </is>
      </c>
      <c r="T26" s="141" t="n"/>
      <c r="U26" s="141" t="n"/>
      <c r="V26" s="141" t="n"/>
      <c r="W26" s="141" t="n"/>
      <c r="X26" s="141" t="n"/>
    </row>
    <row r="27" ht="15" customHeight="1" s="140">
      <c r="B27" s="145" t="inlineStr">
        <is>
          <t xml:space="preserve">Caudal o Gasto: Expresa el consumo promedio de la instalación. Es la cantidad de agua que pasa por una determinada sección de caño en un determinado tiempo. Para el caso de viviendas (considerando baño principal, baño de servicio, pileta de cocina, pileta de lavar, canilla de servicio), se establece un caudal para los artefactos equivalente al que suministra una canilla y media abierta en uso simultáneo y cuyo valor unitario según TABLA ficha n° 10 pág. 12, es de 0,13 l/seg. Es decir, C = 1,5 x 0,13 l/seg = 0,20 l/seg. </t>
        </is>
      </c>
      <c r="H27" s="141" t="n"/>
      <c r="I27" s="141" t="n"/>
      <c r="J27" s="196" t="n"/>
      <c r="K27" s="211" t="n"/>
      <c r="L27" s="212" t="n"/>
      <c r="M27" s="211" t="n"/>
      <c r="N27" s="212" t="n"/>
      <c r="O27" s="196" t="n"/>
      <c r="P27" s="141" t="n"/>
      <c r="Q27" s="141" t="n"/>
      <c r="R27" s="141" t="n"/>
      <c r="S27" s="141" t="n"/>
      <c r="T27" s="141" t="n"/>
      <c r="U27" s="141" t="n"/>
      <c r="V27" s="141" t="n"/>
      <c r="W27" s="141" t="n"/>
      <c r="X27" s="141" t="n"/>
    </row>
    <row r="28" ht="15" customHeight="1" s="140">
      <c r="H28" s="141" t="n"/>
      <c r="I28" s="141" t="n"/>
      <c r="J28" s="221" t="n"/>
      <c r="K28" s="221" t="n"/>
      <c r="L28" s="222" t="n"/>
      <c r="M28" s="222" t="n"/>
      <c r="N28" s="221" t="n"/>
      <c r="O28" s="221" t="n"/>
      <c r="P28" s="141" t="n"/>
      <c r="Q28" s="167" t="inlineStr">
        <is>
          <t>CALCULO VÁLVULA DE LIMPIEZA</t>
        </is>
      </c>
      <c r="R28" s="141" t="n"/>
      <c r="S28" s="141" t="n"/>
      <c r="T28" s="141" t="n"/>
      <c r="U28" s="141" t="n"/>
      <c r="V28" s="141" t="n"/>
      <c r="W28" s="141" t="n"/>
      <c r="X28" s="141" t="n"/>
    </row>
    <row r="29" ht="15" customHeight="1" s="140">
      <c r="H29" s="141" t="n"/>
      <c r="I29" s="141" t="n"/>
      <c r="J29" s="167" t="inlineStr">
        <is>
          <t>BAJADA 4: AF1</t>
        </is>
      </c>
      <c r="K29" s="141" t="n"/>
      <c r="L29" s="141" t="n"/>
      <c r="M29" s="141" t="n"/>
      <c r="N29" s="141" t="n"/>
      <c r="O29" s="141" t="n"/>
      <c r="P29" s="141" t="n"/>
      <c r="Q29" s="199" t="inlineStr">
        <is>
          <t xml:space="preserve">Se determina en función del tanque de reserva. Si el mismo tiene una capacidad entre 500 a 1000lts, se adopta una válvula esférica de Ø1" o Ø25mm y una llave de media vuelta de Ø3/4" </t>
        </is>
      </c>
      <c r="W29" s="141" t="n"/>
      <c r="X29" s="141" t="n"/>
    </row>
    <row r="30" ht="15" customHeight="1" s="140">
      <c r="H30" s="141" t="n"/>
      <c r="I30" s="141" t="n"/>
      <c r="J30" s="141" t="n"/>
      <c r="K30" s="141" t="n"/>
      <c r="L30" s="141" t="n"/>
      <c r="M30" s="141" t="n"/>
      <c r="N30" s="141" t="n"/>
      <c r="O30" s="141" t="n"/>
      <c r="P30" s="141" t="n"/>
      <c r="W30" s="141" t="n"/>
      <c r="X30" s="141" t="n"/>
    </row>
    <row r="31" ht="15" customHeight="1" s="140">
      <c r="H31" s="141" t="n"/>
      <c r="I31" s="141" t="n"/>
      <c r="J31" s="201" t="inlineStr">
        <is>
          <t>ARTEFACTO</t>
        </is>
      </c>
      <c r="K31" s="216" t="n"/>
      <c r="L31" s="203" t="inlineStr">
        <is>
          <t>SECCION</t>
        </is>
      </c>
      <c r="M31" s="216" t="n"/>
      <c r="N31" s="204" t="inlineStr">
        <is>
          <t xml:space="preserve">SECCIÓN BAJADA </t>
        </is>
      </c>
      <c r="O31" s="217" t="n"/>
      <c r="P31" s="141" t="n"/>
      <c r="Q31" s="141" t="n"/>
      <c r="R31" s="141" t="n"/>
      <c r="S31" s="141" t="n"/>
      <c r="T31" s="141" t="n"/>
      <c r="U31" s="141" t="n"/>
      <c r="V31" s="141" t="n"/>
      <c r="W31" s="141" t="n"/>
      <c r="X31" s="141" t="n"/>
    </row>
    <row r="32" ht="15" customHeight="1" s="140">
      <c r="B32" s="141" t="n"/>
      <c r="C32" s="141" t="n"/>
      <c r="D32" s="141" t="n"/>
      <c r="E32" s="141" t="n"/>
      <c r="F32" s="141" t="n"/>
      <c r="G32" s="141" t="n"/>
      <c r="H32" s="141" t="n"/>
      <c r="I32" s="141" t="n"/>
      <c r="J32" s="206" t="inlineStr">
        <is>
          <t>Baño Suite PB+ Baño Visita PB + Baño Exterior  + Galeria + Ducha</t>
        </is>
      </c>
      <c r="K32" s="207" t="n"/>
      <c r="L32" s="208" t="inlineStr">
        <is>
          <t>1,33 cm²</t>
        </is>
      </c>
      <c r="M32" s="207" t="n"/>
      <c r="N32" s="209" t="inlineStr">
        <is>
          <t xml:space="preserve">Se adopta Ø 13mm </t>
        </is>
      </c>
      <c r="O32" s="185" t="n"/>
      <c r="P32" s="141" t="n"/>
      <c r="Q32" s="167" t="inlineStr">
        <is>
          <t>CALCULO COLECTOR DE TANQUE DE RESERVA</t>
        </is>
      </c>
      <c r="R32" s="141" t="n"/>
      <c r="S32" s="141" t="n"/>
      <c r="T32" s="141" t="n"/>
      <c r="U32" s="141" t="n"/>
      <c r="V32" s="141" t="n"/>
      <c r="W32" s="141" t="n"/>
      <c r="X32" s="141" t="n"/>
    </row>
    <row r="33" ht="15" customHeight="1" s="140">
      <c r="B33" s="145" t="inlineStr">
        <is>
          <t xml:space="preserve">Como la vivienda cuenta con más artefactos que los mencionados, se adicionó el 50% del excedente considerando a cada baño principal o de servicio como un artefacto.                                                                                                                                                      C = 0,20 l/seg + (0,13 l/seg x 0,5 x 3 artefactos) = 0,395 ~ 0,40 l/seg </t>
        </is>
      </c>
      <c r="H33" s="141" t="n"/>
      <c r="I33" s="141" t="n"/>
      <c r="K33" s="210" t="n"/>
      <c r="L33" s="186" t="n"/>
      <c r="M33" s="210" t="n"/>
      <c r="N33" s="186" t="n"/>
      <c r="P33" s="141" t="n"/>
      <c r="Q33" s="145" t="inlineStr">
        <is>
          <t xml:space="preserve">Al tener más de una bajada estas se conectarán a un COLECTOR HORIZONTAL que partirá de la única salida que tiene el tanque de volumen único. El diámetro del mismo será la sumatoria de las secciones de las 6 bajantes. </t>
        </is>
      </c>
      <c r="W33" s="141" t="n"/>
      <c r="X33" s="141" t="n"/>
    </row>
    <row r="34" ht="15" customHeight="1" s="140">
      <c r="H34" s="141" t="n"/>
      <c r="I34" s="141" t="n"/>
      <c r="J34" s="196" t="n"/>
      <c r="K34" s="211" t="n"/>
      <c r="L34" s="212" t="n"/>
      <c r="M34" s="211" t="n"/>
      <c r="N34" s="212" t="n"/>
      <c r="O34" s="196" t="n"/>
      <c r="P34" s="141" t="n"/>
      <c r="W34" s="141" t="n"/>
      <c r="X34" s="141" t="n"/>
    </row>
    <row r="35" ht="15" customHeight="1" s="140">
      <c r="H35" s="141" t="n"/>
      <c r="I35" s="141" t="n"/>
      <c r="J35" s="141" t="n"/>
      <c r="K35" s="141" t="n"/>
      <c r="L35" s="141" t="n"/>
      <c r="M35" s="141" t="n"/>
      <c r="N35" s="141" t="n"/>
      <c r="O35" s="141" t="n"/>
      <c r="P35" s="141" t="n"/>
      <c r="W35" s="141" t="n"/>
      <c r="X35" s="141" t="n"/>
    </row>
    <row r="36" ht="15" customHeight="1" s="140">
      <c r="B36" s="141" t="n"/>
      <c r="C36" s="141" t="n"/>
      <c r="D36" s="141" t="n"/>
      <c r="E36" s="141" t="n"/>
      <c r="F36" s="141" t="n"/>
      <c r="G36" s="141" t="n"/>
      <c r="H36" s="141" t="n"/>
      <c r="I36" s="141" t="n"/>
      <c r="J36" s="167" t="inlineStr">
        <is>
          <t>BAJADA 5: AF2</t>
        </is>
      </c>
      <c r="K36" s="141" t="n"/>
      <c r="L36" s="141" t="n"/>
      <c r="M36" s="141" t="n"/>
      <c r="N36" s="141" t="n"/>
      <c r="O36" s="141" t="n"/>
      <c r="P36" s="141" t="n"/>
      <c r="Q36" s="141" t="n"/>
      <c r="R36" s="141" t="n"/>
      <c r="S36" s="141" t="n"/>
      <c r="T36" s="141" t="n"/>
      <c r="U36" s="141" t="n"/>
      <c r="V36" s="141" t="n"/>
      <c r="W36" s="141" t="n"/>
      <c r="X36" s="141" t="n"/>
    </row>
    <row r="37" ht="15" customHeight="1" s="140">
      <c r="B37" s="145" t="inlineStr">
        <is>
          <t xml:space="preserve">Conociendo la Presión disponible mínima y el Gasto de los artefactos, se puede obtener el diámetro de la conexión con la TABLA II:    Se obtiene, siempre dimensionando en exceso, un diámetro de conexión de 3/4" = 0,019 m. (diámetro mínimo para cañerías de polipropileno). </t>
        </is>
      </c>
      <c r="H37" s="141" t="n"/>
      <c r="I37" s="141" t="n"/>
      <c r="J37" s="141" t="n"/>
      <c r="K37" s="141" t="n"/>
      <c r="L37" s="141" t="n"/>
      <c r="M37" s="141" t="n"/>
      <c r="N37" s="141" t="n"/>
      <c r="O37" s="141" t="n"/>
      <c r="P37" s="141" t="n"/>
      <c r="Q37" s="199" t="inlineStr">
        <is>
          <t xml:space="preserve">BAJADA 01: Ø 1 1/2" - SECCIÓN REAL: 11,34 cm² </t>
        </is>
      </c>
      <c r="T37" s="141" t="n"/>
      <c r="U37" s="141" t="n"/>
      <c r="V37" s="141" t="n"/>
      <c r="W37" s="141" t="n"/>
      <c r="X37" s="141" t="n"/>
    </row>
    <row r="38" ht="15" customHeight="1" s="140">
      <c r="H38" s="141" t="n"/>
      <c r="I38" s="141" t="n"/>
      <c r="J38" s="201" t="inlineStr">
        <is>
          <t>ARTEFACTO</t>
        </is>
      </c>
      <c r="K38" s="216" t="n"/>
      <c r="L38" s="203" t="inlineStr">
        <is>
          <t>SECCION</t>
        </is>
      </c>
      <c r="M38" s="216" t="n"/>
      <c r="N38" s="204" t="inlineStr">
        <is>
          <t xml:space="preserve">SECCIÓN BAJADA </t>
        </is>
      </c>
      <c r="O38" s="217" t="n"/>
      <c r="P38" s="141" t="n"/>
      <c r="Q38" s="199" t="inlineStr">
        <is>
          <t xml:space="preserve">BAJADA 02: Ø 1 1/2" - SECCIÓN REAL: 11,34 cm² </t>
        </is>
      </c>
      <c r="T38" s="141" t="n"/>
      <c r="U38" s="141" t="n"/>
      <c r="V38" s="141" t="n"/>
      <c r="W38" s="141" t="n"/>
      <c r="X38" s="141" t="n"/>
    </row>
    <row r="39" ht="15" customHeight="1" s="140">
      <c r="H39" s="141" t="n"/>
      <c r="I39" s="141" t="n"/>
      <c r="J39" s="206" t="inlineStr">
        <is>
          <t>Antebaño  PA+ Baño PA</t>
        </is>
      </c>
      <c r="K39" s="207" t="n"/>
      <c r="L39" s="208" t="inlineStr">
        <is>
          <t>0,62 cm²</t>
        </is>
      </c>
      <c r="M39" s="207" t="n"/>
      <c r="N39" s="209" t="inlineStr">
        <is>
          <t xml:space="preserve">Se adopta Ø 13mm </t>
        </is>
      </c>
      <c r="O39" s="185" t="n"/>
      <c r="P39" s="141" t="n"/>
      <c r="Q39" s="199" t="inlineStr">
        <is>
          <t xml:space="preserve">BAJADA 03: Ø 1 1/2" - SECCIÓN REAL: 11,34 cm² </t>
        </is>
      </c>
      <c r="T39" s="224" t="inlineStr">
        <is>
          <t>39,10 cm²</t>
        </is>
      </c>
      <c r="U39" s="141" t="n"/>
      <c r="V39" s="141" t="n"/>
      <c r="W39" s="141" t="n"/>
      <c r="X39" s="141" t="n"/>
    </row>
    <row r="40" ht="15" customHeight="1" s="140">
      <c r="B40" s="141" t="n"/>
      <c r="C40" s="141" t="n"/>
      <c r="D40" s="141" t="n"/>
      <c r="E40" s="141" t="n"/>
      <c r="F40" s="141" t="n"/>
      <c r="G40" s="141" t="n"/>
      <c r="H40" s="141" t="n"/>
      <c r="I40" s="141" t="n"/>
      <c r="J40" s="196" t="n"/>
      <c r="K40" s="211" t="n"/>
      <c r="L40" s="212" t="n"/>
      <c r="M40" s="211" t="n"/>
      <c r="N40" s="212" t="n"/>
      <c r="O40" s="196" t="n"/>
      <c r="P40" s="141" t="n"/>
      <c r="Q40" s="199" t="inlineStr">
        <is>
          <t xml:space="preserve">BAJADA 04: Ø 1/2" - SECCIÓN REAL: 1,27 cm² </t>
        </is>
      </c>
      <c r="T40" s="141" t="n"/>
      <c r="U40" s="141" t="n"/>
      <c r="V40" s="141" t="n"/>
      <c r="W40" s="141" t="n"/>
      <c r="X40" s="141" t="n"/>
    </row>
    <row r="41" ht="15" customHeight="1" s="140">
      <c r="B41" s="225" t="inlineStr">
        <is>
          <t xml:space="preserve">PRESIÓN DISPONIBLE (mts) </t>
        </is>
      </c>
      <c r="C41" s="226" t="inlineStr">
        <is>
          <t>Ø mts.</t>
        </is>
      </c>
      <c r="D41" s="217" t="n"/>
      <c r="E41" s="217" t="n"/>
      <c r="F41" s="217" t="n"/>
      <c r="G41" s="217" t="n"/>
      <c r="H41" s="217" t="n"/>
      <c r="I41" s="141" t="n"/>
      <c r="J41" s="221" t="n"/>
      <c r="K41" s="221" t="n"/>
      <c r="L41" s="222" t="n"/>
      <c r="M41" s="222" t="n"/>
      <c r="N41" s="221" t="n"/>
      <c r="O41" s="221" t="n"/>
      <c r="P41" s="141" t="n"/>
      <c r="Q41" s="199" t="inlineStr">
        <is>
          <t>BAJADA 05: Ø 1/2" - SECCIÓN REAL: 1,27 cm²</t>
        </is>
      </c>
      <c r="T41" s="141" t="n"/>
      <c r="U41" s="141" t="n"/>
      <c r="V41" s="141" t="n"/>
      <c r="W41" s="141" t="n"/>
      <c r="X41" s="141" t="n"/>
    </row>
    <row r="42" ht="15" customHeight="1" s="140">
      <c r="C42" s="227" t="inlineStr">
        <is>
          <t>0.013</t>
        </is>
      </c>
      <c r="D42" s="227" t="inlineStr">
        <is>
          <t>0.019</t>
        </is>
      </c>
      <c r="E42" s="227" t="inlineStr">
        <is>
          <t>0.025</t>
        </is>
      </c>
      <c r="F42" s="227" t="inlineStr">
        <is>
          <t>0.032</t>
        </is>
      </c>
      <c r="G42" s="227" t="inlineStr">
        <is>
          <t>0.038</t>
        </is>
      </c>
      <c r="H42" s="227" t="inlineStr">
        <is>
          <t>0.050</t>
        </is>
      </c>
      <c r="I42" s="141" t="n"/>
      <c r="J42" s="141" t="n"/>
      <c r="K42" s="141" t="n"/>
      <c r="L42" s="141" t="n"/>
      <c r="M42" s="141" t="n"/>
      <c r="N42" s="141" t="n"/>
      <c r="O42" s="141" t="n"/>
      <c r="P42" s="141" t="n"/>
      <c r="Q42" s="199" t="inlineStr">
        <is>
          <t xml:space="preserve">BAJADA 06: Ø 1/2" - SECCIÓN REAL: 1,27 cm² </t>
        </is>
      </c>
      <c r="T42" s="141" t="n"/>
      <c r="U42" s="141" t="n"/>
      <c r="V42" s="141" t="n"/>
      <c r="W42" s="141" t="n"/>
      <c r="X42" s="141" t="n"/>
    </row>
    <row r="43" ht="15" customHeight="1" s="140">
      <c r="B43" s="152" t="n"/>
      <c r="C43" s="228" t="n"/>
      <c r="D43" s="228" t="n"/>
      <c r="E43" s="228" t="inlineStr">
        <is>
          <t xml:space="preserve">gasto (lts/seg) </t>
        </is>
      </c>
      <c r="F43" s="157" t="n"/>
      <c r="G43" s="228" t="n"/>
      <c r="H43" s="228" t="n"/>
      <c r="I43" s="141" t="n"/>
      <c r="J43" s="141" t="n"/>
      <c r="K43" s="141" t="n"/>
      <c r="L43" s="141" t="n"/>
      <c r="M43" s="141" t="n"/>
      <c r="N43" s="141" t="n"/>
      <c r="O43" s="141" t="n"/>
      <c r="P43" s="141" t="n"/>
      <c r="Q43" s="199" t="inlineStr">
        <is>
          <t xml:space="preserve">BAJADA 07: Ø 1/2" - SECCIÓN REAL: 1,27 cm² </t>
        </is>
      </c>
      <c r="T43" s="141" t="n"/>
      <c r="U43" s="141" t="n"/>
      <c r="V43" s="141" t="n"/>
      <c r="W43" s="141" t="n"/>
      <c r="X43" s="141" t="n"/>
    </row>
    <row r="44" ht="15" customHeight="1" s="140">
      <c r="B44" s="229" t="n">
        <v>4</v>
      </c>
      <c r="C44" s="230" t="inlineStr">
        <is>
          <t>0.24</t>
        </is>
      </c>
      <c r="D44" s="230" t="inlineStr">
        <is>
          <t>0.52</t>
        </is>
      </c>
      <c r="E44" s="230" t="inlineStr">
        <is>
          <t>1.06</t>
        </is>
      </c>
      <c r="F44" s="230" t="inlineStr">
        <is>
          <t>1.80</t>
        </is>
      </c>
      <c r="G44" s="230" t="inlineStr">
        <is>
          <t>2.84</t>
        </is>
      </c>
      <c r="H44" s="230" t="inlineStr">
        <is>
          <t>5.08</t>
        </is>
      </c>
      <c r="I44" s="141" t="n"/>
      <c r="J44" s="141" t="n"/>
      <c r="K44" s="141" t="n"/>
      <c r="L44" s="141" t="n"/>
      <c r="M44" s="141" t="n"/>
      <c r="N44" s="141" t="n"/>
      <c r="O44" s="141" t="n"/>
      <c r="P44" s="141" t="n"/>
      <c r="Q44" s="141" t="n"/>
      <c r="R44" s="141" t="n"/>
      <c r="S44" s="141" t="n"/>
      <c r="T44" s="141" t="n"/>
      <c r="U44" s="141" t="n"/>
      <c r="V44" s="141" t="n"/>
      <c r="W44" s="141" t="n"/>
      <c r="X44" s="141" t="n"/>
    </row>
    <row r="45" ht="15" customHeight="1" s="140">
      <c r="B45" s="141" t="n"/>
      <c r="C45" s="141" t="n"/>
      <c r="D45" s="141" t="n"/>
      <c r="E45" s="141" t="n"/>
      <c r="F45" s="141" t="n"/>
      <c r="G45" s="141" t="n"/>
      <c r="H45" s="141" t="n"/>
      <c r="I45" s="141" t="n"/>
      <c r="J45" s="141" t="n"/>
      <c r="K45" s="141" t="n"/>
      <c r="L45" s="141" t="n"/>
      <c r="M45" s="141" t="n"/>
      <c r="N45" s="141" t="n"/>
      <c r="O45" s="141" t="n"/>
      <c r="P45" s="141" t="n"/>
      <c r="Q45" s="141" t="n"/>
      <c r="R45" s="141" t="n"/>
      <c r="S45" s="141" t="n"/>
      <c r="T45" s="141" t="n"/>
      <c r="U45" s="141" t="n"/>
      <c r="V45" s="141" t="n"/>
      <c r="W45" s="141" t="n"/>
      <c r="X45" s="141" t="n"/>
    </row>
    <row r="46" ht="15" customHeight="1" s="140">
      <c r="B46" s="141" t="n"/>
      <c r="C46" s="141" t="n"/>
      <c r="D46" s="141" t="n"/>
      <c r="E46" s="141" t="n"/>
      <c r="F46" s="141" t="n"/>
      <c r="G46" s="141" t="n"/>
      <c r="H46" s="141" t="n"/>
      <c r="I46" s="141" t="n"/>
      <c r="J46" s="141" t="n"/>
      <c r="K46" s="141" t="n"/>
      <c r="L46" s="141" t="n"/>
      <c r="M46" s="141" t="n"/>
      <c r="N46" s="141" t="n"/>
      <c r="O46" s="141" t="n"/>
      <c r="P46" s="141" t="n"/>
      <c r="Q46" s="199" t="inlineStr">
        <is>
          <t>Adopto un colector de Ø 75 mm</t>
        </is>
      </c>
      <c r="W46" s="141" t="n"/>
      <c r="X46" s="141" t="n"/>
    </row>
    <row r="47" ht="15" customHeight="1" s="140">
      <c r="B47" s="141" t="n"/>
      <c r="C47" s="141" t="n"/>
      <c r="D47" s="141" t="n"/>
      <c r="E47" s="141" t="n"/>
      <c r="F47" s="141" t="n"/>
      <c r="G47" s="141" t="n"/>
      <c r="H47" s="141" t="n"/>
      <c r="I47" s="141" t="n"/>
      <c r="J47" s="141" t="n"/>
      <c r="K47" s="141" t="n"/>
      <c r="L47" s="141" t="n"/>
      <c r="M47" s="141" t="n"/>
      <c r="N47" s="141" t="n"/>
      <c r="O47" s="141" t="n"/>
      <c r="P47" s="141" t="n"/>
      <c r="Q47" s="199" t="inlineStr">
        <is>
          <t xml:space="preserve">"ACQUA SYSTEM" de PPCR - Polipropileno copolímero random </t>
        </is>
      </c>
      <c r="W47" s="141" t="n"/>
      <c r="X47" s="141" t="n"/>
    </row>
    <row r="48" ht="15" customHeight="1" s="140">
      <c r="B48" s="141" t="n"/>
      <c r="C48" s="141" t="n"/>
      <c r="D48" s="141" t="n"/>
      <c r="E48" s="141" t="n"/>
      <c r="F48" s="141" t="n"/>
      <c r="G48" s="141" t="n"/>
      <c r="H48" s="141" t="n"/>
      <c r="I48" s="141" t="n"/>
      <c r="J48" s="141" t="n"/>
      <c r="K48" s="141" t="n"/>
      <c r="L48" s="141" t="n"/>
      <c r="M48" s="141" t="n"/>
      <c r="N48" s="141" t="n"/>
      <c r="O48" s="141" t="n"/>
      <c r="P48" s="141" t="n"/>
      <c r="Q48" s="141" t="n"/>
      <c r="R48" s="141" t="n"/>
      <c r="S48" s="141" t="n"/>
      <c r="T48" s="141" t="n"/>
      <c r="U48" s="141" t="n"/>
      <c r="V48" s="141" t="n"/>
      <c r="W48" s="141" t="n"/>
      <c r="X48" s="141" t="n"/>
    </row>
    <row r="49" ht="15" customHeight="1" s="140">
      <c r="B49" s="141" t="n"/>
      <c r="C49" s="141" t="n"/>
      <c r="D49" s="141" t="n"/>
      <c r="E49" s="141" t="n"/>
      <c r="F49" s="141" t="n"/>
      <c r="G49" s="141" t="n"/>
      <c r="H49" s="141" t="n"/>
      <c r="I49" s="141" t="n"/>
      <c r="J49" s="221" t="n"/>
      <c r="K49" s="221" t="n"/>
      <c r="L49" s="222" t="n"/>
      <c r="M49" s="222" t="n"/>
      <c r="N49" s="221" t="n"/>
      <c r="O49" s="221" t="n"/>
      <c r="P49" s="141" t="n"/>
      <c r="Q49" s="141" t="n"/>
      <c r="R49" s="141" t="n"/>
      <c r="S49" s="141" t="n"/>
      <c r="T49" s="141" t="n"/>
      <c r="U49" s="141" t="n"/>
      <c r="V49" s="141" t="n"/>
      <c r="W49" s="141" t="n"/>
      <c r="X49" s="141" t="n"/>
    </row>
    <row r="50" ht="15" customHeight="1" s="140">
      <c r="B50" s="141" t="n"/>
      <c r="C50" s="141" t="n"/>
      <c r="D50" s="141" t="n"/>
      <c r="E50" s="141" t="n"/>
      <c r="F50" s="141" t="n"/>
      <c r="G50" s="141" t="n"/>
      <c r="H50" s="141" t="n"/>
      <c r="I50" s="141" t="n"/>
      <c r="J50" s="141" t="n"/>
      <c r="K50" s="141" t="n"/>
      <c r="L50" s="141" t="n"/>
      <c r="M50" s="141" t="n"/>
      <c r="N50" s="141" t="n"/>
      <c r="O50" s="141" t="n"/>
      <c r="P50" s="141" t="n"/>
      <c r="Q50" s="141" t="n"/>
      <c r="R50" s="141" t="n"/>
      <c r="S50" s="141" t="n"/>
      <c r="T50" s="141" t="n"/>
      <c r="U50" s="141" t="n"/>
      <c r="V50" s="141" t="n"/>
      <c r="W50" s="141" t="n"/>
      <c r="X50" s="141" t="n"/>
    </row>
    <row r="51" ht="15" customHeight="1" s="140">
      <c r="B51" s="141" t="n"/>
      <c r="C51" s="141" t="n"/>
      <c r="D51" s="141" t="n"/>
      <c r="E51" s="141" t="n"/>
      <c r="F51" s="141" t="n"/>
      <c r="G51" s="141" t="n"/>
      <c r="H51" s="141" t="n"/>
      <c r="I51" s="141" t="n"/>
      <c r="J51" s="141" t="n"/>
      <c r="K51" s="141" t="n"/>
      <c r="L51" s="141" t="n"/>
      <c r="M51" s="141" t="n"/>
      <c r="N51" s="141" t="n"/>
      <c r="O51" s="141" t="n"/>
      <c r="P51" s="141" t="n"/>
      <c r="Q51" s="141" t="n"/>
      <c r="R51" s="141" t="n"/>
      <c r="S51" s="141" t="n"/>
      <c r="T51" s="141" t="n"/>
      <c r="U51" s="141" t="n"/>
      <c r="V51" s="141" t="n"/>
      <c r="W51" s="141" t="n"/>
      <c r="X51" s="141" t="n"/>
    </row>
    <row r="52" ht="15" customHeight="1" s="140">
      <c r="B52" s="141" t="n"/>
      <c r="C52" s="141" t="n"/>
      <c r="D52" s="141" t="n"/>
      <c r="E52" s="141" t="n"/>
      <c r="F52" s="141" t="n"/>
      <c r="G52" s="141" t="n"/>
      <c r="H52" s="141" t="n"/>
      <c r="I52" s="141" t="n"/>
      <c r="J52" s="141" t="n"/>
      <c r="K52" s="141" t="n"/>
      <c r="L52" s="141" t="n"/>
      <c r="M52" s="141" t="n"/>
      <c r="N52" s="141" t="n"/>
      <c r="O52" s="141" t="n"/>
      <c r="P52" s="141" t="n"/>
      <c r="Q52" s="141" t="n"/>
      <c r="R52" s="141" t="n"/>
      <c r="S52" s="141" t="n"/>
      <c r="T52" s="141" t="n"/>
      <c r="U52" s="141" t="n"/>
      <c r="V52" s="141" t="n"/>
      <c r="W52" s="141" t="n"/>
      <c r="X52" s="141" t="n"/>
    </row>
    <row r="53" ht="15" customHeight="1" s="140">
      <c r="B53" s="141" t="n"/>
      <c r="C53" s="141" t="n"/>
      <c r="D53" s="141" t="n"/>
      <c r="E53" s="141" t="n"/>
      <c r="F53" s="141" t="n"/>
      <c r="G53" s="141" t="n"/>
      <c r="H53" s="141" t="n"/>
      <c r="I53" s="141" t="n"/>
      <c r="J53" s="141" t="n"/>
      <c r="K53" s="141" t="n"/>
      <c r="L53" s="141" t="n"/>
      <c r="M53" s="141" t="n"/>
      <c r="N53" s="141" t="n"/>
      <c r="O53" s="141" t="n"/>
      <c r="P53" s="141" t="n"/>
      <c r="Q53" s="141" t="n"/>
      <c r="R53" s="141" t="n"/>
      <c r="S53" s="141" t="n"/>
      <c r="T53" s="141" t="n"/>
      <c r="U53" s="141" t="n"/>
      <c r="V53" s="141" t="n"/>
      <c r="W53" s="141" t="n"/>
      <c r="X53" s="141" t="n"/>
    </row>
    <row r="54" ht="15" customHeight="1" s="140">
      <c r="B54" s="141" t="n"/>
      <c r="C54" s="141" t="n"/>
      <c r="D54" s="141" t="n"/>
      <c r="E54" s="141" t="n"/>
      <c r="F54" s="141" t="n"/>
      <c r="G54" s="141" t="n"/>
      <c r="H54" s="141" t="n"/>
      <c r="I54" s="141" t="n"/>
      <c r="J54" s="141" t="n"/>
      <c r="K54" s="141" t="n"/>
      <c r="L54" s="141" t="n"/>
      <c r="M54" s="141" t="n"/>
      <c r="N54" s="141" t="n"/>
      <c r="O54" s="141" t="n"/>
      <c r="P54" s="141" t="n"/>
      <c r="Q54" s="141" t="n"/>
      <c r="R54" s="141" t="n"/>
      <c r="S54" s="141" t="n"/>
      <c r="T54" s="141" t="n"/>
      <c r="U54" s="141" t="n"/>
      <c r="V54" s="141" t="n"/>
      <c r="W54" s="141" t="n"/>
      <c r="X54" s="141" t="n"/>
    </row>
    <row r="55" ht="15" customHeight="1" s="140">
      <c r="B55" s="141" t="n"/>
      <c r="C55" s="141" t="n"/>
      <c r="D55" s="141" t="n"/>
      <c r="E55" s="141" t="n"/>
      <c r="F55" s="141" t="n"/>
      <c r="G55" s="141" t="n"/>
      <c r="H55" s="141" t="n"/>
      <c r="I55" s="141" t="n"/>
      <c r="J55" s="141" t="n"/>
      <c r="K55" s="141" t="n"/>
      <c r="L55" s="141" t="n"/>
      <c r="M55" s="141" t="n"/>
      <c r="N55" s="141" t="n"/>
      <c r="O55" s="141" t="n"/>
      <c r="P55" s="141" t="n"/>
      <c r="Q55" s="141" t="n"/>
      <c r="R55" s="141" t="n"/>
      <c r="S55" s="141" t="n"/>
      <c r="T55" s="141" t="n"/>
      <c r="U55" s="141" t="n"/>
      <c r="V55" s="141" t="n"/>
      <c r="W55" s="141" t="n"/>
      <c r="X55" s="141" t="n"/>
    </row>
    <row r="56" ht="15" customHeight="1" s="140">
      <c r="B56" s="141" t="n"/>
      <c r="C56" s="141" t="n"/>
      <c r="D56" s="141" t="n"/>
      <c r="E56" s="141" t="n"/>
      <c r="F56" s="141" t="n"/>
      <c r="G56" s="141" t="n"/>
      <c r="H56" s="141" t="n"/>
      <c r="I56" s="141" t="n"/>
      <c r="J56" s="141" t="n"/>
      <c r="K56" s="141" t="n"/>
      <c r="L56" s="141" t="n"/>
      <c r="M56" s="141" t="n"/>
      <c r="N56" s="141" t="n"/>
      <c r="O56" s="141" t="n"/>
      <c r="P56" s="141" t="n"/>
      <c r="Q56" s="141" t="n"/>
      <c r="R56" s="141" t="n"/>
      <c r="S56" s="141" t="n"/>
      <c r="T56" s="141" t="n"/>
      <c r="U56" s="141" t="n"/>
      <c r="V56" s="141" t="n"/>
      <c r="W56" s="141" t="n"/>
      <c r="X56" s="141" t="n"/>
    </row>
    <row r="57" ht="15" customHeight="1" s="140">
      <c r="B57" s="141" t="n"/>
      <c r="C57" s="141" t="n"/>
      <c r="D57" s="141" t="n"/>
      <c r="E57" s="141" t="n"/>
      <c r="F57" s="141" t="n"/>
      <c r="G57" s="141" t="n"/>
      <c r="H57" s="141" t="n"/>
      <c r="I57" s="141" t="n"/>
      <c r="J57" s="141" t="n"/>
      <c r="K57" s="141" t="n"/>
      <c r="L57" s="141" t="n"/>
      <c r="M57" s="141" t="n"/>
      <c r="N57" s="141" t="n"/>
      <c r="O57" s="141" t="n"/>
      <c r="P57" s="141" t="n"/>
      <c r="Q57" s="141" t="n"/>
      <c r="R57" s="141" t="n"/>
      <c r="S57" s="141" t="n"/>
      <c r="T57" s="141" t="n"/>
      <c r="U57" s="141" t="n"/>
      <c r="V57" s="141" t="n"/>
      <c r="W57" s="141" t="n"/>
      <c r="X57" s="141" t="n"/>
    </row>
  </sheetData>
  <mergeCells count="76">
    <mergeCell ref="Q4:R5"/>
    <mergeCell ref="L17:M17"/>
    <mergeCell ref="Q38:S38"/>
    <mergeCell ref="Q33:V35"/>
    <mergeCell ref="C41:H41"/>
    <mergeCell ref="B14:D14"/>
    <mergeCell ref="B20:G21"/>
    <mergeCell ref="E43:F43"/>
    <mergeCell ref="U12:V13"/>
    <mergeCell ref="L11:M13"/>
    <mergeCell ref="B27:G31"/>
    <mergeCell ref="J38:K38"/>
    <mergeCell ref="N11:O13"/>
    <mergeCell ref="J10:K10"/>
    <mergeCell ref="B15:E15"/>
    <mergeCell ref="B13:D13"/>
    <mergeCell ref="L32:M34"/>
    <mergeCell ref="N32:O34"/>
    <mergeCell ref="B24:E24"/>
    <mergeCell ref="L39:M40"/>
    <mergeCell ref="N39:O40"/>
    <mergeCell ref="Q40:S40"/>
    <mergeCell ref="J2:P2"/>
    <mergeCell ref="U14:V15"/>
    <mergeCell ref="B12:C12"/>
    <mergeCell ref="S4:T5"/>
    <mergeCell ref="U6:V8"/>
    <mergeCell ref="N25:O27"/>
    <mergeCell ref="U4:V5"/>
    <mergeCell ref="J24:K24"/>
    <mergeCell ref="B4:H4"/>
    <mergeCell ref="B26:H26"/>
    <mergeCell ref="L24:M24"/>
    <mergeCell ref="B37:G39"/>
    <mergeCell ref="Q46:V46"/>
    <mergeCell ref="L18:M20"/>
    <mergeCell ref="B41:B43"/>
    <mergeCell ref="N18:O20"/>
    <mergeCell ref="Q21:V22"/>
    <mergeCell ref="B17:F17"/>
    <mergeCell ref="N17:O17"/>
    <mergeCell ref="Q18:T18"/>
    <mergeCell ref="B33:G35"/>
    <mergeCell ref="Q41:S41"/>
    <mergeCell ref="S12:T13"/>
    <mergeCell ref="J11:K13"/>
    <mergeCell ref="Q29:V30"/>
    <mergeCell ref="L38:M38"/>
    <mergeCell ref="L10:M10"/>
    <mergeCell ref="Q12:R13"/>
    <mergeCell ref="N38:O38"/>
    <mergeCell ref="N10:O10"/>
    <mergeCell ref="J32:K34"/>
    <mergeCell ref="B2:H2"/>
    <mergeCell ref="J39:K40"/>
    <mergeCell ref="S6:T8"/>
    <mergeCell ref="J31:K31"/>
    <mergeCell ref="L31:M31"/>
    <mergeCell ref="Q14:R15"/>
    <mergeCell ref="Q43:S43"/>
    <mergeCell ref="J4:O5"/>
    <mergeCell ref="S14:T15"/>
    <mergeCell ref="N31:O31"/>
    <mergeCell ref="Q47:V47"/>
    <mergeCell ref="B23:E23"/>
    <mergeCell ref="Q6:R8"/>
    <mergeCell ref="J25:K27"/>
    <mergeCell ref="Q37:S37"/>
    <mergeCell ref="L25:M27"/>
    <mergeCell ref="N24:O24"/>
    <mergeCell ref="Q42:S42"/>
    <mergeCell ref="J18:K20"/>
    <mergeCell ref="B19:E19"/>
    <mergeCell ref="Q39:S39"/>
    <mergeCell ref="B10:E10"/>
    <mergeCell ref="J17:K17"/>
  </mergeCells>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Roman,Normal"&amp;12 &amp;Kffffff&amp;A</oddHeader>
    <oddFooter>&amp;C&amp;"Times New Roman,Normal"&amp;12 &amp;KffffffPágina &amp;P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BK30"/>
  <sheetViews>
    <sheetView showFormulas="0" showGridLines="1" showRowColHeaders="1" showZeros="1" rightToLeft="0" tabSelected="1" showOutlineSymbols="1" defaultGridColor="1" view="normal" topLeftCell="A10" colorId="64" zoomScale="124" zoomScaleNormal="124" zoomScalePageLayoutView="100" workbookViewId="0">
      <selection pane="topLeft" activeCell="BI23" activeCellId="0" sqref="BI23"/>
    </sheetView>
  </sheetViews>
  <sheetFormatPr baseColWidth="8" defaultColWidth="11.5703125" defaultRowHeight="15" customHeight="0" zeroHeight="0" outlineLevelRow="0"/>
  <cols>
    <col width="11.43" customWidth="1" style="139" min="1" max="1"/>
    <col width="6.43" customWidth="1" style="139" min="2" max="2"/>
    <col width="47" customWidth="1" style="139" min="3" max="3"/>
    <col width="0.52" customWidth="1" style="139" min="4" max="4"/>
    <col width="5.11" customWidth="1" style="139" min="5" max="9"/>
    <col width="0.52" customWidth="1" style="139" min="10" max="10"/>
    <col width="5.11" customWidth="1" style="139" min="11" max="12"/>
    <col width="0.52" customWidth="1" style="139" min="13" max="13"/>
    <col width="5.11" customWidth="1" style="139" min="14" max="17"/>
    <col width="0.52" customWidth="1" style="139" min="18" max="18"/>
    <col width="5.11" customWidth="1" style="139" min="19" max="20"/>
    <col width="0.52" customWidth="1" style="139" min="21" max="21"/>
    <col width="5.11" customWidth="1" style="139" min="22" max="24"/>
    <col width="0.52" customWidth="1" style="139" min="25" max="25"/>
    <col width="5.11" customWidth="1" style="139" min="26" max="32"/>
    <col width="0.52" customWidth="1" style="139" min="33" max="33"/>
    <col width="5.11" customWidth="1" style="139" min="34" max="37"/>
    <col width="0.52" customWidth="1" style="139" min="38" max="38"/>
    <col width="5.11" customWidth="1" style="139" min="39" max="45"/>
    <col width="0.52" customWidth="1" style="139" min="46" max="46"/>
    <col width="5.11" customWidth="1" style="139" min="47" max="49"/>
    <col width="0.52" customWidth="1" style="139" min="50" max="50"/>
    <col width="5.11" customWidth="1" style="139" min="51" max="53"/>
    <col width="0.52" customWidth="1" style="139" min="54" max="54"/>
    <col width="5.11" customWidth="1" style="139" min="55" max="61"/>
    <col width="0.52" customWidth="1" style="139" min="62" max="62"/>
    <col width="15.32" customWidth="1" style="139" min="63" max="63"/>
  </cols>
  <sheetData>
    <row r="1" ht="28.35" customHeight="1" s="140">
      <c r="A1" s="231" t="inlineStr">
        <is>
          <t>PLANILLA DE LOCALES</t>
        </is>
      </c>
      <c r="B1" s="214" t="n"/>
      <c r="C1" s="214" t="n"/>
      <c r="D1" s="214" t="n"/>
      <c r="E1" s="214" t="n"/>
      <c r="F1" s="214" t="n"/>
      <c r="G1" s="214" t="n"/>
      <c r="H1" s="214" t="n"/>
      <c r="I1" s="214" t="n"/>
      <c r="J1" s="214" t="n"/>
      <c r="K1" s="214" t="n"/>
      <c r="L1" s="214" t="n"/>
      <c r="M1" s="214" t="n"/>
      <c r="N1" s="214" t="n"/>
      <c r="O1" s="214" t="n"/>
      <c r="P1" s="214" t="n"/>
      <c r="Q1" s="214" t="n"/>
      <c r="R1" s="214" t="n"/>
      <c r="S1" s="214" t="n"/>
      <c r="T1" s="214" t="n"/>
      <c r="U1" s="214" t="n"/>
      <c r="V1" s="214" t="n"/>
      <c r="W1" s="214" t="n"/>
      <c r="X1" s="214" t="n"/>
      <c r="Y1" s="214" t="n"/>
      <c r="Z1" s="214" t="n"/>
      <c r="AA1" s="214" t="n"/>
      <c r="AB1" s="214" t="n"/>
      <c r="AC1" s="214" t="n"/>
      <c r="AD1" s="214" t="n"/>
      <c r="AE1" s="214" t="n"/>
      <c r="AF1" s="214" t="n"/>
      <c r="AG1" s="214" t="n"/>
      <c r="AH1" s="214" t="n"/>
      <c r="AI1" s="214" t="n"/>
      <c r="AJ1" s="214" t="n"/>
      <c r="AK1" s="214" t="n"/>
      <c r="AL1" s="214" t="n"/>
      <c r="AM1" s="214" t="n"/>
      <c r="AN1" s="214" t="n"/>
      <c r="AO1" s="214" t="n"/>
      <c r="AP1" s="214" t="n"/>
      <c r="AQ1" s="214" t="n"/>
      <c r="AR1" s="214" t="n"/>
      <c r="AS1" s="214" t="n"/>
      <c r="AT1" s="214" t="n"/>
      <c r="AU1" s="214" t="n"/>
      <c r="AV1" s="214" t="n"/>
      <c r="AW1" s="214" t="n"/>
      <c r="AX1" s="214" t="n"/>
      <c r="AY1" s="214" t="n"/>
      <c r="AZ1" s="214" t="n"/>
      <c r="BA1" s="214" t="n"/>
      <c r="BB1" s="214" t="n"/>
      <c r="BC1" s="214" t="n"/>
      <c r="BD1" s="214" t="n"/>
      <c r="BE1" s="214" t="n"/>
      <c r="BF1" s="214" t="n"/>
      <c r="BG1" s="214" t="n"/>
      <c r="BH1" s="214" t="n"/>
      <c r="BI1" s="214" t="n"/>
      <c r="BJ1" s="214" t="n"/>
      <c r="BK1" s="232" t="n"/>
    </row>
    <row r="2" ht="2.85" customHeight="1" s="140">
      <c r="A2" s="233" t="n"/>
      <c r="B2" s="233" t="n"/>
      <c r="C2" s="233" t="n"/>
      <c r="D2" s="233" t="n"/>
      <c r="E2" s="233" t="n"/>
      <c r="F2" s="233" t="n"/>
      <c r="G2" s="233" t="n"/>
      <c r="H2" s="233" t="n"/>
      <c r="I2" s="233" t="n"/>
      <c r="J2" s="233" t="n"/>
      <c r="K2" s="233" t="n"/>
      <c r="L2" s="233" t="n"/>
      <c r="M2" s="233" t="n"/>
      <c r="N2" s="233" t="n"/>
      <c r="O2" s="233" t="n"/>
      <c r="P2" s="233" t="n"/>
      <c r="Q2" s="233" t="n"/>
      <c r="R2" s="233" t="n"/>
      <c r="S2" s="233" t="n"/>
      <c r="T2" s="233" t="n"/>
      <c r="U2" s="233" t="n"/>
      <c r="V2" s="233" t="n"/>
      <c r="W2" s="233" t="n"/>
      <c r="X2" s="233" t="n"/>
      <c r="Y2" s="233" t="n"/>
      <c r="Z2" s="233" t="n"/>
      <c r="AA2" s="233" t="n"/>
      <c r="AB2" s="233" t="n"/>
      <c r="AC2" s="233" t="n"/>
      <c r="AD2" s="233" t="n"/>
      <c r="AE2" s="233" t="n"/>
      <c r="AF2" s="233" t="n"/>
      <c r="AG2" s="233" t="n"/>
      <c r="AH2" s="233" t="n"/>
      <c r="AI2" s="233" t="n"/>
      <c r="AJ2" s="233" t="n"/>
      <c r="AK2" s="233" t="n"/>
      <c r="AL2" s="233" t="n"/>
      <c r="AM2" s="233" t="n"/>
      <c r="AN2" s="233" t="n"/>
      <c r="AO2" s="233" t="n"/>
      <c r="AP2" s="233" t="n"/>
      <c r="AQ2" s="233" t="n"/>
      <c r="AR2" s="233" t="n"/>
      <c r="AS2" s="233" t="n"/>
      <c r="AT2" s="233" t="n"/>
      <c r="AU2" s="233" t="n"/>
      <c r="AV2" s="233" t="n"/>
      <c r="AW2" s="233" t="n"/>
      <c r="AX2" s="233" t="n"/>
      <c r="AY2" s="233" t="n"/>
      <c r="AZ2" s="233" t="n"/>
      <c r="BA2" s="233" t="n"/>
      <c r="BB2" s="233" t="n"/>
      <c r="BC2" s="233" t="n"/>
      <c r="BD2" s="233" t="n"/>
      <c r="BE2" s="233" t="n"/>
      <c r="BF2" s="233" t="n"/>
      <c r="BG2" s="233" t="n"/>
      <c r="BH2" s="233" t="n"/>
      <c r="BI2" s="233" t="n"/>
      <c r="BJ2" s="233" t="n"/>
      <c r="BK2" s="233" t="n"/>
    </row>
    <row r="3" ht="28.35" customHeight="1" s="140">
      <c r="A3" s="234" t="inlineStr">
        <is>
          <t>OBRA  CASA I+B - Lote230 - VIDA</t>
        </is>
      </c>
      <c r="B3" s="214" t="n"/>
      <c r="C3" s="214" t="n"/>
      <c r="D3" s="214" t="n"/>
      <c r="E3" s="214" t="n"/>
      <c r="F3" s="214" t="n"/>
      <c r="G3" s="214" t="n"/>
      <c r="H3" s="214" t="n"/>
      <c r="I3" s="214" t="n"/>
      <c r="J3" s="214" t="n"/>
      <c r="K3" s="214" t="n"/>
      <c r="L3" s="214" t="n"/>
      <c r="M3" s="214" t="n"/>
      <c r="N3" s="214" t="n"/>
      <c r="O3" s="214" t="n"/>
      <c r="P3" s="214" t="n"/>
      <c r="Q3" s="214" t="n"/>
      <c r="R3" s="214" t="n"/>
      <c r="S3" s="214" t="n"/>
      <c r="T3" s="214" t="n"/>
      <c r="U3" s="214" t="n"/>
      <c r="V3" s="214" t="n"/>
      <c r="W3" s="214" t="n"/>
      <c r="X3" s="214" t="n"/>
      <c r="Y3" s="214" t="n"/>
      <c r="Z3" s="214" t="n"/>
      <c r="AA3" s="214" t="n"/>
      <c r="AB3" s="214" t="n"/>
      <c r="AC3" s="214" t="n"/>
      <c r="AD3" s="214" t="n"/>
      <c r="AE3" s="214" t="n"/>
      <c r="AF3" s="214" t="n"/>
      <c r="AG3" s="214" t="n"/>
      <c r="AH3" s="214" t="n"/>
      <c r="AI3" s="214" t="n"/>
      <c r="AJ3" s="214" t="n"/>
      <c r="AK3" s="214" t="n"/>
      <c r="AL3" s="214" t="n"/>
      <c r="AM3" s="214" t="n"/>
      <c r="AN3" s="214" t="n"/>
      <c r="AO3" s="214" t="n"/>
      <c r="AP3" s="214" t="n"/>
      <c r="AQ3" s="214" t="n"/>
      <c r="AR3" s="214" t="n"/>
      <c r="AS3" s="214" t="n"/>
      <c r="AT3" s="214" t="n"/>
      <c r="AU3" s="214" t="n"/>
      <c r="AV3" s="214" t="n"/>
      <c r="AW3" s="214" t="n"/>
      <c r="AX3" s="214" t="n"/>
      <c r="AY3" s="214" t="n"/>
      <c r="AZ3" s="214" t="n"/>
      <c r="BA3" s="214" t="n"/>
      <c r="BB3" s="214" t="n"/>
      <c r="BC3" s="214" t="n"/>
      <c r="BD3" s="214" t="n"/>
      <c r="BE3" s="214" t="n"/>
      <c r="BF3" s="214" t="n"/>
      <c r="BG3" s="214" t="n"/>
      <c r="BH3" s="214" t="n"/>
      <c r="BI3" s="214" t="n"/>
      <c r="BJ3" s="214" t="n"/>
      <c r="BK3" s="232" t="n"/>
    </row>
    <row r="4" ht="2.85" customHeight="1" s="140">
      <c r="A4" s="235" t="n"/>
      <c r="B4" s="214" t="n"/>
      <c r="C4" s="214" t="n"/>
      <c r="D4" s="214" t="n"/>
      <c r="E4" s="214" t="n"/>
      <c r="F4" s="214" t="n"/>
      <c r="G4" s="214" t="n"/>
      <c r="H4" s="214" t="n"/>
      <c r="I4" s="214" t="n"/>
      <c r="J4" s="214" t="n"/>
      <c r="K4" s="214" t="n"/>
      <c r="L4" s="214" t="n"/>
      <c r="M4" s="214" t="n"/>
      <c r="N4" s="214" t="n"/>
      <c r="O4" s="214" t="n"/>
      <c r="P4" s="214" t="n"/>
      <c r="Q4" s="214" t="n"/>
      <c r="R4" s="214" t="n"/>
      <c r="S4" s="214" t="n"/>
      <c r="T4" s="214" t="n"/>
      <c r="U4" s="214" t="n"/>
      <c r="V4" s="214" t="n"/>
      <c r="W4" s="214" t="n"/>
      <c r="X4" s="214" t="n"/>
      <c r="Y4" s="214" t="n"/>
      <c r="Z4" s="214" t="n"/>
      <c r="AA4" s="214" t="n"/>
      <c r="AB4" s="214" t="n"/>
      <c r="AC4" s="214" t="n"/>
      <c r="AD4" s="214" t="n"/>
      <c r="AE4" s="214" t="n"/>
      <c r="AF4" s="214" t="n"/>
      <c r="AG4" s="214" t="n"/>
      <c r="AH4" s="214" t="n"/>
      <c r="AI4" s="214" t="n"/>
      <c r="AJ4" s="214" t="n"/>
      <c r="AK4" s="214" t="n"/>
      <c r="AL4" s="214" t="n"/>
      <c r="AM4" s="214" t="n"/>
      <c r="AN4" s="214" t="n"/>
      <c r="AO4" s="214" t="n"/>
      <c r="AP4" s="214" t="n"/>
      <c r="AQ4" s="214" t="n"/>
      <c r="AR4" s="214" t="n"/>
      <c r="AS4" s="214" t="n"/>
      <c r="AT4" s="214" t="n"/>
      <c r="AU4" s="214" t="n"/>
      <c r="AV4" s="214" t="n"/>
      <c r="AW4" s="214" t="n"/>
      <c r="AX4" s="214" t="n"/>
      <c r="AY4" s="214" t="n"/>
      <c r="AZ4" s="214" t="n"/>
      <c r="BA4" s="214" t="n"/>
      <c r="BB4" s="214" t="n"/>
      <c r="BC4" s="214" t="n"/>
      <c r="BD4" s="214" t="n"/>
      <c r="BE4" s="214" t="n"/>
      <c r="BF4" s="214" t="n"/>
      <c r="BG4" s="214" t="n"/>
      <c r="BH4" s="214" t="n"/>
      <c r="BI4" s="214" t="n"/>
      <c r="BJ4" s="214" t="n"/>
      <c r="BK4" s="214" t="n"/>
    </row>
    <row r="5" ht="28.35" customHeight="1" s="140">
      <c r="A5" s="236" t="inlineStr">
        <is>
          <t>LOCALES</t>
        </is>
      </c>
      <c r="B5" s="205" t="n"/>
      <c r="C5" s="237" t="n"/>
      <c r="D5" s="238" t="inlineStr">
        <is>
          <t>MAMPOSTERIA</t>
        </is>
      </c>
      <c r="E5" s="214" t="n"/>
      <c r="F5" s="214" t="n"/>
      <c r="G5" s="214" t="n"/>
      <c r="H5" s="214" t="n"/>
      <c r="I5" s="214" t="n"/>
      <c r="J5" s="238" t="inlineStr">
        <is>
          <t>CONTRAPISOS</t>
        </is>
      </c>
      <c r="K5" s="214" t="n"/>
      <c r="L5" s="214" t="n"/>
      <c r="M5" s="239" t="inlineStr">
        <is>
          <t>PISOS</t>
        </is>
      </c>
      <c r="N5" s="214" t="n"/>
      <c r="O5" s="214" t="n"/>
      <c r="P5" s="214" t="n"/>
      <c r="Q5" s="232" t="n"/>
      <c r="R5" s="239" t="inlineStr">
        <is>
          <t>ZÓCALOS</t>
        </is>
      </c>
      <c r="S5" s="214" t="n"/>
      <c r="T5" s="232" t="n"/>
      <c r="U5" s="238" t="inlineStr">
        <is>
          <t xml:space="preserve">REVOQUES </t>
        </is>
      </c>
      <c r="V5" s="214" t="n"/>
      <c r="W5" s="214" t="n"/>
      <c r="X5" s="214" t="n"/>
      <c r="Y5" s="239" t="inlineStr">
        <is>
          <t>REVESTIMIENTO</t>
        </is>
      </c>
      <c r="Z5" s="214" t="n"/>
      <c r="AA5" s="214" t="n"/>
      <c r="AB5" s="214" t="n"/>
      <c r="AC5" s="214" t="n"/>
      <c r="AD5" s="214" t="n"/>
      <c r="AE5" s="214" t="n"/>
      <c r="AF5" s="232" t="n"/>
      <c r="AG5" s="239" t="inlineStr">
        <is>
          <t>YESERIA</t>
        </is>
      </c>
      <c r="AH5" s="214" t="n"/>
      <c r="AI5" s="214" t="n"/>
      <c r="AJ5" s="214" t="n"/>
      <c r="AK5" s="232" t="n"/>
      <c r="AL5" s="240" t="inlineStr">
        <is>
          <t>PINTURA</t>
        </is>
      </c>
      <c r="AM5" s="214" t="n"/>
      <c r="AN5" s="214" t="n"/>
      <c r="AO5" s="214" t="n"/>
      <c r="AP5" s="214" t="n"/>
      <c r="AQ5" s="214" t="n"/>
      <c r="AR5" s="214" t="n"/>
      <c r="AS5" s="232" t="n"/>
      <c r="AT5" s="240" t="inlineStr">
        <is>
          <t>UNBRALES/SOLIAS/ALFEIZAR</t>
        </is>
      </c>
      <c r="AU5" s="214" t="n"/>
      <c r="AV5" s="214" t="n"/>
      <c r="AW5" s="232" t="n"/>
      <c r="AX5" s="240" t="inlineStr">
        <is>
          <t>MARMOLES</t>
        </is>
      </c>
      <c r="AY5" s="214" t="n"/>
      <c r="AZ5" s="214" t="n"/>
      <c r="BA5" s="232" t="n"/>
      <c r="BB5" s="240" t="inlineStr">
        <is>
          <t>ABERTURAS</t>
        </is>
      </c>
      <c r="BC5" s="214" t="n"/>
      <c r="BD5" s="214" t="n"/>
      <c r="BE5" s="214" t="n"/>
      <c r="BF5" s="214" t="n"/>
      <c r="BG5" s="214" t="n"/>
      <c r="BH5" s="214" t="n"/>
      <c r="BI5" s="232" t="n"/>
      <c r="BJ5" s="239" t="inlineStr">
        <is>
          <t>OBSERVACIONES</t>
        </is>
      </c>
      <c r="BK5" s="232" t="n"/>
    </row>
    <row r="6" ht="227.45" customHeight="1" s="140">
      <c r="A6" s="241" t="n"/>
      <c r="B6" s="196" t="n"/>
      <c r="C6" s="242" t="n"/>
      <c r="D6" s="243" t="n"/>
      <c r="E6" s="244" t="inlineStr">
        <is>
          <t>TABIQUES H°A° ESP. 12CM</t>
        </is>
      </c>
      <c r="F6" s="244" t="inlineStr">
        <is>
          <t>LADRILLOS COMUNES EN CIMIENTO</t>
        </is>
      </c>
      <c r="G6" s="244" t="inlineStr">
        <is>
          <t>LADRILLOS HUECOS CERAMICOS ESP.12CM</t>
        </is>
      </c>
      <c r="H6" s="244" t="inlineStr">
        <is>
          <t>BLOQUES CERAMICOS HUECOS PORTANTES</t>
        </is>
      </c>
      <c r="I6" s="245" t="inlineStr">
        <is>
          <t>LADRILLOS HCCA ESP.5CM</t>
        </is>
      </c>
      <c r="J6" s="246" t="n"/>
      <c r="K6" s="245" t="inlineStr">
        <is>
          <t>HORMIGÓN DE CASCOTE E: 12CM SOBRE TERRENO NATURAL</t>
        </is>
      </c>
      <c r="L6" s="245" t="inlineStr">
        <is>
          <t>HORMIGÓN DE CASCOTE E: 7CM SOBRE LOSA DE HORMIGÓN</t>
        </is>
      </c>
      <c r="M6" s="247" t="n"/>
      <c r="N6" s="244" t="inlineStr">
        <is>
          <t>PORCELANATO  ZEN HUESO 59 x 59 (CERRO NEGRO)</t>
        </is>
      </c>
      <c r="O6" s="244" t="inlineStr">
        <is>
          <t>PORCELANATO  BATILO GREY DUO 59 x 59  (S. LORENZO)</t>
        </is>
      </c>
      <c r="P6" s="244" t="inlineStr">
        <is>
          <t>H° H21 LLANEADO</t>
        </is>
      </c>
      <c r="Q6" s="244" t="inlineStr">
        <is>
          <t>PISO FLOTANTE SPC</t>
        </is>
      </c>
      <c r="R6" s="247" t="n"/>
      <c r="S6" s="244" t="inlineStr">
        <is>
          <t>PORCELANATO  BATILO GREY DUO 59 x 59  (S. LORENZO)</t>
        </is>
      </c>
      <c r="T6" s="244" t="inlineStr">
        <is>
          <t>MADERA DE  7,5 x 1,5CM MDF PINTADOS</t>
        </is>
      </c>
      <c r="U6" s="247" t="n"/>
      <c r="V6" s="244" t="inlineStr">
        <is>
          <t>IMPERMEABLE +  GRUESO + MATERIAL DE FRENTE SIMIL PIEDRA</t>
        </is>
      </c>
      <c r="W6" s="244" t="inlineStr">
        <is>
          <t>INTERIOR GRUESO BAJO REVESTIMIENTO</t>
        </is>
      </c>
      <c r="X6" s="244" t="inlineStr">
        <is>
          <t>IMPERMEABLE CON CEMENTO ALISADO BAJO BAÑERA</t>
        </is>
      </c>
      <c r="Y6" s="248" t="n"/>
      <c r="Z6" s="244" t="inlineStr">
        <is>
          <t>PORCELANATO  BATILO GREY DUO 58 x 117  (S. LORENZO)</t>
        </is>
      </c>
      <c r="AA6" s="244" t="inlineStr">
        <is>
          <t>PORCELANATO CALACATA 58 x 117</t>
        </is>
      </c>
      <c r="AB6" s="244" t="inlineStr">
        <is>
          <t>TEJUELAS DE LADRILLOS REFRACTARIOS</t>
        </is>
      </c>
      <c r="AC6" s="244" t="inlineStr">
        <is>
          <t>MADERA MACHIMBRE EUCA GRANDIS (CIELORRASO)</t>
        </is>
      </c>
      <c r="AD6" s="244" t="inlineStr">
        <is>
          <t>MADERA ENLISTONADO MDF (EN ISLA)</t>
        </is>
      </c>
      <c r="AE6" s="244" t="inlineStr">
        <is>
          <t>ESCALERA MADERA ROBLE PLASTIFICADA</t>
        </is>
      </c>
      <c r="AF6" s="244" t="inlineStr">
        <is>
          <t>PERFILES U Y L PARA ARISTAS</t>
        </is>
      </c>
      <c r="AG6" s="247" t="n"/>
      <c r="AH6" s="244" t="inlineStr">
        <is>
          <t xml:space="preserve">MONOCAPA DE YESO </t>
        </is>
      </c>
      <c r="AI6" s="244" t="inlineStr">
        <is>
          <t>DE YESO SUSPENDIDO ARMADO</t>
        </is>
      </c>
      <c r="AJ6" s="244" t="inlineStr">
        <is>
          <t>GARGANTA LUZ DIFUSA</t>
        </is>
      </c>
      <c r="AK6" s="244" t="inlineStr">
        <is>
          <t>CANTONERAS</t>
        </is>
      </c>
      <c r="AL6" s="248" t="n"/>
      <c r="AM6" s="244" t="inlineStr">
        <is>
          <t>IMPERMEABILIZANTE CON SILICONA PARA FACHADAS</t>
        </is>
      </c>
      <c r="AN6" s="244" t="inlineStr">
        <is>
          <t>LATEX INTERIOR SATINADO</t>
        </is>
      </c>
      <c r="AO6" s="244" t="inlineStr">
        <is>
          <t>LATEX PARA CIELORRASOS</t>
        </is>
      </c>
      <c r="AP6" s="244" t="inlineStr">
        <is>
          <t>ESMALTE SINTÉTICO PARA MADERA</t>
        </is>
      </c>
      <c r="AQ6" s="244" t="inlineStr">
        <is>
          <t>BARNIZ MARINO</t>
        </is>
      </c>
      <c r="AR6" s="244" t="inlineStr">
        <is>
          <t>ESMALTE SINTÉTICO PARA METAL</t>
        </is>
      </c>
      <c r="AS6" s="244" t="inlineStr">
        <is>
          <t>ASFALTICA  EN MURO DOBLE</t>
        </is>
      </c>
      <c r="AT6" s="248" t="n"/>
      <c r="AU6" s="244" t="inlineStr">
        <is>
          <t>UMBRAL DE  GRANITO NEGRO BOREAL ESP. 2CM</t>
        </is>
      </c>
      <c r="AV6" s="244" t="inlineStr">
        <is>
          <t>SOLIA VARILLAS DE ACERO INOXIDABLE (EN CAMBIO DE PISO)</t>
        </is>
      </c>
      <c r="AW6" s="244" t="inlineStr">
        <is>
          <t>ALFEIZAR DE PORCELANATO</t>
        </is>
      </c>
      <c r="AX6" s="248" t="n"/>
      <c r="AY6" s="244" t="inlineStr">
        <is>
          <t>GRANITO NEGRO BOREAL ESP. 2CM</t>
        </is>
      </c>
      <c r="AZ6" s="244" t="inlineStr">
        <is>
          <t>TRAVERTINO BLANCO GRIS</t>
        </is>
      </c>
      <c r="BA6" s="244" t="inlineStr">
        <is>
          <t>ZÓCALO NEGRO BOREAL 5CM</t>
        </is>
      </c>
      <c r="BB6" s="248" t="n"/>
      <c r="BC6" s="244" t="inlineStr">
        <is>
          <t>PAÑO FIJO ALUMINIO LINEA A30</t>
        </is>
      </c>
      <c r="BD6" s="244" t="inlineStr">
        <is>
          <t>PROYECTANTE LÍNEA A30</t>
        </is>
      </c>
      <c r="BE6" s="244" t="inlineStr">
        <is>
          <t>CORREDIZA LÍNEA A30</t>
        </is>
      </c>
      <c r="BF6" s="244" t="inlineStr">
        <is>
          <t>PUERTA CHAPA LISA TRATAMIENTO OXIDO + FIJADOR</t>
        </is>
      </c>
      <c r="BG6" s="244" t="inlineStr">
        <is>
          <t>PUERTA MADERA MACIZA A MEDIDA MDF PIVOT</t>
        </is>
      </c>
      <c r="BH6" s="244" t="inlineStr">
        <is>
          <t>A30 DE ABRIR</t>
        </is>
      </c>
      <c r="BI6" s="244" t="inlineStr">
        <is>
          <t>METALICA CORREDIZA</t>
        </is>
      </c>
      <c r="BJ6" s="249" t="n"/>
      <c r="BK6" s="250" t="n"/>
    </row>
    <row r="7" ht="22.7" customHeight="1" s="140">
      <c r="A7" s="251" t="inlineStr">
        <is>
          <t>PISO</t>
        </is>
      </c>
      <c r="B7" s="252" t="inlineStr">
        <is>
          <t>Nº</t>
        </is>
      </c>
      <c r="C7" s="253" t="inlineStr">
        <is>
          <t>DENOMINACION</t>
        </is>
      </c>
      <c r="D7" s="254" t="n"/>
      <c r="E7" s="255" t="n"/>
      <c r="F7" s="256" t="n"/>
      <c r="G7" s="256" t="n"/>
      <c r="H7" s="256" t="n"/>
      <c r="I7" s="257" t="n"/>
      <c r="J7" s="254" t="n"/>
      <c r="K7" s="255" t="n"/>
      <c r="L7" s="257" t="n"/>
      <c r="M7" s="243" t="n"/>
      <c r="N7" s="255" t="n"/>
      <c r="O7" s="256" t="n"/>
      <c r="P7" s="256" t="n"/>
      <c r="Q7" s="256" t="n"/>
      <c r="R7" s="256" t="n"/>
      <c r="S7" s="256" t="n"/>
      <c r="T7" s="257" t="n"/>
      <c r="U7" s="243" t="n"/>
      <c r="V7" s="255" t="n"/>
      <c r="W7" s="256" t="n"/>
      <c r="X7" s="257" t="n"/>
      <c r="Y7" s="243" t="n"/>
      <c r="Z7" s="255" t="n"/>
      <c r="AA7" s="256" t="n"/>
      <c r="AB7" s="256" t="n"/>
      <c r="AC7" s="256" t="n"/>
      <c r="AD7" s="256" t="n"/>
      <c r="AE7" s="256" t="n"/>
      <c r="AF7" s="257" t="n"/>
      <c r="AG7" s="243" t="n"/>
      <c r="AH7" s="255" t="n"/>
      <c r="AI7" s="256" t="n"/>
      <c r="AJ7" s="256" t="n"/>
      <c r="AK7" s="257" t="n"/>
      <c r="AL7" s="243" t="n"/>
      <c r="AM7" s="255" t="n"/>
      <c r="AN7" s="256" t="n"/>
      <c r="AO7" s="256" t="n"/>
      <c r="AP7" s="256" t="n"/>
      <c r="AQ7" s="256" t="n"/>
      <c r="AR7" s="256" t="n"/>
      <c r="AS7" s="257" t="n"/>
      <c r="AT7" s="243" t="n"/>
      <c r="AU7" s="258" t="n"/>
      <c r="AV7" s="259" t="n"/>
      <c r="AW7" s="260" t="n"/>
      <c r="AX7" s="243" t="n"/>
      <c r="AY7" s="258" t="n"/>
      <c r="AZ7" s="259" t="n"/>
      <c r="BA7" s="260" t="n"/>
      <c r="BB7" s="243" t="n"/>
      <c r="BC7" s="261" t="n"/>
      <c r="BD7" s="262" t="n"/>
      <c r="BE7" s="262" t="n"/>
      <c r="BF7" s="262" t="n"/>
      <c r="BG7" s="262" t="n"/>
      <c r="BH7" s="262" t="n"/>
      <c r="BI7" s="263" t="n"/>
      <c r="BJ7" s="243" t="n"/>
      <c r="BK7" s="264" t="n"/>
    </row>
    <row r="8" ht="22.7" customHeight="1" s="140">
      <c r="A8" s="265" t="inlineStr">
        <is>
          <t>P.B</t>
        </is>
      </c>
      <c r="B8" s="266" t="n">
        <v>1</v>
      </c>
      <c r="C8" s="267" t="inlineStr">
        <is>
          <t>COCINA / COMEDOR</t>
        </is>
      </c>
      <c r="D8" s="268" t="n"/>
      <c r="E8" s="269" t="n"/>
      <c r="F8" s="270" t="n"/>
      <c r="G8" s="270" t="n"/>
      <c r="H8" s="270" t="n"/>
      <c r="I8" s="269" t="n"/>
      <c r="J8" s="268" t="n"/>
      <c r="K8" s="270" t="n"/>
      <c r="L8" s="266" t="n"/>
      <c r="M8" s="271" t="n"/>
      <c r="N8" s="266" t="n"/>
      <c r="O8" s="266" t="n"/>
      <c r="P8" s="266" t="n"/>
      <c r="Q8" s="272" t="n"/>
      <c r="R8" s="273" t="n"/>
      <c r="S8" s="266" t="n"/>
      <c r="T8" s="274" t="n"/>
      <c r="U8" s="271" t="n"/>
      <c r="V8" s="266" t="n"/>
      <c r="W8" s="266" t="n"/>
      <c r="X8" s="266" t="n"/>
      <c r="Y8" s="271" t="n"/>
      <c r="Z8" s="266" t="n"/>
      <c r="AA8" s="266" t="n"/>
      <c r="AB8" s="266" t="n"/>
      <c r="AC8" s="266" t="n"/>
      <c r="AD8" s="266" t="n"/>
      <c r="AE8" s="266" t="n"/>
      <c r="AF8" s="275" t="n"/>
      <c r="AG8" s="276" t="n"/>
      <c r="AH8" s="269" t="n"/>
      <c r="AI8" s="267" t="n"/>
      <c r="AJ8" s="267" t="n"/>
      <c r="AK8" s="269" t="n"/>
      <c r="AL8" s="271" t="n"/>
      <c r="AM8" s="266" t="n"/>
      <c r="AN8" s="269" t="n"/>
      <c r="AO8" s="266" t="n"/>
      <c r="AP8" s="269" t="n"/>
      <c r="AQ8" s="275" t="n"/>
      <c r="AR8" s="275" t="n"/>
      <c r="AS8" s="269" t="n"/>
      <c r="AT8" s="271" t="n"/>
      <c r="AU8" s="272" t="n"/>
      <c r="AV8" s="272" t="n"/>
      <c r="AW8" s="272" t="n"/>
      <c r="AX8" s="271" t="n"/>
      <c r="AY8" s="277" t="n"/>
      <c r="AZ8" s="278" t="n"/>
      <c r="BA8" s="277" t="n"/>
      <c r="BB8" s="271" t="n"/>
      <c r="BC8" s="272" t="n"/>
      <c r="BD8" s="272" t="n"/>
      <c r="BE8" s="272" t="n"/>
      <c r="BF8" s="266" t="n"/>
      <c r="BG8" s="266" t="n"/>
      <c r="BH8" s="266" t="n"/>
      <c r="BI8" s="266" t="n"/>
      <c r="BJ8" s="271" t="n"/>
      <c r="BK8" s="279" t="n"/>
    </row>
    <row r="9" ht="22.7" customHeight="1" s="140">
      <c r="A9" s="265" t="inlineStr">
        <is>
          <t>P.B</t>
        </is>
      </c>
      <c r="B9" s="266" t="n">
        <v>2</v>
      </c>
      <c r="C9" s="267" t="inlineStr">
        <is>
          <t>DEPOSITO Y DESPENSA</t>
        </is>
      </c>
      <c r="D9" s="268" t="n"/>
      <c r="E9" s="272" t="n"/>
      <c r="F9" s="270" t="n"/>
      <c r="G9" s="270" t="n"/>
      <c r="H9" s="270" t="n"/>
      <c r="I9" s="267" t="n"/>
      <c r="J9" s="268" t="n"/>
      <c r="K9" s="270" t="n"/>
      <c r="L9" s="266" t="n"/>
      <c r="N9" s="266" t="n"/>
      <c r="O9" s="272" t="n"/>
      <c r="P9" s="266" t="n"/>
      <c r="Q9" s="266" t="n"/>
      <c r="R9" s="280" t="n"/>
      <c r="S9" s="274" t="n"/>
      <c r="T9" s="266" t="n"/>
      <c r="V9" s="270" t="n"/>
      <c r="W9" s="266" t="n"/>
      <c r="X9" s="266" t="n"/>
      <c r="Y9" s="271" t="n"/>
      <c r="Z9" s="266" t="n"/>
      <c r="AA9" s="266" t="n"/>
      <c r="AB9" s="266" t="n"/>
      <c r="AC9" s="266" t="n"/>
      <c r="AD9" s="275" t="n"/>
      <c r="AE9" s="266" t="n"/>
      <c r="AF9" s="275" t="n"/>
      <c r="AG9" s="276" t="n"/>
      <c r="AH9" s="275" t="n"/>
      <c r="AI9" s="267" t="n"/>
      <c r="AJ9" s="267" t="n"/>
      <c r="AK9" s="275" t="n"/>
      <c r="AM9" s="266" t="n"/>
      <c r="AN9" s="266" t="n"/>
      <c r="AO9" s="266" t="n"/>
      <c r="AP9" s="269" t="n"/>
      <c r="AQ9" s="275" t="n"/>
      <c r="AR9" s="275" t="n"/>
      <c r="AS9" s="267" t="n"/>
      <c r="AU9" s="266" t="n"/>
      <c r="AV9" s="266" t="n"/>
      <c r="AW9" s="266" t="n"/>
      <c r="AY9" s="278" t="n"/>
      <c r="AZ9" s="278" t="n"/>
      <c r="BA9" s="278" t="n"/>
      <c r="BC9" s="266" t="n"/>
      <c r="BD9" s="266" t="n"/>
      <c r="BE9" s="266" t="n"/>
      <c r="BF9" s="266" t="n"/>
      <c r="BG9" s="272" t="n"/>
      <c r="BH9" s="272" t="n"/>
      <c r="BI9" s="266" t="n"/>
      <c r="BK9" s="279" t="n"/>
    </row>
    <row r="10" ht="22.7" customHeight="1" s="140">
      <c r="A10" s="265" t="inlineStr">
        <is>
          <t>P.B</t>
        </is>
      </c>
      <c r="B10" s="266" t="n">
        <v>3</v>
      </c>
      <c r="C10" s="267" t="inlineStr">
        <is>
          <t>LAVADERO</t>
        </is>
      </c>
      <c r="D10" s="268" t="n"/>
      <c r="E10" s="266" t="n"/>
      <c r="F10" s="266" t="n"/>
      <c r="G10" s="270" t="n"/>
      <c r="H10" s="266" t="n"/>
      <c r="I10" s="266" t="n"/>
      <c r="J10" s="268" t="n"/>
      <c r="K10" s="270" t="n"/>
      <c r="L10" s="266" t="n"/>
      <c r="N10" s="266" t="n"/>
      <c r="O10" s="272" t="n"/>
      <c r="P10" s="266" t="n"/>
      <c r="Q10" s="266" t="n"/>
      <c r="R10" s="280" t="n"/>
      <c r="S10" s="274" t="n"/>
      <c r="T10" s="266" t="n"/>
      <c r="V10" s="266" t="n"/>
      <c r="W10" s="270" t="n"/>
      <c r="X10" s="266" t="n"/>
      <c r="Y10" s="271" t="n"/>
      <c r="Z10" s="270" t="n"/>
      <c r="AA10" s="266" t="n"/>
      <c r="AB10" s="266" t="n"/>
      <c r="AC10" s="266" t="n"/>
      <c r="AD10" s="275" t="n"/>
      <c r="AE10" s="266" t="n"/>
      <c r="AF10" s="275" t="n"/>
      <c r="AG10" s="276" t="n"/>
      <c r="AH10" s="270" t="n"/>
      <c r="AI10" s="267" t="n"/>
      <c r="AJ10" s="267" t="n"/>
      <c r="AK10" s="275" t="n"/>
      <c r="AM10" s="266" t="n"/>
      <c r="AN10" s="266" t="n"/>
      <c r="AO10" s="266" t="n"/>
      <c r="AP10" s="269" t="n"/>
      <c r="AQ10" s="275" t="n"/>
      <c r="AR10" s="275" t="n"/>
      <c r="AS10" s="266" t="n"/>
      <c r="AU10" s="266" t="n"/>
      <c r="AV10" s="272" t="n"/>
      <c r="AW10" s="266" t="n"/>
      <c r="AY10" s="281" t="n"/>
      <c r="AZ10" s="282" t="n"/>
      <c r="BA10" s="281" t="n"/>
      <c r="BC10" s="266" t="n"/>
      <c r="BD10" s="266" t="n"/>
      <c r="BE10" s="266" t="n"/>
      <c r="BF10" s="266" t="n"/>
      <c r="BG10" s="272" t="n"/>
      <c r="BH10" s="266" t="n"/>
      <c r="BI10" s="266" t="n"/>
      <c r="BK10" s="279" t="n"/>
    </row>
    <row r="11" ht="22.7" customHeight="1" s="140">
      <c r="A11" s="265" t="inlineStr">
        <is>
          <t>P.B</t>
        </is>
      </c>
      <c r="B11" s="266" t="n">
        <v>4</v>
      </c>
      <c r="C11" s="267" t="inlineStr">
        <is>
          <t>GARAGE</t>
        </is>
      </c>
      <c r="D11" s="268" t="n"/>
      <c r="E11" s="270" t="n"/>
      <c r="F11" s="270" t="n"/>
      <c r="G11" s="269" t="n"/>
      <c r="H11" s="275" t="n"/>
      <c r="I11" s="267" t="n"/>
      <c r="J11" s="268" t="n"/>
      <c r="K11" s="270" t="n"/>
      <c r="L11" s="275" t="n"/>
      <c r="N11" s="266" t="n"/>
      <c r="O11" s="266" t="n"/>
      <c r="P11" s="272" t="n"/>
      <c r="Q11" s="266" t="n"/>
      <c r="R11" s="280" t="n"/>
      <c r="S11" s="266" t="n"/>
      <c r="T11" s="266" t="n"/>
      <c r="V11" s="270" t="n"/>
      <c r="W11" s="275" t="n"/>
      <c r="X11" s="266" t="n"/>
      <c r="Y11" s="271" t="n"/>
      <c r="Z11" s="266" t="n"/>
      <c r="AA11" s="266" t="n"/>
      <c r="AB11" s="266" t="n"/>
      <c r="AC11" s="266" t="n"/>
      <c r="AD11" s="266" t="n"/>
      <c r="AE11" s="266" t="n"/>
      <c r="AF11" s="266" t="n"/>
      <c r="AG11" s="271" t="n"/>
      <c r="AH11" s="275" t="n"/>
      <c r="AI11" s="267" t="n"/>
      <c r="AJ11" s="267" t="n"/>
      <c r="AK11" s="275" t="n"/>
      <c r="AM11" s="270" t="n"/>
      <c r="AN11" s="275" t="n"/>
      <c r="AO11" s="266" t="n"/>
      <c r="AP11" s="275" t="n"/>
      <c r="AQ11" s="275" t="n"/>
      <c r="AR11" s="269" t="n"/>
      <c r="AS11" s="267" t="n"/>
      <c r="AU11" s="266" t="n"/>
      <c r="AV11" s="266" t="n"/>
      <c r="AW11" s="266" t="n"/>
      <c r="AY11" s="282" t="n"/>
      <c r="AZ11" s="282" t="n"/>
      <c r="BA11" s="282" t="n"/>
      <c r="BC11" s="266" t="n"/>
      <c r="BD11" s="266" t="n"/>
      <c r="BE11" s="266" t="n"/>
      <c r="BF11" s="266" t="n"/>
      <c r="BG11" s="266" t="n"/>
      <c r="BH11" s="266" t="n"/>
      <c r="BI11" s="272" t="n"/>
      <c r="BK11" s="279" t="n"/>
    </row>
    <row r="12" ht="22.7" customHeight="1" s="140">
      <c r="A12" s="265" t="inlineStr">
        <is>
          <t>P.B</t>
        </is>
      </c>
      <c r="B12" s="266" t="n">
        <v>5</v>
      </c>
      <c r="C12" s="267" t="inlineStr">
        <is>
          <t>GALERIA / PARRILLERO</t>
        </is>
      </c>
      <c r="D12" s="268" t="n"/>
      <c r="E12" s="270" t="n"/>
      <c r="F12" s="275" t="n"/>
      <c r="G12" s="266" t="n"/>
      <c r="H12" s="266" t="n"/>
      <c r="I12" s="267" t="n"/>
      <c r="J12" s="268" t="n"/>
      <c r="K12" s="270" t="n"/>
      <c r="L12" s="266" t="n"/>
      <c r="N12" s="266" t="n"/>
      <c r="O12" s="272" t="n"/>
      <c r="P12" s="266" t="n"/>
      <c r="Q12" s="266" t="n"/>
      <c r="R12" s="280" t="n"/>
      <c r="S12" s="274" t="n"/>
      <c r="T12" s="266" t="n"/>
      <c r="V12" s="270" t="n"/>
      <c r="W12" s="266" t="n"/>
      <c r="X12" s="266" t="n"/>
      <c r="Y12" s="271" t="n"/>
      <c r="Z12" s="266" t="n"/>
      <c r="AA12" s="266" t="n"/>
      <c r="AB12" s="270" t="n"/>
      <c r="AC12" s="270" t="n"/>
      <c r="AD12" s="270" t="n"/>
      <c r="AE12" s="266" t="n"/>
      <c r="AF12" s="275" t="n"/>
      <c r="AG12" s="276" t="n"/>
      <c r="AH12" s="266" t="n"/>
      <c r="AI12" s="275" t="n"/>
      <c r="AJ12" s="267" t="n"/>
      <c r="AK12" s="266" t="n"/>
      <c r="AM12" s="270" t="n"/>
      <c r="AN12" s="266" t="n"/>
      <c r="AO12" s="266" t="n"/>
      <c r="AP12" s="266" t="n"/>
      <c r="AQ12" s="269" t="n"/>
      <c r="AR12" s="269" t="n"/>
      <c r="AS12" s="267" t="n"/>
      <c r="AU12" s="272" t="n"/>
      <c r="AV12" s="266" t="n"/>
      <c r="AW12" s="266" t="n"/>
      <c r="AY12" s="277" t="n"/>
      <c r="AZ12" s="278" t="n"/>
      <c r="BA12" s="277" t="n"/>
      <c r="BC12" s="266" t="n"/>
      <c r="BD12" s="266" t="n"/>
      <c r="BE12" s="272" t="n"/>
      <c r="BF12" s="266" t="n"/>
      <c r="BG12" s="233" t="n"/>
      <c r="BH12" s="266" t="n"/>
      <c r="BI12" s="266" t="n"/>
      <c r="BK12" s="279" t="n"/>
    </row>
    <row r="13" ht="22.7" customHeight="1" s="140">
      <c r="A13" s="265" t="inlineStr">
        <is>
          <t>P.B</t>
        </is>
      </c>
      <c r="B13" s="266" t="n">
        <v>6</v>
      </c>
      <c r="C13" s="267" t="inlineStr">
        <is>
          <t>LIVING / COMEDOR</t>
        </is>
      </c>
      <c r="D13" s="268" t="n"/>
      <c r="E13" s="266" t="n"/>
      <c r="F13" s="266" t="n"/>
      <c r="G13" s="270" t="n"/>
      <c r="H13" s="266" t="n"/>
      <c r="I13" s="266" t="n"/>
      <c r="J13" s="268" t="n"/>
      <c r="K13" s="270" t="n"/>
      <c r="L13" s="266" t="n"/>
      <c r="N13" s="266" t="n"/>
      <c r="O13" s="266" t="n"/>
      <c r="P13" s="266" t="n"/>
      <c r="Q13" s="272" t="n"/>
      <c r="R13" s="280" t="n"/>
      <c r="S13" s="266" t="n"/>
      <c r="T13" s="274" t="n"/>
      <c r="V13" s="266" t="n"/>
      <c r="W13" s="266" t="n"/>
      <c r="X13" s="266" t="n"/>
      <c r="Y13" s="271" t="n"/>
      <c r="Z13" s="266" t="n"/>
      <c r="AA13" s="266" t="n"/>
      <c r="AB13" s="270" t="n"/>
      <c r="AC13" s="266" t="n"/>
      <c r="AD13" s="266" t="n"/>
      <c r="AE13" s="272" t="n"/>
      <c r="AF13" s="266" t="n"/>
      <c r="AG13" s="271" t="n"/>
      <c r="AH13" s="269" t="n"/>
      <c r="AI13" s="269" t="n"/>
      <c r="AJ13" s="267" t="n"/>
      <c r="AK13" s="269" t="n"/>
      <c r="AM13" s="275" t="n"/>
      <c r="AN13" s="269" t="n"/>
      <c r="AO13" s="266" t="n"/>
      <c r="AP13" s="269" t="n"/>
      <c r="AQ13" s="275" t="n"/>
      <c r="AR13" s="275" t="n"/>
      <c r="AS13" s="266" t="n"/>
      <c r="AU13" s="266" t="n"/>
      <c r="AV13" s="266" t="n"/>
      <c r="AW13" s="266" t="n"/>
      <c r="AY13" s="282" t="n"/>
      <c r="AZ13" s="282" t="n"/>
      <c r="BA13" s="282" t="n"/>
      <c r="BC13" s="272" t="n"/>
      <c r="BD13" s="266" t="n"/>
      <c r="BE13" s="272" t="n"/>
      <c r="BF13" s="266" t="n"/>
      <c r="BG13" s="272" t="n"/>
      <c r="BH13" s="266" t="n"/>
      <c r="BI13" s="272" t="n"/>
      <c r="BK13" s="279" t="n"/>
    </row>
    <row r="14" ht="22.7" customHeight="1" s="140">
      <c r="A14" s="265" t="inlineStr">
        <is>
          <t>P.B</t>
        </is>
      </c>
      <c r="B14" s="266" t="n">
        <v>7</v>
      </c>
      <c r="C14" s="267" t="inlineStr">
        <is>
          <t>HALL</t>
        </is>
      </c>
      <c r="D14" s="268" t="n"/>
      <c r="E14" s="270" t="n"/>
      <c r="F14" s="266" t="n"/>
      <c r="G14" s="270" t="n"/>
      <c r="H14" s="266" t="n"/>
      <c r="I14" s="266" t="n"/>
      <c r="J14" s="268" t="n"/>
      <c r="K14" s="270" t="n"/>
      <c r="L14" s="266" t="n"/>
      <c r="N14" s="266" t="n"/>
      <c r="O14" s="266" t="n"/>
      <c r="P14" s="266" t="n"/>
      <c r="Q14" s="272" t="n"/>
      <c r="R14" s="280" t="n"/>
      <c r="S14" s="266" t="n"/>
      <c r="T14" s="274" t="n"/>
      <c r="V14" s="266" t="n"/>
      <c r="W14" s="266" t="n"/>
      <c r="X14" s="266" t="n"/>
      <c r="Y14" s="271" t="n"/>
      <c r="Z14" s="266" t="n"/>
      <c r="AA14" s="266" t="n"/>
      <c r="AB14" s="266" t="n"/>
      <c r="AC14" s="266" t="n"/>
      <c r="AD14" s="266" t="n"/>
      <c r="AE14" s="266" t="n"/>
      <c r="AF14" s="266" t="n"/>
      <c r="AG14" s="271" t="n"/>
      <c r="AH14" s="269" t="n"/>
      <c r="AI14" s="267" t="n"/>
      <c r="AJ14" s="267" t="n"/>
      <c r="AK14" s="269" t="n"/>
      <c r="AM14" s="275" t="n"/>
      <c r="AN14" s="269" t="n"/>
      <c r="AO14" s="266" t="n"/>
      <c r="AP14" s="269" t="n"/>
      <c r="AQ14" s="275" t="n"/>
      <c r="AR14" s="275" t="n"/>
      <c r="AS14" s="266" t="n"/>
      <c r="AU14" s="270" t="n"/>
      <c r="AV14" s="266" t="n"/>
      <c r="AW14" s="266" t="n"/>
      <c r="AY14" s="282" t="n"/>
      <c r="AZ14" s="282" t="n"/>
      <c r="BA14" s="282" t="n"/>
      <c r="BC14" s="272" t="n"/>
      <c r="BD14" s="266" t="n"/>
      <c r="BE14" s="266" t="n"/>
      <c r="BF14" s="272" t="n"/>
      <c r="BG14" s="272" t="n"/>
      <c r="BH14" s="266" t="n"/>
      <c r="BI14" s="266" t="n"/>
      <c r="BK14" s="279" t="n"/>
    </row>
    <row r="15" ht="22.7" customHeight="1" s="140">
      <c r="A15" s="265" t="inlineStr">
        <is>
          <t>P.B</t>
        </is>
      </c>
      <c r="B15" s="266" t="n">
        <v>8</v>
      </c>
      <c r="C15" s="267" t="inlineStr">
        <is>
          <t>VESTIDOR</t>
        </is>
      </c>
      <c r="D15" s="268" t="n"/>
      <c r="E15" s="270" t="n"/>
      <c r="F15" s="266" t="n"/>
      <c r="G15" s="283" t="n"/>
      <c r="H15" s="284" t="n"/>
      <c r="I15" s="270" t="n"/>
      <c r="J15" s="268" t="n"/>
      <c r="K15" s="270" t="n"/>
      <c r="L15" s="284" t="n"/>
      <c r="N15" s="266" t="n"/>
      <c r="O15" s="266" t="n"/>
      <c r="P15" s="284" t="n"/>
      <c r="Q15" s="272" t="n"/>
      <c r="R15" s="280" t="n"/>
      <c r="S15" s="266" t="n"/>
      <c r="T15" s="274" t="n"/>
      <c r="V15" s="284" t="n"/>
      <c r="W15" s="284" t="n"/>
      <c r="X15" s="284" t="n"/>
      <c r="Y15" s="243" t="n"/>
      <c r="Z15" s="284" t="n"/>
      <c r="AA15" s="284" t="n"/>
      <c r="AB15" s="284" t="n"/>
      <c r="AC15" s="284" t="n"/>
      <c r="AD15" s="284" t="n"/>
      <c r="AE15" s="266" t="n"/>
      <c r="AF15" s="284" t="n"/>
      <c r="AG15" s="243" t="n"/>
      <c r="AH15" s="269" t="n"/>
      <c r="AI15" s="270" t="n"/>
      <c r="AJ15" s="266" t="n"/>
      <c r="AK15" s="269" t="n"/>
      <c r="AM15" s="275" t="n"/>
      <c r="AN15" s="269" t="n"/>
      <c r="AO15" s="269" t="n"/>
      <c r="AP15" s="270" t="n"/>
      <c r="AQ15" s="266" t="n"/>
      <c r="AR15" s="266" t="n"/>
      <c r="AS15" s="270" t="n"/>
      <c r="AU15" s="266" t="n"/>
      <c r="AV15" s="266" t="n"/>
      <c r="AW15" s="266" t="n"/>
      <c r="AY15" s="285" t="n"/>
      <c r="AZ15" s="285" t="n"/>
      <c r="BA15" s="285" t="n"/>
      <c r="BC15" s="233" t="n"/>
      <c r="BD15" s="266" t="n"/>
      <c r="BE15" s="266" t="n"/>
      <c r="BF15" s="266" t="n"/>
      <c r="BG15" s="272" t="n"/>
      <c r="BH15" s="266" t="n"/>
      <c r="BI15" s="266" t="n"/>
      <c r="BK15" s="279" t="n"/>
    </row>
    <row r="16" ht="22.7" customHeight="1" s="140">
      <c r="A16" s="265" t="inlineStr">
        <is>
          <t>P.B</t>
        </is>
      </c>
      <c r="B16" s="266" t="n">
        <v>9</v>
      </c>
      <c r="C16" s="267" t="inlineStr">
        <is>
          <t>DORMITORIO EN SUITE</t>
        </is>
      </c>
      <c r="D16" s="268" t="n"/>
      <c r="E16" s="266" t="n"/>
      <c r="F16" s="270" t="n"/>
      <c r="G16" s="270" t="n"/>
      <c r="H16" s="270" t="n"/>
      <c r="I16" s="270" t="n"/>
      <c r="J16" s="268" t="n"/>
      <c r="K16" s="270" t="n"/>
      <c r="L16" s="266" t="n"/>
      <c r="N16" s="266" t="n"/>
      <c r="O16" s="266" t="n"/>
      <c r="P16" s="266" t="n"/>
      <c r="Q16" s="272" t="n"/>
      <c r="R16" s="280" t="n"/>
      <c r="S16" s="266" t="n"/>
      <c r="T16" s="274" t="n"/>
      <c r="V16" s="266" t="n"/>
      <c r="W16" s="284" t="n"/>
      <c r="X16" s="266" t="n"/>
      <c r="Y16" s="271" t="n"/>
      <c r="Z16" s="266" t="n"/>
      <c r="AA16" s="266" t="n"/>
      <c r="AB16" s="266" t="n"/>
      <c r="AC16" s="266" t="n"/>
      <c r="AD16" s="266" t="n"/>
      <c r="AE16" s="266" t="n"/>
      <c r="AF16" s="266" t="n"/>
      <c r="AG16" s="271" t="n"/>
      <c r="AH16" s="269" t="n"/>
      <c r="AI16" s="270" t="n"/>
      <c r="AJ16" s="286" t="n"/>
      <c r="AK16" s="269" t="n"/>
      <c r="AM16" s="275" t="n"/>
      <c r="AN16" s="269" t="n"/>
      <c r="AO16" s="269" t="n"/>
      <c r="AP16" s="270" t="n"/>
      <c r="AQ16" s="266" t="n"/>
      <c r="AR16" s="266" t="n"/>
      <c r="AS16" s="270" t="n"/>
      <c r="AU16" s="272" t="n"/>
      <c r="AV16" s="266" t="n"/>
      <c r="AW16" s="266" t="n"/>
      <c r="AY16" s="282" t="n"/>
      <c r="AZ16" s="282" t="n"/>
      <c r="BA16" s="282" t="n"/>
      <c r="BC16" s="266" t="n"/>
      <c r="BD16" s="272" t="n"/>
      <c r="BE16" s="272" t="n"/>
      <c r="BF16" s="266" t="n"/>
      <c r="BG16" s="266" t="n"/>
      <c r="BH16" s="266" t="n"/>
      <c r="BI16" s="266" t="n"/>
      <c r="BK16" s="279" t="n"/>
    </row>
    <row r="17" ht="22.7" customHeight="1" s="140">
      <c r="A17" s="265" t="inlineStr">
        <is>
          <t>P.B</t>
        </is>
      </c>
      <c r="B17" s="266" t="n">
        <v>10</v>
      </c>
      <c r="C17" s="267" t="inlineStr">
        <is>
          <t>BAÑO SUITE</t>
        </is>
      </c>
      <c r="D17" s="268" t="n"/>
      <c r="E17" s="266" t="n"/>
      <c r="F17" s="270" t="n"/>
      <c r="G17" s="270" t="n"/>
      <c r="H17" s="270" t="n"/>
      <c r="I17" s="266" t="n"/>
      <c r="J17" s="268" t="n"/>
      <c r="K17" s="270" t="n"/>
      <c r="L17" s="266" t="n"/>
      <c r="N17" s="270" t="n"/>
      <c r="O17" s="266" t="n"/>
      <c r="P17" s="266" t="n"/>
      <c r="Q17" s="266" t="n"/>
      <c r="R17" s="280" t="n"/>
      <c r="S17" s="266" t="n"/>
      <c r="T17" s="266" t="n"/>
      <c r="V17" s="266" t="n"/>
      <c r="W17" s="270" t="n"/>
      <c r="X17" s="270" t="n"/>
      <c r="Y17" s="271" t="n"/>
      <c r="Z17" s="266" t="n"/>
      <c r="AA17" s="272" t="n"/>
      <c r="AB17" s="266" t="n"/>
      <c r="AC17" s="266" t="n"/>
      <c r="AD17" s="266" t="n"/>
      <c r="AE17" s="266" t="n"/>
      <c r="AF17" s="270" t="n"/>
      <c r="AG17" s="271" t="n"/>
      <c r="AH17" s="266" t="n"/>
      <c r="AI17" s="270" t="n"/>
      <c r="AJ17" s="286" t="n"/>
      <c r="AK17" s="266" t="n"/>
      <c r="AM17" s="266" t="n"/>
      <c r="AN17" s="266" t="n"/>
      <c r="AO17" s="272" t="n"/>
      <c r="AP17" s="270" t="n"/>
      <c r="AQ17" s="266" t="n"/>
      <c r="AR17" s="266" t="n"/>
      <c r="AS17" s="266" t="n"/>
      <c r="AU17" s="266" t="n"/>
      <c r="AV17" s="272" t="n"/>
      <c r="AW17" s="272" t="n"/>
      <c r="AY17" s="282" t="n"/>
      <c r="AZ17" s="281" t="n"/>
      <c r="BA17" s="282" t="n"/>
      <c r="BC17" s="272" t="n"/>
      <c r="BD17" s="266" t="n"/>
      <c r="BE17" s="266" t="n"/>
      <c r="BF17" s="266" t="n"/>
      <c r="BG17" s="272" t="n"/>
      <c r="BH17" s="266" t="n"/>
      <c r="BI17" s="266" t="n"/>
      <c r="BK17" s="279" t="n"/>
    </row>
    <row r="18" ht="22.7" customHeight="1" s="140">
      <c r="A18" s="265" t="inlineStr">
        <is>
          <t>P.B</t>
        </is>
      </c>
      <c r="B18" s="266" t="n">
        <v>11</v>
      </c>
      <c r="C18" s="267" t="inlineStr">
        <is>
          <t>BAÑO VISITAS</t>
        </is>
      </c>
      <c r="D18" s="268" t="n"/>
      <c r="E18" s="266" t="n"/>
      <c r="F18" s="270" t="n"/>
      <c r="G18" s="270" t="n"/>
      <c r="H18" s="270" t="n"/>
      <c r="I18" s="266" t="n"/>
      <c r="J18" s="268" t="n"/>
      <c r="K18" s="270" t="n"/>
      <c r="L18" s="266" t="n"/>
      <c r="N18" s="270" t="n"/>
      <c r="O18" s="266" t="n"/>
      <c r="P18" s="266" t="n"/>
      <c r="Q18" s="266" t="n"/>
      <c r="R18" s="280" t="n"/>
      <c r="S18" s="266" t="n"/>
      <c r="T18" s="266" t="n"/>
      <c r="V18" s="266" t="n"/>
      <c r="W18" s="270" t="n"/>
      <c r="X18" s="266" t="n"/>
      <c r="Y18" s="271" t="n"/>
      <c r="Z18" s="266" t="n"/>
      <c r="AA18" s="272" t="n"/>
      <c r="AB18" s="266" t="n"/>
      <c r="AC18" s="266" t="n"/>
      <c r="AD18" s="266" t="n"/>
      <c r="AE18" s="266" t="n"/>
      <c r="AF18" s="275" t="n"/>
      <c r="AG18" s="276" t="n"/>
      <c r="AH18" s="269" t="n"/>
      <c r="AI18" s="286" t="n"/>
      <c r="AJ18" s="286" t="n"/>
      <c r="AK18" s="275" t="n"/>
      <c r="AM18" s="266" t="n"/>
      <c r="AN18" s="269" t="n"/>
      <c r="AO18" s="272" t="n"/>
      <c r="AP18" s="270" t="n"/>
      <c r="AQ18" s="266" t="n"/>
      <c r="AR18" s="266" t="n"/>
      <c r="AS18" s="266" t="n"/>
      <c r="AU18" s="266" t="n"/>
      <c r="AV18" s="272" t="n"/>
      <c r="AW18" s="266" t="n"/>
      <c r="AY18" s="282" t="n"/>
      <c r="AZ18" s="281" t="n"/>
      <c r="BA18" s="282" t="n"/>
      <c r="BC18" s="272" t="n"/>
      <c r="BD18" s="266" t="n"/>
      <c r="BE18" s="266" t="n"/>
      <c r="BF18" s="266" t="n"/>
      <c r="BG18" s="272" t="n"/>
      <c r="BH18" s="266" t="n"/>
      <c r="BI18" s="266" t="n"/>
      <c r="BK18" s="287" t="n"/>
    </row>
    <row r="19" ht="22.7" customHeight="1" s="140">
      <c r="A19" s="265" t="inlineStr">
        <is>
          <t>P.B</t>
        </is>
      </c>
      <c r="B19" s="266" t="n">
        <v>12</v>
      </c>
      <c r="C19" s="267" t="inlineStr">
        <is>
          <t>BAÑO EXTERIOR</t>
        </is>
      </c>
      <c r="D19" s="268" t="n"/>
      <c r="E19" s="266" t="n"/>
      <c r="F19" s="270" t="n"/>
      <c r="G19" s="270" t="n"/>
      <c r="H19" s="270" t="n"/>
      <c r="I19" s="266" t="n"/>
      <c r="J19" s="268" t="n"/>
      <c r="K19" s="270" t="n"/>
      <c r="L19" s="266" t="n"/>
      <c r="N19" s="270" t="n"/>
      <c r="O19" s="266" t="n"/>
      <c r="P19" s="266" t="n"/>
      <c r="Q19" s="266" t="n"/>
      <c r="R19" s="280" t="n"/>
      <c r="S19" s="266" t="n"/>
      <c r="T19" s="266" t="n"/>
      <c r="V19" s="270" t="n"/>
      <c r="W19" s="266" t="n"/>
      <c r="X19" s="266" t="n"/>
      <c r="Y19" s="271" t="n"/>
      <c r="Z19" s="266" t="n"/>
      <c r="AA19" s="275" t="n"/>
      <c r="AB19" s="266" t="n"/>
      <c r="AC19" s="266" t="n"/>
      <c r="AD19" s="266" t="n"/>
      <c r="AE19" s="266" t="n"/>
      <c r="AF19" s="266" t="n"/>
      <c r="AG19" s="271" t="n"/>
      <c r="AH19" s="275" t="n"/>
      <c r="AI19" s="267" t="n"/>
      <c r="AJ19" s="267" t="n"/>
      <c r="AK19" s="275" t="n"/>
      <c r="AM19" s="266" t="n"/>
      <c r="AN19" s="275" t="n"/>
      <c r="AO19" s="275" t="n"/>
      <c r="AP19" s="275" t="n"/>
      <c r="AQ19" s="266" t="n"/>
      <c r="AR19" s="266" t="n"/>
      <c r="AS19" s="266" t="n"/>
      <c r="AU19" s="266" t="n"/>
      <c r="AV19" s="272" t="n"/>
      <c r="AW19" s="266" t="n"/>
      <c r="AY19" s="282" t="n"/>
      <c r="AZ19" s="281" t="n"/>
      <c r="BA19" s="282" t="n"/>
      <c r="BC19" s="266" t="n"/>
      <c r="BD19" s="266" t="n"/>
      <c r="BE19" s="266" t="n"/>
      <c r="BF19" s="266" t="n"/>
      <c r="BG19" s="266" t="n"/>
      <c r="BH19" s="272" t="n"/>
      <c r="BI19" s="266" t="n"/>
      <c r="BK19" s="287" t="n"/>
    </row>
    <row r="20" ht="22.7" customHeight="1" s="140">
      <c r="A20" s="265" t="inlineStr">
        <is>
          <t>P.A</t>
        </is>
      </c>
      <c r="B20" s="266" t="n">
        <v>13</v>
      </c>
      <c r="C20" s="267" t="inlineStr">
        <is>
          <t>DORMITORIO</t>
        </is>
      </c>
      <c r="D20" s="268" t="n"/>
      <c r="E20" s="266" t="n"/>
      <c r="F20" s="266" t="n"/>
      <c r="G20" s="270" t="n"/>
      <c r="H20" s="270" t="n"/>
      <c r="I20" s="270" t="n"/>
      <c r="J20" s="268" t="n"/>
      <c r="K20" s="266" t="n"/>
      <c r="L20" s="270" t="n"/>
      <c r="N20" s="266" t="n"/>
      <c r="O20" s="266" t="n"/>
      <c r="P20" s="266" t="n"/>
      <c r="Q20" s="272" t="n"/>
      <c r="R20" s="280" t="n"/>
      <c r="S20" s="266" t="n"/>
      <c r="T20" s="274" t="n"/>
      <c r="V20" s="266" t="n"/>
      <c r="W20" s="266" t="n"/>
      <c r="X20" s="266" t="n"/>
      <c r="Y20" s="271" t="n"/>
      <c r="Z20" s="266" t="n"/>
      <c r="AA20" s="266" t="n"/>
      <c r="AB20" s="266" t="n"/>
      <c r="AC20" s="266" t="n"/>
      <c r="AD20" s="266" t="n"/>
      <c r="AE20" s="266" t="n"/>
      <c r="AF20" s="266" t="n"/>
      <c r="AG20" s="271" t="n"/>
      <c r="AH20" s="269" t="n"/>
      <c r="AI20" s="286" t="n"/>
      <c r="AJ20" s="286" t="n"/>
      <c r="AK20" s="269" t="n"/>
      <c r="AM20" s="275" t="n"/>
      <c r="AN20" s="269" t="n"/>
      <c r="AO20" s="270" t="n"/>
      <c r="AP20" s="270" t="n"/>
      <c r="AQ20" s="266" t="n"/>
      <c r="AR20" s="266" t="n"/>
      <c r="AS20" s="270" t="n"/>
      <c r="AU20" s="266" t="n"/>
      <c r="AV20" s="266" t="n"/>
      <c r="AW20" s="272" t="n"/>
      <c r="AY20" s="282" t="n"/>
      <c r="AZ20" s="282" t="n"/>
      <c r="BA20" s="282" t="n"/>
      <c r="BC20" s="266" t="n"/>
      <c r="BD20" s="266" t="n"/>
      <c r="BE20" s="272" t="n"/>
      <c r="BF20" s="266" t="n"/>
      <c r="BG20" s="272" t="n"/>
      <c r="BH20" s="266" t="n"/>
      <c r="BI20" s="266" t="n"/>
      <c r="BK20" s="287" t="n"/>
    </row>
    <row r="21" ht="22.7" customHeight="1" s="140">
      <c r="A21" s="265" t="inlineStr">
        <is>
          <t>P.A</t>
        </is>
      </c>
      <c r="B21" s="266" t="n">
        <v>14</v>
      </c>
      <c r="C21" s="267" t="inlineStr">
        <is>
          <t>PLAY ROOM</t>
        </is>
      </c>
      <c r="D21" s="268" t="n"/>
      <c r="E21" s="266" t="n"/>
      <c r="F21" s="266" t="n"/>
      <c r="G21" s="270" t="n"/>
      <c r="H21" s="270" t="n"/>
      <c r="I21" s="270" t="n"/>
      <c r="J21" s="268" t="n"/>
      <c r="K21" s="266" t="n"/>
      <c r="L21" s="270" t="n"/>
      <c r="N21" s="266" t="n"/>
      <c r="O21" s="266" t="n"/>
      <c r="P21" s="266" t="n"/>
      <c r="Q21" s="272" t="n"/>
      <c r="R21" s="280" t="n"/>
      <c r="S21" s="266" t="n"/>
      <c r="T21" s="274" t="n"/>
      <c r="V21" s="266" t="n"/>
      <c r="W21" s="266" t="n"/>
      <c r="X21" s="266" t="n"/>
      <c r="Y21" s="271" t="n"/>
      <c r="Z21" s="266" t="n"/>
      <c r="AA21" s="266" t="n"/>
      <c r="AB21" s="266" t="n"/>
      <c r="AC21" s="266" t="n"/>
      <c r="AD21" s="266" t="n"/>
      <c r="AE21" s="266" t="n"/>
      <c r="AF21" s="266" t="n"/>
      <c r="AG21" s="271" t="n"/>
      <c r="AH21" s="269" t="n"/>
      <c r="AI21" s="267" t="n"/>
      <c r="AJ21" s="267" t="n"/>
      <c r="AK21" s="269" t="n"/>
      <c r="AM21" s="275" t="n"/>
      <c r="AN21" s="269" t="n"/>
      <c r="AO21" s="266" t="n"/>
      <c r="AP21" s="269" t="n"/>
      <c r="AQ21" s="275" t="n"/>
      <c r="AR21" s="275" t="n"/>
      <c r="AS21" s="270" t="n"/>
      <c r="AU21" s="266" t="n"/>
      <c r="AV21" s="266" t="n"/>
      <c r="AW21" s="272" t="n"/>
      <c r="AY21" s="282" t="n"/>
      <c r="AZ21" s="282" t="n"/>
      <c r="BA21" s="282" t="n"/>
      <c r="BC21" s="266" t="n"/>
      <c r="BD21" s="266" t="n"/>
      <c r="BE21" s="272" t="n"/>
      <c r="BF21" s="266" t="n"/>
      <c r="BG21" s="272" t="n"/>
      <c r="BH21" s="266" t="n"/>
      <c r="BI21" s="266" t="n"/>
      <c r="BK21" s="287" t="n"/>
    </row>
    <row r="22" ht="22.7" customHeight="1" s="140">
      <c r="A22" s="265" t="inlineStr">
        <is>
          <t>P.A</t>
        </is>
      </c>
      <c r="B22" s="266" t="n">
        <v>15</v>
      </c>
      <c r="C22" s="267" t="inlineStr">
        <is>
          <t>DORMITORIO</t>
        </is>
      </c>
      <c r="D22" s="268" t="n"/>
      <c r="E22" s="266" t="n"/>
      <c r="F22" s="266" t="n"/>
      <c r="G22" s="270" t="n"/>
      <c r="H22" s="270" t="n"/>
      <c r="I22" s="270" t="n"/>
      <c r="J22" s="268" t="n"/>
      <c r="K22" s="266" t="n"/>
      <c r="L22" s="270" t="n"/>
      <c r="N22" s="266" t="n"/>
      <c r="O22" s="266" t="n"/>
      <c r="P22" s="266" t="n"/>
      <c r="Q22" s="272" t="n"/>
      <c r="R22" s="280" t="n"/>
      <c r="S22" s="266" t="n"/>
      <c r="T22" s="274" t="n"/>
      <c r="V22" s="266" t="n"/>
      <c r="W22" s="266" t="n"/>
      <c r="X22" s="266" t="n"/>
      <c r="Y22" s="271" t="n"/>
      <c r="Z22" s="266" t="n"/>
      <c r="AA22" s="266" t="n"/>
      <c r="AB22" s="266" t="n"/>
      <c r="AC22" s="266" t="n"/>
      <c r="AD22" s="266" t="n"/>
      <c r="AE22" s="266" t="n"/>
      <c r="AF22" s="266" t="n"/>
      <c r="AG22" s="271" t="n"/>
      <c r="AH22" s="270" t="n"/>
      <c r="AI22" s="286" t="n"/>
      <c r="AJ22" s="286" t="n"/>
      <c r="AK22" s="270" t="n"/>
      <c r="AM22" s="275" t="n"/>
      <c r="AN22" s="270" t="n"/>
      <c r="AO22" s="270" t="n"/>
      <c r="AP22" s="270" t="n"/>
      <c r="AQ22" s="266" t="n"/>
      <c r="AR22" s="266" t="n"/>
      <c r="AS22" s="270" t="n"/>
      <c r="AU22" s="266" t="n"/>
      <c r="AV22" s="266" t="n"/>
      <c r="AW22" s="272" t="n"/>
      <c r="AY22" s="282" t="n"/>
      <c r="AZ22" s="282" t="n"/>
      <c r="BA22" s="282" t="n"/>
      <c r="BC22" s="266" t="n"/>
      <c r="BD22" s="266" t="n"/>
      <c r="BE22" s="272" t="n"/>
      <c r="BF22" s="266" t="n"/>
      <c r="BG22" s="272" t="n"/>
      <c r="BH22" s="266" t="n"/>
      <c r="BI22" s="266" t="n"/>
      <c r="BK22" s="287" t="n"/>
    </row>
    <row r="23" ht="22.7" customHeight="1" s="140">
      <c r="A23" s="265" t="inlineStr">
        <is>
          <t>P.A</t>
        </is>
      </c>
      <c r="B23" s="266" t="n">
        <v>16</v>
      </c>
      <c r="C23" s="267" t="inlineStr">
        <is>
          <t>ANTEBAÑO</t>
        </is>
      </c>
      <c r="D23" s="268" t="n"/>
      <c r="E23" s="266" t="n"/>
      <c r="F23" s="266" t="n"/>
      <c r="G23" s="270" t="n"/>
      <c r="H23" s="270" t="n"/>
      <c r="I23" s="270" t="n"/>
      <c r="J23" s="268" t="n"/>
      <c r="K23" s="266" t="n"/>
      <c r="L23" s="270" t="n"/>
      <c r="N23" s="266" t="n"/>
      <c r="O23" s="266" t="n"/>
      <c r="P23" s="266" t="n"/>
      <c r="Q23" s="272" t="n"/>
      <c r="R23" s="280" t="n"/>
      <c r="S23" s="266" t="n"/>
      <c r="T23" s="274" t="n"/>
      <c r="V23" s="266" t="n"/>
      <c r="W23" s="266" t="n"/>
      <c r="X23" s="266" t="n"/>
      <c r="Y23" s="271" t="n"/>
      <c r="Z23" s="266" t="n"/>
      <c r="AA23" s="266" t="n"/>
      <c r="AB23" s="266" t="n"/>
      <c r="AC23" s="266" t="n"/>
      <c r="AD23" s="266" t="n"/>
      <c r="AE23" s="266" t="n"/>
      <c r="AF23" s="266" t="n"/>
      <c r="AG23" s="271" t="n"/>
      <c r="AH23" s="270" t="n"/>
      <c r="AI23" s="286" t="n"/>
      <c r="AJ23" s="267" t="n"/>
      <c r="AK23" s="270" t="n"/>
      <c r="AM23" s="275" t="n"/>
      <c r="AN23" s="269" t="n"/>
      <c r="AO23" s="269" t="n"/>
      <c r="AP23" s="270" t="n"/>
      <c r="AQ23" s="266" t="n"/>
      <c r="AR23" s="266" t="n"/>
      <c r="AS23" s="270" t="n"/>
      <c r="AU23" s="266" t="n"/>
      <c r="AV23" s="270" t="n"/>
      <c r="AW23" s="275" t="n"/>
      <c r="AY23" s="282" t="n"/>
      <c r="AZ23" s="281" t="n"/>
      <c r="BA23" s="282" t="n"/>
      <c r="BC23" s="266" t="n"/>
      <c r="BD23" s="266" t="n"/>
      <c r="BE23" s="275" t="n"/>
      <c r="BF23" s="266" t="n"/>
      <c r="BG23" s="275" t="n"/>
      <c r="BH23" s="266" t="n"/>
      <c r="BI23" s="266" t="n"/>
      <c r="BK23" s="288" t="n"/>
    </row>
    <row r="24" ht="22.7" customHeight="1" s="140">
      <c r="A24" s="265" t="inlineStr">
        <is>
          <t>P.A</t>
        </is>
      </c>
      <c r="B24" s="266" t="n">
        <v>17</v>
      </c>
      <c r="C24" s="267" t="inlineStr">
        <is>
          <t>BAÑO</t>
        </is>
      </c>
      <c r="D24" s="268" t="n"/>
      <c r="E24" s="275" t="n"/>
      <c r="F24" s="266" t="n"/>
      <c r="G24" s="270" t="n"/>
      <c r="H24" s="270" t="n"/>
      <c r="I24" s="270" t="n"/>
      <c r="J24" s="268" t="n"/>
      <c r="K24" s="275" t="n"/>
      <c r="L24" s="270" t="n"/>
      <c r="N24" s="270" t="n"/>
      <c r="O24" s="266" t="n"/>
      <c r="P24" s="266" t="n"/>
      <c r="Q24" s="266" t="n"/>
      <c r="R24" s="280" t="n"/>
      <c r="S24" s="266" t="n"/>
      <c r="T24" s="266" t="n"/>
      <c r="V24" s="266" t="n"/>
      <c r="W24" s="270" t="n"/>
      <c r="X24" s="266" t="n"/>
      <c r="Y24" s="271" t="n"/>
      <c r="Z24" s="266" t="n"/>
      <c r="AA24" s="270" t="n"/>
      <c r="AB24" s="266" t="n"/>
      <c r="AC24" s="266" t="n"/>
      <c r="AD24" s="266" t="n"/>
      <c r="AE24" s="266" t="n"/>
      <c r="AF24" s="270" t="n"/>
      <c r="AG24" s="271" t="n"/>
      <c r="AH24" s="266" t="n"/>
      <c r="AI24" s="286" t="n"/>
      <c r="AJ24" s="286" t="n"/>
      <c r="AK24" s="266" t="n"/>
      <c r="AM24" s="266" t="n"/>
      <c r="AN24" s="266" t="n"/>
      <c r="AO24" s="272" t="n"/>
      <c r="AP24" s="270" t="n"/>
      <c r="AQ24" s="266" t="n"/>
      <c r="AR24" s="266" t="n"/>
      <c r="AS24" s="270" t="n"/>
      <c r="AU24" s="266" t="n"/>
      <c r="AV24" s="269" t="n"/>
      <c r="AW24" s="266" t="n"/>
      <c r="AY24" s="282" t="n"/>
      <c r="AZ24" s="281" t="n"/>
      <c r="BA24" s="282" t="n"/>
      <c r="BC24" s="266" t="n"/>
      <c r="BD24" s="272" t="n"/>
      <c r="BE24" s="266" t="n"/>
      <c r="BF24" s="266" t="n"/>
      <c r="BG24" s="266" t="n"/>
      <c r="BH24" s="266" t="n"/>
      <c r="BI24" s="266" t="n"/>
      <c r="BK24" s="287" t="n"/>
    </row>
    <row r="25" ht="22.7" customHeight="1" s="140">
      <c r="A25" s="265" t="inlineStr">
        <is>
          <t>P.AZ</t>
        </is>
      </c>
      <c r="B25" s="266" t="n">
        <v>18</v>
      </c>
      <c r="C25" s="267" t="inlineStr">
        <is>
          <t>AZOTEA</t>
        </is>
      </c>
      <c r="D25" s="268" t="n"/>
      <c r="E25" s="266" t="n"/>
      <c r="F25" s="266" t="n"/>
      <c r="G25" s="266" t="n"/>
      <c r="H25" s="266" t="n"/>
      <c r="I25" s="266" t="n"/>
      <c r="J25" s="268" t="n"/>
      <c r="K25" s="266" t="n"/>
      <c r="L25" s="270" t="n"/>
      <c r="N25" s="266" t="n"/>
      <c r="O25" s="266" t="n"/>
      <c r="P25" s="266" t="n"/>
      <c r="Q25" s="266" t="n"/>
      <c r="R25" s="280" t="n"/>
      <c r="S25" s="266" t="n"/>
      <c r="T25" s="266" t="n"/>
      <c r="V25" s="266" t="n"/>
      <c r="W25" s="266" t="n"/>
      <c r="X25" s="266" t="n"/>
      <c r="Y25" s="271" t="n"/>
      <c r="Z25" s="266" t="n"/>
      <c r="AA25" s="266" t="n"/>
      <c r="AB25" s="266" t="n"/>
      <c r="AC25" s="266" t="n"/>
      <c r="AD25" s="266" t="n"/>
      <c r="AE25" s="266" t="n"/>
      <c r="AF25" s="266" t="n"/>
      <c r="AG25" s="271" t="n"/>
      <c r="AH25" s="266" t="n"/>
      <c r="AI25" s="266" t="n"/>
      <c r="AJ25" s="267" t="n"/>
      <c r="AK25" s="266" t="n"/>
      <c r="AM25" s="266" t="n"/>
      <c r="AN25" s="266" t="n"/>
      <c r="AO25" s="266" t="n"/>
      <c r="AP25" s="266" t="n"/>
      <c r="AQ25" s="266" t="n"/>
      <c r="AR25" s="266" t="n"/>
      <c r="AS25" s="266" t="n"/>
      <c r="AU25" s="266" t="n"/>
      <c r="AV25" s="266" t="n"/>
      <c r="AW25" s="266" t="n"/>
      <c r="AY25" s="282" t="n"/>
      <c r="AZ25" s="282" t="n"/>
      <c r="BA25" s="282" t="n"/>
      <c r="BC25" s="266" t="n"/>
      <c r="BD25" s="266" t="n"/>
      <c r="BE25" s="266" t="n"/>
      <c r="BF25" s="266" t="n"/>
      <c r="BG25" s="266" t="n"/>
      <c r="BH25" s="266" t="n"/>
      <c r="BI25" s="266" t="n"/>
      <c r="BK25" s="287" t="n"/>
    </row>
    <row r="26" ht="22.7" customHeight="1" s="140">
      <c r="A26" s="265" t="inlineStr">
        <is>
          <t>F.SE</t>
        </is>
      </c>
      <c r="B26" s="266" t="n">
        <v>19</v>
      </c>
      <c r="C26" s="267" t="inlineStr">
        <is>
          <t>FACHADA FRENTE</t>
        </is>
      </c>
      <c r="D26" s="268" t="n"/>
      <c r="E26" s="269" t="n"/>
      <c r="F26" s="269" t="n"/>
      <c r="G26" s="266" t="n"/>
      <c r="H26" s="269" t="n"/>
      <c r="I26" s="269" t="n"/>
      <c r="J26" s="268" t="n"/>
      <c r="K26" s="266" t="n"/>
      <c r="L26" s="266" t="n"/>
      <c r="N26" s="266" t="n"/>
      <c r="O26" s="266" t="n"/>
      <c r="P26" s="266" t="n"/>
      <c r="Q26" s="266" t="n"/>
      <c r="R26" s="280" t="n"/>
      <c r="S26" s="266" t="n"/>
      <c r="T26" s="266" t="n"/>
      <c r="V26" s="270" t="n"/>
      <c r="W26" s="266" t="n"/>
      <c r="X26" s="266" t="n"/>
      <c r="Y26" s="271" t="n"/>
      <c r="Z26" s="266" t="n"/>
      <c r="AA26" s="266" t="n"/>
      <c r="AB26" s="266" t="n"/>
      <c r="AC26" s="266" t="n"/>
      <c r="AD26" s="266" t="n"/>
      <c r="AE26" s="266" t="n"/>
      <c r="AF26" s="266" t="n"/>
      <c r="AG26" s="271" t="n"/>
      <c r="AH26" s="266" t="n"/>
      <c r="AI26" s="266" t="n"/>
      <c r="AJ26" s="267" t="n"/>
      <c r="AK26" s="266" t="n"/>
      <c r="AM26" s="270" t="n"/>
      <c r="AN26" s="266" t="n"/>
      <c r="AO26" s="266" t="n"/>
      <c r="AP26" s="266" t="n"/>
      <c r="AQ26" s="266" t="n"/>
      <c r="AR26" s="266" t="n"/>
      <c r="AS26" s="266" t="n"/>
      <c r="AU26" s="266" t="n"/>
      <c r="AV26" s="266" t="n"/>
      <c r="AW26" s="266" t="n"/>
      <c r="AY26" s="282" t="n"/>
      <c r="AZ26" s="282" t="n"/>
      <c r="BA26" s="282" t="n"/>
      <c r="BC26" s="266" t="n"/>
      <c r="BD26" s="266" t="n"/>
      <c r="BE26" s="266" t="n"/>
      <c r="BF26" s="266" t="n"/>
      <c r="BG26" s="266" t="n"/>
      <c r="BH26" s="266" t="n"/>
      <c r="BI26" s="266" t="n"/>
      <c r="BK26" s="287" t="n"/>
    </row>
    <row r="27" ht="22.7" customHeight="1" s="140">
      <c r="A27" s="265" t="inlineStr">
        <is>
          <t>F.NO</t>
        </is>
      </c>
      <c r="B27" s="266" t="n">
        <v>20</v>
      </c>
      <c r="C27" s="267" t="inlineStr">
        <is>
          <t>FACHADA CONTRAFRENTE</t>
        </is>
      </c>
      <c r="D27" s="268" t="n"/>
      <c r="E27" s="269" t="n"/>
      <c r="F27" s="269" t="n"/>
      <c r="G27" s="266" t="n"/>
      <c r="H27" s="269" t="n"/>
      <c r="I27" s="269" t="n"/>
      <c r="J27" s="268" t="n"/>
      <c r="K27" s="266" t="n"/>
      <c r="L27" s="266" t="n"/>
      <c r="M27" s="289" t="n"/>
      <c r="N27" s="266" t="n"/>
      <c r="O27" s="266" t="n"/>
      <c r="P27" s="266" t="n"/>
      <c r="Q27" s="266" t="n"/>
      <c r="R27" s="289" t="n"/>
      <c r="S27" s="266" t="n"/>
      <c r="T27" s="266" t="n"/>
      <c r="U27" s="271" t="n"/>
      <c r="V27" s="270" t="n"/>
      <c r="W27" s="266" t="n"/>
      <c r="X27" s="266" t="n"/>
      <c r="Y27" s="271" t="n"/>
      <c r="Z27" s="266" t="n"/>
      <c r="AA27" s="266" t="n"/>
      <c r="AB27" s="266" t="n"/>
      <c r="AC27" s="266" t="n"/>
      <c r="AD27" s="266" t="n"/>
      <c r="AE27" s="266" t="n"/>
      <c r="AF27" s="266" t="n"/>
      <c r="AG27" s="271" t="n"/>
      <c r="AH27" s="266" t="n"/>
      <c r="AI27" s="266" t="n"/>
      <c r="AJ27" s="267" t="n"/>
      <c r="AK27" s="266" t="n"/>
      <c r="AL27" s="271" t="n"/>
      <c r="AM27" s="270" t="n"/>
      <c r="AN27" s="266" t="n"/>
      <c r="AO27" s="266" t="n"/>
      <c r="AP27" s="266" t="n"/>
      <c r="AQ27" s="266" t="n"/>
      <c r="AR27" s="266" t="n"/>
      <c r="AS27" s="266" t="n"/>
      <c r="AT27" s="271" t="n"/>
      <c r="AU27" s="266" t="n"/>
      <c r="AV27" s="266" t="n"/>
      <c r="AW27" s="266" t="n"/>
      <c r="AX27" s="289" t="n"/>
      <c r="AY27" s="282" t="n"/>
      <c r="AZ27" s="282" t="n"/>
      <c r="BA27" s="282" t="n"/>
      <c r="BB27" s="289" t="n"/>
      <c r="BC27" s="266" t="n"/>
      <c r="BD27" s="266" t="n"/>
      <c r="BE27" s="266" t="n"/>
      <c r="BF27" s="266" t="n"/>
      <c r="BG27" s="266" t="n"/>
      <c r="BH27" s="266" t="n"/>
      <c r="BI27" s="266" t="n"/>
      <c r="BJ27" s="271" t="n"/>
      <c r="BK27" s="287" t="n"/>
    </row>
    <row r="28" ht="22.7" customHeight="1" s="140">
      <c r="A28" s="265" t="inlineStr">
        <is>
          <t>F.NE</t>
        </is>
      </c>
      <c r="B28" s="266" t="n">
        <v>21</v>
      </c>
      <c r="C28" s="267" t="inlineStr">
        <is>
          <t xml:space="preserve">FACHADA LATERAL </t>
        </is>
      </c>
      <c r="D28" s="268" t="n"/>
      <c r="E28" s="269" t="n"/>
      <c r="F28" s="269" t="n"/>
      <c r="G28" s="266" t="n"/>
      <c r="H28" s="269" t="n"/>
      <c r="I28" s="269" t="n"/>
      <c r="J28" s="268" t="n"/>
      <c r="K28" s="266" t="n"/>
      <c r="L28" s="266" t="n"/>
      <c r="M28" s="289" t="n"/>
      <c r="N28" s="266" t="n"/>
      <c r="O28" s="266" t="n"/>
      <c r="P28" s="266" t="n"/>
      <c r="Q28" s="266" t="n"/>
      <c r="R28" s="289" t="n"/>
      <c r="S28" s="266" t="n"/>
      <c r="T28" s="266" t="n"/>
      <c r="U28" s="271" t="n"/>
      <c r="V28" s="270" t="n"/>
      <c r="W28" s="266" t="n"/>
      <c r="X28" s="266" t="n"/>
      <c r="Y28" s="271" t="n"/>
      <c r="Z28" s="266" t="n"/>
      <c r="AA28" s="266" t="n"/>
      <c r="AB28" s="266" t="n"/>
      <c r="AC28" s="266" t="n"/>
      <c r="AD28" s="266" t="n"/>
      <c r="AE28" s="266" t="n"/>
      <c r="AF28" s="266" t="n"/>
      <c r="AG28" s="271" t="n"/>
      <c r="AH28" s="266" t="n"/>
      <c r="AI28" s="266" t="n"/>
      <c r="AJ28" s="267" t="n"/>
      <c r="AK28" s="266" t="n"/>
      <c r="AL28" s="271" t="n"/>
      <c r="AM28" s="270" t="n"/>
      <c r="AN28" s="266" t="n"/>
      <c r="AO28" s="266" t="n"/>
      <c r="AP28" s="266" t="n"/>
      <c r="AQ28" s="266" t="n"/>
      <c r="AR28" s="266" t="n"/>
      <c r="AS28" s="266" t="n"/>
      <c r="AT28" s="271" t="n"/>
      <c r="AU28" s="266" t="n"/>
      <c r="AV28" s="266" t="n"/>
      <c r="AW28" s="270" t="n"/>
      <c r="AX28" s="289" t="n"/>
      <c r="AY28" s="282" t="n"/>
      <c r="AZ28" s="282" t="n"/>
      <c r="BA28" s="282" t="n"/>
      <c r="BB28" s="289" t="n"/>
      <c r="BC28" s="266" t="n"/>
      <c r="BD28" s="266" t="n"/>
      <c r="BE28" s="266" t="n"/>
      <c r="BF28" s="266" t="n"/>
      <c r="BG28" s="266" t="n"/>
      <c r="BH28" s="266" t="n"/>
      <c r="BI28" s="266" t="n"/>
      <c r="BJ28" s="271" t="n"/>
      <c r="BK28" s="287" t="n"/>
    </row>
    <row r="29" ht="22.7" customHeight="1" s="140">
      <c r="A29" s="265" t="inlineStr">
        <is>
          <t>F.SO</t>
        </is>
      </c>
      <c r="B29" s="266" t="n">
        <v>22</v>
      </c>
      <c r="C29" s="267" t="inlineStr">
        <is>
          <t xml:space="preserve">FACHADA LATERAL </t>
        </is>
      </c>
      <c r="D29" s="268" t="n"/>
      <c r="E29" s="269" t="n"/>
      <c r="F29" s="269" t="n"/>
      <c r="G29" s="266" t="n"/>
      <c r="H29" s="269" t="n"/>
      <c r="I29" s="269" t="n"/>
      <c r="J29" s="268" t="n"/>
      <c r="K29" s="266" t="n"/>
      <c r="L29" s="266" t="n"/>
      <c r="M29" s="289" t="n"/>
      <c r="N29" s="266" t="n"/>
      <c r="O29" s="266" t="n"/>
      <c r="P29" s="266" t="n"/>
      <c r="Q29" s="266" t="n"/>
      <c r="R29" s="289" t="n"/>
      <c r="S29" s="266" t="n"/>
      <c r="T29" s="266" t="n"/>
      <c r="U29" s="271" t="n"/>
      <c r="V29" s="270" t="n"/>
      <c r="W29" s="266" t="n"/>
      <c r="X29" s="266" t="n"/>
      <c r="Y29" s="271" t="n"/>
      <c r="Z29" s="266" t="n"/>
      <c r="AA29" s="266" t="n"/>
      <c r="AB29" s="266" t="n"/>
      <c r="AC29" s="266" t="n"/>
      <c r="AD29" s="266" t="n"/>
      <c r="AE29" s="266" t="n"/>
      <c r="AF29" s="266" t="n"/>
      <c r="AG29" s="271" t="n"/>
      <c r="AH29" s="266" t="n"/>
      <c r="AI29" s="266" t="n"/>
      <c r="AJ29" s="267" t="n"/>
      <c r="AK29" s="266" t="n"/>
      <c r="AL29" s="271" t="n"/>
      <c r="AM29" s="270" t="n"/>
      <c r="AN29" s="266" t="n"/>
      <c r="AO29" s="266" t="n"/>
      <c r="AP29" s="266" t="n"/>
      <c r="AQ29" s="266" t="n"/>
      <c r="AR29" s="266" t="n"/>
      <c r="AS29" s="266" t="n"/>
      <c r="AT29" s="271" t="n"/>
      <c r="AU29" s="266" t="n"/>
      <c r="AV29" s="266" t="n"/>
      <c r="AW29" s="270" t="n"/>
      <c r="AX29" s="289" t="n"/>
      <c r="AY29" s="282" t="n"/>
      <c r="AZ29" s="282" t="n"/>
      <c r="BA29" s="282" t="n"/>
      <c r="BB29" s="289" t="n"/>
      <c r="BC29" s="266" t="n"/>
      <c r="BD29" s="266" t="n"/>
      <c r="BE29" s="266" t="n"/>
      <c r="BF29" s="266" t="n"/>
      <c r="BG29" s="266" t="n"/>
      <c r="BH29" s="266" t="n"/>
      <c r="BI29" s="266" t="n"/>
      <c r="BJ29" s="271" t="n"/>
      <c r="BK29" s="287" t="n"/>
    </row>
    <row r="30" ht="15" customHeight="1" s="140">
      <c r="AL30" s="139" t="n"/>
    </row>
  </sheetData>
  <mergeCells count="24">
    <mergeCell ref="R8:R26"/>
    <mergeCell ref="A1:BK1"/>
    <mergeCell ref="M5:Q5"/>
    <mergeCell ref="U5:X5"/>
    <mergeCell ref="AX5:BA5"/>
    <mergeCell ref="Y5:AF5"/>
    <mergeCell ref="BB8:BB26"/>
    <mergeCell ref="BB5:BI5"/>
    <mergeCell ref="A3:BK3"/>
    <mergeCell ref="AT8:AT26"/>
    <mergeCell ref="D5:I5"/>
    <mergeCell ref="R5:T5"/>
    <mergeCell ref="BJ8:BJ26"/>
    <mergeCell ref="AL5:AS5"/>
    <mergeCell ref="A4:BK4"/>
    <mergeCell ref="AT5:AW5"/>
    <mergeCell ref="J5:L5"/>
    <mergeCell ref="A5:C6"/>
    <mergeCell ref="U8:U26"/>
    <mergeCell ref="AL8:AL26"/>
    <mergeCell ref="M8:M26"/>
    <mergeCell ref="AG5:AK5"/>
    <mergeCell ref="AX8:AX26"/>
    <mergeCell ref="BJ5:BK5"/>
  </mergeCells>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Roman,Normal"&amp;12 &amp;Kffffff&amp;A</oddHeader>
    <oddFooter>&amp;C&amp;"Times New Roman,Normal"&amp;12 &amp;KffffffPágina &amp;P</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B2:H31"/>
  <sheetViews>
    <sheetView showFormulas="0" showGridLines="1" showRowColHeaders="1" showZeros="1" rightToLeft="0" tabSelected="0" showOutlineSymbols="1" defaultGridColor="1" view="normal" topLeftCell="A1" colorId="64" zoomScale="124" zoomScaleNormal="124" zoomScalePageLayoutView="100" workbookViewId="0">
      <selection pane="topLeft" activeCell="H25" activeCellId="0" sqref="H25"/>
    </sheetView>
  </sheetViews>
  <sheetFormatPr baseColWidth="8" defaultColWidth="11.5703125" defaultRowHeight="15" customHeight="0" zeroHeight="0" outlineLevelRow="0"/>
  <cols>
    <col width="3.71" customWidth="1" style="290" min="1" max="1"/>
    <col width="77.56999999999999" customWidth="1" style="291" min="2" max="2"/>
    <col width="11.57" customWidth="1" style="292" min="3" max="3"/>
    <col width="13.71" customWidth="1" style="292" min="4" max="5"/>
    <col width="11.57" customWidth="1" style="292" min="6" max="6"/>
    <col width="61.15" customWidth="1" style="291" min="7" max="7"/>
    <col width="11.57" customWidth="1" style="290" min="8" max="16384"/>
  </cols>
  <sheetData>
    <row r="2" ht="26.25" customHeight="1" s="140">
      <c r="B2" s="293" t="inlineStr">
        <is>
          <t>Falta completar</t>
        </is>
      </c>
      <c r="F2" s="292" t="inlineStr">
        <is>
          <t>ESTADO</t>
        </is>
      </c>
      <c r="G2" s="291" t="inlineStr">
        <is>
          <t>NOTAS</t>
        </is>
      </c>
    </row>
    <row r="3" ht="16.5" customHeight="1" s="140">
      <c r="B3" s="291" t="inlineStr">
        <is>
          <t>Reordenamiento urbanístico</t>
        </is>
      </c>
      <c r="C3" s="294" t="n"/>
      <c r="F3" s="295" t="n"/>
      <c r="G3" s="296" t="inlineStr">
        <is>
          <t>lo copie en el archivo de M2 en  geometrales y arme la lamina</t>
        </is>
      </c>
    </row>
    <row r="4" ht="16.5" customHeight="1" s="140">
      <c r="B4" s="291" t="inlineStr">
        <is>
          <t>​Replanteo</t>
        </is>
      </c>
      <c r="C4" s="297" t="n"/>
      <c r="F4" s="295" t="inlineStr">
        <is>
          <t>OK</t>
        </is>
      </c>
    </row>
    <row r="5" ht="16.5" customHeight="1" s="140">
      <c r="B5" s="291" t="inlineStr">
        <is>
          <t>​Estructura con detalles de muros</t>
        </is>
      </c>
      <c r="C5" s="297" t="n"/>
      <c r="F5" s="295" t="inlineStr">
        <is>
          <t>OK</t>
        </is>
      </c>
      <c r="G5" s="291" t="inlineStr">
        <is>
          <t>Estructura  recontra okno irian porque no hay muro portante</t>
        </is>
      </c>
    </row>
    <row r="6" ht="16.5" customHeight="1" s="140">
      <c r="B6" s="291" t="inlineStr">
        <is>
          <t>​Arquitectura con detalles de muros</t>
        </is>
      </c>
      <c r="C6" s="297" t="n"/>
      <c r="F6" s="295" t="inlineStr">
        <is>
          <t>OK</t>
        </is>
      </c>
      <c r="G6" s="291" t="inlineStr">
        <is>
          <t>A medias porque faltan los cortecitos pero está en marcha CAMBIAR A BRIMAX</t>
        </is>
      </c>
    </row>
    <row r="7" ht="16.5" customHeight="1" s="140">
      <c r="B7" s="291" t="inlineStr">
        <is>
          <t>​Fachadas con Planilla verificación transmisión térmica / Cerramientos transparentes</t>
        </is>
      </c>
      <c r="C7" s="294" t="n"/>
      <c r="E7" s="298" t="n"/>
      <c r="F7" s="295" t="n"/>
      <c r="G7" s="296" t="inlineStr">
        <is>
          <t>ya esta terminado</t>
        </is>
      </c>
    </row>
    <row r="8" ht="16.5" customHeight="1" s="140">
      <c r="B8" s="291" t="inlineStr">
        <is>
          <t>​Detalle constructivo 1:10 (3)</t>
        </is>
      </c>
      <c r="C8" s="297" t="n"/>
      <c r="G8" s="291" t="inlineStr">
        <is>
          <t>Esta el de MII y hay que agregar un par CAMBIAR A BRIMAX</t>
        </is>
      </c>
    </row>
    <row r="9" ht="16.5" customHeight="1" s="140">
      <c r="B9" s="291" t="inlineStr">
        <is>
          <t>​Calculo de Higrotermia de elementos constructivos (2 muros y azotea)</t>
        </is>
      </c>
      <c r="C9" s="299" t="n"/>
      <c r="G9" s="291" t="inlineStr">
        <is>
          <t>Debería encontrar los de MII</t>
        </is>
      </c>
    </row>
    <row r="10" ht="16.5" customHeight="1" s="140">
      <c r="B10" s="291" t="inlineStr">
        <is>
          <t>​Corte con instalación (cloacal)</t>
        </is>
      </c>
      <c r="C10" s="294" t="n"/>
      <c r="E10" s="298" t="n"/>
    </row>
    <row r="11" ht="16.5" customHeight="1" s="140">
      <c r="B11" s="291" t="inlineStr">
        <is>
          <t>​Corte con instalación (agua)</t>
        </is>
      </c>
      <c r="C11" s="294" t="n"/>
      <c r="E11" s="298" t="n"/>
    </row>
    <row r="12" ht="16.5" customHeight="1" s="140">
      <c r="B12" s="291" t="inlineStr">
        <is>
          <t>​Detalle de tanque</t>
        </is>
      </c>
      <c r="C12" s="297" t="n"/>
      <c r="G12" s="291" t="inlineStr">
        <is>
          <t>Lo meto en la instalación de agua que ya hice</t>
        </is>
      </c>
    </row>
    <row r="13" ht="16.5" customHeight="1" s="140">
      <c r="B13" s="291" t="inlineStr">
        <is>
          <t>​Gas / Detalle de medidor</t>
        </is>
      </c>
      <c r="C13" s="297" t="n"/>
      <c r="G13" s="291" t="inlineStr">
        <is>
          <t>Yo lo hago</t>
        </is>
      </c>
    </row>
    <row r="14" ht="16.5" customHeight="1" s="140">
      <c r="B14" s="291" t="inlineStr">
        <is>
          <t>​Calculo Balance térmico</t>
        </is>
      </c>
      <c r="C14" s="294" t="n"/>
      <c r="E14" s="298" t="n"/>
    </row>
    <row r="15" ht="16.5" customHeight="1" s="140">
      <c r="B15" s="291" t="inlineStr">
        <is>
          <t>​Desarrollo de baño</t>
        </is>
      </c>
      <c r="C15" s="294" t="n"/>
      <c r="D15" s="292" t="inlineStr">
        <is>
          <t>Baño en suite</t>
        </is>
      </c>
      <c r="F15" s="295" t="inlineStr">
        <is>
          <t>OK</t>
        </is>
      </c>
      <c r="G15" s="296" t="inlineStr">
        <is>
          <t>ya esta terminado</t>
        </is>
      </c>
    </row>
    <row r="16" ht="16.5" customHeight="1" s="140">
      <c r="B16" s="291" t="inlineStr">
        <is>
          <t>​Desarrollo de cocina</t>
        </is>
      </c>
      <c r="C16" s="294" t="n"/>
      <c r="F16" s="295" t="inlineStr">
        <is>
          <t>OK</t>
        </is>
      </c>
      <c r="G16" s="296" t="inlineStr">
        <is>
          <t>ya esta terminado</t>
        </is>
      </c>
    </row>
    <row r="17" ht="16.5" customHeight="1" s="140">
      <c r="B17" s="291" t="inlineStr">
        <is>
          <t>​Desarrollo de escalera</t>
        </is>
      </c>
      <c r="C17" s="299" t="n"/>
      <c r="D17" s="292" t="inlineStr">
        <is>
          <t>esta en PE2</t>
        </is>
      </c>
      <c r="F17" s="292" t="inlineStr">
        <is>
          <t>OK</t>
        </is>
      </c>
      <c r="G17" s="291" t="inlineStr">
        <is>
          <t>ESTA EN ARCHIVOS PLANILLA. LAMINA ARMADA. AGREGAR INFO</t>
        </is>
      </c>
    </row>
    <row r="18" ht="16.5" customHeight="1" s="140">
      <c r="B18" s="291" t="inlineStr">
        <is>
          <t>​Desarrollo de parrilla</t>
        </is>
      </c>
      <c r="C18" s="299" t="n"/>
      <c r="D18" s="292" t="inlineStr">
        <is>
          <t>esta en PE2</t>
        </is>
      </c>
      <c r="F18" s="292" t="inlineStr">
        <is>
          <t>OK</t>
        </is>
      </c>
      <c r="G18" s="291" t="inlineStr">
        <is>
          <t>ESTA EN ARCHIVOS PLANILLA. LAMINA ARMADA. AGREGAR INFO</t>
        </is>
      </c>
    </row>
    <row r="19" ht="16.5" customHeight="1" s="140">
      <c r="B19" s="291" t="inlineStr">
        <is>
          <t>​Medianería</t>
        </is>
      </c>
      <c r="C19" s="294" t="n"/>
      <c r="G19" s="291" t="inlineStr">
        <is>
          <t>CALCULAR CON UN SIMULACRO DE MEDIANERA</t>
        </is>
      </c>
    </row>
    <row r="20" ht="16.5" customHeight="1" s="140">
      <c r="B20" s="291" t="inlineStr">
        <is>
          <t>​Honorarios / Aportes profesionales</t>
        </is>
      </c>
      <c r="C20" s="299" t="n"/>
    </row>
    <row r="21" ht="16.5" customHeight="1" s="140">
      <c r="B21" s="291" t="inlineStr">
        <is>
          <t>​Planilla mobiliario</t>
        </is>
      </c>
      <c r="C21" s="294" t="n"/>
      <c r="E21" s="298" t="n"/>
      <c r="F21" s="295" t="n"/>
      <c r="G21" s="296" t="inlineStr">
        <is>
          <t>ya esta terminado</t>
        </is>
      </c>
    </row>
    <row r="22" ht="16.5" customHeight="1" s="140">
      <c r="B22" s="291" t="inlineStr">
        <is>
          <t>​Planilla de locales</t>
        </is>
      </c>
      <c r="C22" s="299" t="n"/>
      <c r="D22" s="292" t="inlineStr">
        <is>
          <t>esta en PE2</t>
        </is>
      </c>
      <c r="F22" s="295" t="inlineStr">
        <is>
          <t>OK</t>
        </is>
      </c>
      <c r="G22" s="291" t="inlineStr">
        <is>
          <t>Después veo como la imprimimos. Lo pase a la planilla de cálculos</t>
        </is>
      </c>
    </row>
    <row r="23" ht="16.5" customHeight="1" s="140">
      <c r="B23" s="291" t="inlineStr">
        <is>
          <t>​Planilla de locales</t>
        </is>
      </c>
      <c r="C23" s="294" t="n"/>
      <c r="E23" s="298" t="n"/>
      <c r="F23" s="295" t="inlineStr">
        <is>
          <t>OK</t>
        </is>
      </c>
      <c r="G23" s="291" t="inlineStr">
        <is>
          <t>Ya está impresa</t>
        </is>
      </c>
    </row>
    <row r="24" ht="16.5" customHeight="1" s="140">
      <c r="B24" s="291" t="inlineStr">
        <is>
          <t>Lamina instalación cloacal , tendido secundario, textos</t>
        </is>
      </c>
      <c r="G24" s="291" t="inlineStr">
        <is>
          <t>FALTAN TODAS LAS MEDIDAS</t>
        </is>
      </c>
      <c r="H24" s="292" t="n"/>
    </row>
    <row r="25" ht="16.5" customHeight="1" s="140">
      <c r="B25" s="291" t="inlineStr">
        <is>
          <t>Lamina instalación radiadores y terminar instalación</t>
        </is>
      </c>
      <c r="G25" s="291" t="inlineStr">
        <is>
          <t>FALTAN TODAS LAS MEDIDAS Y CALCULOS</t>
        </is>
      </c>
    </row>
    <row r="26" ht="16.5" customHeight="1" s="140">
      <c r="B26" s="291" t="inlineStr">
        <is>
          <t>Instalación electrica</t>
        </is>
      </c>
      <c r="C26" s="294" t="n"/>
      <c r="G26" s="291" t="inlineStr">
        <is>
          <t>FALTAN TEXTOS Y SEPARAR LOS CIRCUITOS</t>
        </is>
      </c>
    </row>
    <row r="27" ht="16.5" customHeight="1" s="140">
      <c r="B27" s="291" t="inlineStr">
        <is>
          <t>Instalación de gas . Faltan textos</t>
        </is>
      </c>
      <c r="C27" s="294" t="n"/>
      <c r="G27" s="291" t="inlineStr">
        <is>
          <t>FALTAN TODAS LAS MEDIDAS, DETALLE DE MEDIDOR</t>
        </is>
      </c>
    </row>
    <row r="28" ht="15" customHeight="1" s="140">
      <c r="B28" s="291" t="inlineStr">
        <is>
          <t>instalación de agua textos</t>
        </is>
      </c>
      <c r="G28" s="291" t="inlineStr">
        <is>
          <t>FALTAN TODAS LAS MEDIDAS</t>
        </is>
      </c>
    </row>
    <row r="29" ht="15" customHeight="1" s="140">
      <c r="B29" s="291" t="inlineStr">
        <is>
          <t>Planilla de mesadas</t>
        </is>
      </c>
      <c r="C29" s="294" t="n"/>
      <c r="F29" s="295" t="inlineStr">
        <is>
          <t>OK</t>
        </is>
      </c>
      <c r="G29" s="296" t="inlineStr">
        <is>
          <t>ya esta terminado</t>
        </is>
      </c>
    </row>
    <row r="30" ht="15" customHeight="1" s="140">
      <c r="B30" s="291" t="inlineStr">
        <is>
          <t>Planilla de Alfeizar</t>
        </is>
      </c>
      <c r="C30" s="294" t="n"/>
      <c r="F30" s="295" t="n"/>
      <c r="G30" s="296" t="inlineStr">
        <is>
          <t>lo copie en el archivo deM2 en geometrales y arme la lamina</t>
        </is>
      </c>
    </row>
    <row r="31" ht="15" customHeight="1" s="140">
      <c r="B31" s="291" t="inlineStr">
        <is>
          <t>Plano de permiso de obra</t>
        </is>
      </c>
      <c r="C31" s="294" t="n"/>
    </row>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Roman,Normal"&amp;12 &amp;Kffffff&amp;A</oddHeader>
    <oddFooter>&amp;C&amp;"Times New Roman,Normal"&amp;12 &amp;KffffffPágina &amp;P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18"/>
  <sheetViews>
    <sheetView showGridLines="0" workbookViewId="0">
      <pane xSplit="1" ySplit="3" topLeftCell="B4" activePane="bottomRight" state="frozen"/>
      <selection pane="topRight"/>
      <selection pane="bottomLeft"/>
      <selection pane="bottomRight" activeCell="A1" sqref="A1"/>
    </sheetView>
  </sheetViews>
  <sheetFormatPr baseColWidth="8" defaultColWidth="8.54296875" defaultRowHeight="15" customHeight="0" zeroHeight="0" outlineLevelRow="0"/>
  <cols>
    <col width="35.1" customWidth="1" style="140" min="1" max="1"/>
    <col width="12.2" customWidth="1" style="140" min="2" max="2"/>
    <col width="12.2" customWidth="1" style="140" min="3" max="3"/>
    <col width="13.5" customWidth="1" style="140" min="4" max="4"/>
    <col width="10.8" customWidth="1" style="140" min="5" max="5"/>
    <col width="16.2" customWidth="1" style="140" min="6" max="6"/>
    <col width="16.2" customWidth="1" style="140" min="7" max="7"/>
    <col width="10.8" customWidth="1" style="140" min="8" max="8"/>
    <col width="16.2" customWidth="1" style="140" min="9" max="9"/>
    <col width="16.2" customWidth="1" style="140" min="10" max="10"/>
    <col hidden="1" width="18.9" customWidth="1" style="140" min="11" max="11"/>
    <col hidden="1" width="54" customWidth="1" style="140" min="12" max="12"/>
  </cols>
  <sheetData>
    <row r="1" ht="39.7" customHeight="1" s="140">
      <c r="A1" s="300" t="inlineStr">
        <is>
          <t>PLANILLA DE ILUMINACION Y VENTILACION</t>
        </is>
      </c>
    </row>
    <row r="2" ht="19.85" customHeight="1" s="140">
      <c r="A2" s="301" t="inlineStr">
        <is>
          <t>Local</t>
        </is>
      </c>
      <c r="B2" s="301" t="inlineStr">
        <is>
          <t>(a)
Medidas</t>
        </is>
      </c>
      <c r="C2" s="301" t="inlineStr">
        <is>
          <t>(b)
Medidas</t>
        </is>
      </c>
      <c r="D2" s="301" t="inlineStr">
        <is>
          <t>(Area)
Medidas</t>
        </is>
      </c>
      <c r="E2" s="301" t="inlineStr">
        <is>
          <t>Iluminacion</t>
        </is>
      </c>
      <c r="F2" s="214" t="n"/>
      <c r="G2" s="232" t="n"/>
      <c r="H2" s="301" t="inlineStr">
        <is>
          <t>Ventilacion</t>
        </is>
      </c>
      <c r="I2" s="214" t="n"/>
      <c r="J2" s="232" t="n"/>
      <c r="K2" s="301" t="inlineStr">
        <is>
          <t>VERIFICACION</t>
        </is>
      </c>
      <c r="L2" s="301" t="inlineStr">
        <is>
          <t>OBSERVACIONES</t>
        </is>
      </c>
    </row>
    <row r="3" ht="19.85" customHeight="1" s="140">
      <c r="A3" s="302" t="n"/>
      <c r="B3" s="302" t="n"/>
      <c r="C3" s="302" t="n"/>
      <c r="D3" s="302" t="n"/>
      <c r="E3" s="303" t="inlineStr">
        <is>
          <t>Coef.</t>
        </is>
      </c>
      <c r="F3" s="303" t="inlineStr">
        <is>
          <t>Area requerida</t>
        </is>
      </c>
      <c r="G3" s="303" t="inlineStr">
        <is>
          <t>Area proyectada</t>
        </is>
      </c>
      <c r="H3" s="303" t="inlineStr">
        <is>
          <t>Coef.</t>
        </is>
      </c>
      <c r="I3" s="303" t="inlineStr">
        <is>
          <t>Area requerida</t>
        </is>
      </c>
      <c r="J3" s="303" t="inlineStr">
        <is>
          <t>Area proyectada</t>
        </is>
      </c>
      <c r="K3" s="302" t="n"/>
      <c r="L3" s="302" t="n"/>
    </row>
    <row r="4" ht="19.85" customHeight="1" s="140">
      <c r="A4" s="304" t="inlineStr">
        <is>
          <t>PB</t>
        </is>
      </c>
      <c r="B4" s="214" t="n"/>
      <c r="C4" s="214" t="n"/>
      <c r="D4" s="214" t="n"/>
      <c r="E4" s="214" t="n"/>
      <c r="F4" s="214" t="n"/>
      <c r="G4" s="214" t="n"/>
      <c r="H4" s="214" t="n"/>
      <c r="I4" s="214" t="n"/>
      <c r="J4" s="214" t="n"/>
      <c r="K4" s="214" t="n"/>
      <c r="L4" s="232" t="n"/>
    </row>
    <row r="5" ht="19.85" customHeight="1" s="140">
      <c r="A5" s="305" t="inlineStr">
        <is>
          <t>01 - Cocina / comedor</t>
        </is>
      </c>
      <c r="B5" s="306" t="n">
        <v>7.5</v>
      </c>
      <c r="C5" s="306" t="n">
        <v>3.5</v>
      </c>
      <c r="D5" s="306" t="n">
        <v>26.25</v>
      </c>
      <c r="E5" s="307" t="n">
        <v>9</v>
      </c>
      <c r="F5" s="306" t="n">
        <v>2.91666666666667</v>
      </c>
      <c r="G5" s="306" t="n">
        <v>16.95</v>
      </c>
      <c r="H5" s="307" t="inlineStr">
        <is>
          <t>i/3</t>
        </is>
      </c>
      <c r="I5" s="306" t="n">
        <v>0.972222222222222</v>
      </c>
      <c r="J5" s="306" t="n">
        <v>8.48</v>
      </c>
      <c r="K5" s="307" t="inlineStr">
        <is>
          <t>CUMPLE</t>
        </is>
      </c>
      <c r="L5" s="307" t="n"/>
    </row>
    <row r="6" ht="19.85" customHeight="1" s="140">
      <c r="A6" s="308" t="inlineStr">
        <is>
          <t>02 - Deposito</t>
        </is>
      </c>
      <c r="B6" s="306" t="n">
        <v>3.8</v>
      </c>
      <c r="C6" s="306" t="n">
        <v>3.1</v>
      </c>
      <c r="D6" s="306" t="n">
        <v>11.78</v>
      </c>
      <c r="E6" s="307" t="inlineStr">
        <is>
          <t>-</t>
        </is>
      </c>
      <c r="F6" s="306" t="inlineStr">
        <is>
          <t>-</t>
        </is>
      </c>
      <c r="G6" s="306" t="inlineStr">
        <is>
          <t>-</t>
        </is>
      </c>
      <c r="H6" s="307" t="inlineStr">
        <is>
          <t>-</t>
        </is>
      </c>
      <c r="I6" s="306" t="inlineStr">
        <is>
          <t>-</t>
        </is>
      </c>
      <c r="J6" s="306" t="inlineStr">
        <is>
          <t>-</t>
        </is>
      </c>
      <c r="K6" s="307" t="inlineStr">
        <is>
          <t>NO EXIGIBLE</t>
        </is>
      </c>
      <c r="L6" s="309" t="inlineStr">
        <is>
          <t>Local no habitable: el codigo no le exige iluminacion ni ventilacion natural. Si se lo considera habitable, hay que preverle conducto.</t>
        </is>
      </c>
    </row>
    <row r="7" ht="19.85" customHeight="1" s="140">
      <c r="A7" s="308" t="inlineStr">
        <is>
          <t>03 - Lavadero</t>
        </is>
      </c>
      <c r="B7" s="306" t="n">
        <v>3.5</v>
      </c>
      <c r="C7" s="306" t="n">
        <v>1.7</v>
      </c>
      <c r="D7" s="306" t="n">
        <v>5.95</v>
      </c>
      <c r="E7" s="307" t="n">
        <v>9</v>
      </c>
      <c r="F7" s="306" t="n">
        <v>0.661111111111111</v>
      </c>
      <c r="G7" s="306" t="n">
        <v>10.5</v>
      </c>
      <c r="H7" s="307" t="inlineStr">
        <is>
          <t>i/3</t>
        </is>
      </c>
      <c r="I7" s="306" t="n">
        <v>0.22037037037037</v>
      </c>
      <c r="J7" s="306" t="n">
        <v>1.6</v>
      </c>
      <c r="K7" s="307" t="inlineStr">
        <is>
          <t>CUMPLE</t>
        </is>
      </c>
      <c r="L7" s="307" t="n"/>
    </row>
    <row r="8" ht="19.85" customHeight="1" s="140">
      <c r="A8" s="308" t="inlineStr">
        <is>
          <t>06 - Living / comedor</t>
        </is>
      </c>
      <c r="B8" s="306" t="n">
        <v>8.4</v>
      </c>
      <c r="C8" s="306" t="n">
        <v>4</v>
      </c>
      <c r="D8" s="306" t="n">
        <v>33.6</v>
      </c>
      <c r="E8" s="307" t="n">
        <v>9</v>
      </c>
      <c r="F8" s="306" t="n">
        <v>3.73333333333333</v>
      </c>
      <c r="G8" s="306" t="n">
        <v>34.05</v>
      </c>
      <c r="H8" s="307" t="inlineStr">
        <is>
          <t>i/3</t>
        </is>
      </c>
      <c r="I8" s="306" t="n">
        <v>1.24444444444444</v>
      </c>
      <c r="J8" s="306" t="n">
        <v>15</v>
      </c>
      <c r="K8" s="307" t="inlineStr">
        <is>
          <t>CUMPLE</t>
        </is>
      </c>
      <c r="L8" s="307" t="n"/>
    </row>
    <row r="9" ht="19.85" customHeight="1" s="140">
      <c r="A9" s="308" t="inlineStr">
        <is>
          <t>07 - Hall / ingreso</t>
        </is>
      </c>
      <c r="B9" s="306" t="n">
        <v>3.5</v>
      </c>
      <c r="C9" s="306" t="n">
        <v>2.15</v>
      </c>
      <c r="D9" s="306" t="n">
        <v>7.525</v>
      </c>
      <c r="E9" s="307" t="n">
        <v>9</v>
      </c>
      <c r="F9" s="306" t="n">
        <v>0.836111111111111</v>
      </c>
      <c r="G9" s="306" t="n">
        <v>10.5</v>
      </c>
      <c r="H9" s="307" t="inlineStr">
        <is>
          <t>i/3</t>
        </is>
      </c>
      <c r="I9" s="306" t="n">
        <v>0.278703703703704</v>
      </c>
      <c r="J9" s="306" t="n">
        <v>1.6</v>
      </c>
      <c r="K9" s="307" t="inlineStr">
        <is>
          <t>CUMPLE</t>
        </is>
      </c>
      <c r="L9" s="309" t="inlineStr">
        <is>
          <t>CORREGIDO: la planilla original repetia los valores del local 03 (0,66 y 0,22). Con 7,53 m2 corresponden 0,84 y 0,28. Cumple igual.</t>
        </is>
      </c>
    </row>
    <row r="10" ht="19.85" customHeight="1" s="140">
      <c r="A10" s="308" t="inlineStr">
        <is>
          <t>09 - Dormitorio suite</t>
        </is>
      </c>
      <c r="B10" s="306" t="n">
        <v>3.5</v>
      </c>
      <c r="C10" s="306" t="n">
        <v>3.5</v>
      </c>
      <c r="D10" s="306" t="n">
        <v>12.25</v>
      </c>
      <c r="E10" s="307" t="n">
        <v>9</v>
      </c>
      <c r="F10" s="306" t="n">
        <v>1.36111111111111</v>
      </c>
      <c r="G10" s="306" t="n">
        <v>6</v>
      </c>
      <c r="H10" s="307" t="inlineStr">
        <is>
          <t>i/3</t>
        </is>
      </c>
      <c r="I10" s="306" t="n">
        <v>0.453703703703704</v>
      </c>
      <c r="J10" s="306" t="n">
        <v>3</v>
      </c>
      <c r="K10" s="307" t="inlineStr">
        <is>
          <t>CUMPLE</t>
        </is>
      </c>
      <c r="L10" s="307" t="n"/>
    </row>
    <row r="11" ht="19.85" customHeight="1" s="140">
      <c r="A11" s="308" t="inlineStr">
        <is>
          <t>10 - Bano suite</t>
        </is>
      </c>
      <c r="B11" s="306" t="n">
        <v>3.3</v>
      </c>
      <c r="C11" s="306" t="n">
        <v>1.7</v>
      </c>
      <c r="D11" s="306" t="n">
        <v>5.61</v>
      </c>
      <c r="E11" s="307" t="n">
        <v>9</v>
      </c>
      <c r="F11" s="306" t="n">
        <v>0.623333333333333</v>
      </c>
      <c r="G11" s="306" t="inlineStr">
        <is>
          <t>COND</t>
        </is>
      </c>
      <c r="H11" s="307" t="inlineStr">
        <is>
          <t>i/3</t>
        </is>
      </c>
      <c r="I11" s="306" t="n">
        <v>0.207777777777778</v>
      </c>
      <c r="J11" s="306" t="inlineStr">
        <is>
          <t>COND</t>
        </is>
      </c>
      <c r="K11" s="307" t="inlineStr">
        <is>
          <t>COND</t>
        </is>
      </c>
      <c r="L11" s="309" t="inlineStr">
        <is>
          <t>Sin ventana al exterior: se ventila por conducto o extraccion mecanica.</t>
        </is>
      </c>
    </row>
    <row r="12" ht="19.85" customHeight="1" s="140">
      <c r="A12" s="308" t="inlineStr">
        <is>
          <t>11 - Bano visita</t>
        </is>
      </c>
      <c r="B12" s="306" t="n">
        <v>2.4</v>
      </c>
      <c r="C12" s="306" t="n">
        <v>1.3</v>
      </c>
      <c r="D12" s="306" t="n">
        <v>3.12</v>
      </c>
      <c r="E12" s="307" t="n">
        <v>9</v>
      </c>
      <c r="F12" s="306" t="n">
        <v>0.346666666666667</v>
      </c>
      <c r="G12" s="306" t="inlineStr">
        <is>
          <t>COND</t>
        </is>
      </c>
      <c r="H12" s="307" t="inlineStr">
        <is>
          <t>i/3</t>
        </is>
      </c>
      <c r="I12" s="306" t="n">
        <v>0.115555555555556</v>
      </c>
      <c r="J12" s="306" t="inlineStr">
        <is>
          <t>COND</t>
        </is>
      </c>
      <c r="K12" s="307" t="inlineStr">
        <is>
          <t>COND</t>
        </is>
      </c>
      <c r="L12" s="309" t="inlineStr">
        <is>
          <t>Sin ventana al exterior: se ventila por conducto o extraccion mecanica.</t>
        </is>
      </c>
    </row>
    <row r="13" ht="19.85" customHeight="1" s="140">
      <c r="A13" s="308" t="inlineStr">
        <is>
          <t>12 - Bano exterior</t>
        </is>
      </c>
      <c r="B13" s="306" t="n">
        <v>1.9</v>
      </c>
      <c r="C13" s="306" t="n">
        <v>0.95</v>
      </c>
      <c r="D13" s="306" t="n">
        <v>1.805</v>
      </c>
      <c r="E13" s="307" t="n">
        <v>9</v>
      </c>
      <c r="F13" s="306" t="n">
        <v>0.200555555555556</v>
      </c>
      <c r="G13" s="306" t="inlineStr">
        <is>
          <t>COND</t>
        </is>
      </c>
      <c r="H13" s="307" t="inlineStr">
        <is>
          <t>i/3</t>
        </is>
      </c>
      <c r="I13" s="306" t="n">
        <v>0.0668518518518518</v>
      </c>
      <c r="J13" s="306" t="inlineStr">
        <is>
          <t>COND</t>
        </is>
      </c>
      <c r="K13" s="307" t="inlineStr">
        <is>
          <t>COND</t>
        </is>
      </c>
      <c r="L13" s="309" t="inlineStr">
        <is>
          <t>Sin ventana al exterior: se ventila por conducto o extraccion mecanica.</t>
        </is>
      </c>
    </row>
    <row r="14" ht="19.85" customHeight="1" s="140">
      <c r="A14" s="304" t="inlineStr">
        <is>
          <t>PA</t>
        </is>
      </c>
      <c r="B14" s="214" t="n"/>
      <c r="C14" s="214" t="n"/>
      <c r="D14" s="214" t="n"/>
      <c r="E14" s="214" t="n"/>
      <c r="F14" s="214" t="n"/>
      <c r="G14" s="214" t="n"/>
      <c r="H14" s="214" t="n"/>
      <c r="I14" s="214" t="n"/>
      <c r="J14" s="214" t="n"/>
      <c r="K14" s="214" t="n"/>
      <c r="L14" s="232" t="n"/>
    </row>
    <row r="15" ht="19.85" customHeight="1" s="140">
      <c r="A15" s="308" t="inlineStr">
        <is>
          <t>13 - Dormitorio 1</t>
        </is>
      </c>
      <c r="B15" s="306" t="n">
        <v>4.25</v>
      </c>
      <c r="C15" s="306" t="n">
        <v>4</v>
      </c>
      <c r="D15" s="306" t="n">
        <v>17</v>
      </c>
      <c r="E15" s="307" t="n">
        <v>9</v>
      </c>
      <c r="F15" s="306" t="n">
        <v>1.88888888888889</v>
      </c>
      <c r="G15" s="306" t="n">
        <v>8.75</v>
      </c>
      <c r="H15" s="307" t="inlineStr">
        <is>
          <t>i/3</t>
        </is>
      </c>
      <c r="I15" s="306" t="n">
        <v>0.62962962962963</v>
      </c>
      <c r="J15" s="306" t="n">
        <v>4.38</v>
      </c>
      <c r="K15" s="307" t="inlineStr">
        <is>
          <t>CUMPLE</t>
        </is>
      </c>
      <c r="L15" s="307" t="n"/>
    </row>
    <row r="16" ht="19.85" customHeight="1" s="140">
      <c r="A16" s="308" t="inlineStr">
        <is>
          <t>14 - Estar / Playroom</t>
        </is>
      </c>
      <c r="B16" s="306" t="n">
        <v>4</v>
      </c>
      <c r="C16" s="306" t="n">
        <v>4.1</v>
      </c>
      <c r="D16" s="306" t="n">
        <v>16.4</v>
      </c>
      <c r="E16" s="307" t="n">
        <v>9</v>
      </c>
      <c r="F16" s="306" t="n">
        <v>1.82222222222222</v>
      </c>
      <c r="G16" s="306" t="n">
        <v>5</v>
      </c>
      <c r="H16" s="307" t="inlineStr">
        <is>
          <t>i/3</t>
        </is>
      </c>
      <c r="I16" s="306" t="n">
        <v>0.607407407407407</v>
      </c>
      <c r="J16" s="306" t="n">
        <v>5</v>
      </c>
      <c r="K16" s="307" t="inlineStr">
        <is>
          <t>CUMPLE</t>
        </is>
      </c>
      <c r="L16" s="309" t="inlineStr">
        <is>
          <t>La superficie abrible declarada iguala a la vidriada: supondria una carpinteria 100% abrible. En el resto de los locales la relacion es del 50%. Verificar.</t>
        </is>
      </c>
    </row>
    <row r="17" ht="19.85" customHeight="1" s="140">
      <c r="A17" s="308" t="inlineStr">
        <is>
          <t>15 - Dormitorio 2</t>
        </is>
      </c>
      <c r="B17" s="306" t="n">
        <v>3.5</v>
      </c>
      <c r="C17" s="306" t="n">
        <v>4.05</v>
      </c>
      <c r="D17" s="306" t="n">
        <v>14.175</v>
      </c>
      <c r="E17" s="307" t="n">
        <v>9</v>
      </c>
      <c r="F17" s="306" t="n">
        <v>1.575</v>
      </c>
      <c r="G17" s="306" t="n">
        <v>3.75</v>
      </c>
      <c r="H17" s="307" t="inlineStr">
        <is>
          <t>i/3</t>
        </is>
      </c>
      <c r="I17" s="306" t="n">
        <v>0.525</v>
      </c>
      <c r="J17" s="306" t="n">
        <v>1.88</v>
      </c>
      <c r="K17" s="307" t="inlineStr">
        <is>
          <t>CUMPLE</t>
        </is>
      </c>
      <c r="L17" s="307" t="n"/>
    </row>
    <row r="18" ht="19.85" customHeight="1" s="140">
      <c r="A18" s="308" t="inlineStr">
        <is>
          <t>17 - Bano</t>
        </is>
      </c>
      <c r="B18" s="306" t="n">
        <v>2.2</v>
      </c>
      <c r="C18" s="306" t="n">
        <v>1.6</v>
      </c>
      <c r="D18" s="306" t="n">
        <v>3.52</v>
      </c>
      <c r="E18" s="307" t="n">
        <v>9</v>
      </c>
      <c r="F18" s="306" t="n">
        <v>0.391111111111111</v>
      </c>
      <c r="G18" s="306" t="n">
        <v>1.875</v>
      </c>
      <c r="H18" s="307" t="inlineStr">
        <is>
          <t>i/3</t>
        </is>
      </c>
      <c r="I18" s="306" t="n">
        <v>0.13037037037037</v>
      </c>
      <c r="J18" s="306" t="n">
        <v>0.9399999999999999</v>
      </c>
      <c r="K18" s="307" t="inlineStr">
        <is>
          <t>CUMPLE</t>
        </is>
      </c>
      <c r="L18" s="307" t="n"/>
    </row>
  </sheetData>
  <mergeCells count="11">
    <mergeCell ref="E2:G2"/>
    <mergeCell ref="A1:L1"/>
    <mergeCell ref="A14:L14"/>
    <mergeCell ref="D2:D3"/>
    <mergeCell ref="B2:B3"/>
    <mergeCell ref="A2:A3"/>
    <mergeCell ref="H2:J2"/>
    <mergeCell ref="C2:C3"/>
    <mergeCell ref="K2:K3"/>
    <mergeCell ref="A4:L4"/>
    <mergeCell ref="L2:L3"/>
  </mergeCells>
  <conditionalFormatting sqref="K4:K18">
    <cfRule type="cellIs" rank="0" priority="2" equalAverage="0" operator="equal" aboveAverage="0" dxfId="0" text="" percent="0" bottom="0">
      <formula>"CUMPLE"</formula>
    </cfRule>
    <cfRule type="cellIs" rank="0" priority="3" equalAverage="0" operator="equal" aboveAverage="0" dxfId="1" text="" percent="0" bottom="0">
      <formula>"NO CUMPLE"</formula>
    </cfRule>
  </conditionalFormatting>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fitToPage="1"/>
  </sheetPr>
  <dimension ref="A1:M81"/>
  <sheetViews>
    <sheetView showGridLines="0" workbookViewId="0">
      <pane xSplit="1" ySplit="5" topLeftCell="B6" activePane="bottomRight" state="frozen"/>
      <selection pane="topRight"/>
      <selection pane="bottomLeft"/>
      <selection pane="bottomRight" activeCell="A1" sqref="A1"/>
    </sheetView>
  </sheetViews>
  <sheetFormatPr baseColWidth="8" defaultColWidth="8.54296875" defaultRowHeight="15" customHeight="0" zeroHeight="0" outlineLevelRow="0"/>
  <cols>
    <col width="21.6" customWidth="1" style="140" min="1" max="1"/>
    <col width="13.5" customWidth="1" style="140" min="2" max="2"/>
    <col width="13.5" customWidth="1" style="140" min="3" max="3"/>
    <col width="14.9" customWidth="1" style="140" min="4" max="4"/>
    <col width="16.2" customWidth="1" style="140" min="5" max="5"/>
    <col width="16.2" customWidth="1" style="140" min="6" max="6"/>
    <col width="16.2" customWidth="1" style="140" min="7" max="7"/>
    <col width="45.9" customWidth="1" style="140" min="8" max="8"/>
    <col width="32.4" customWidth="1" style="140" min="9" max="9"/>
    <col width="14.9" customWidth="1" style="140" min="10" max="10"/>
    <col width="14.9" customWidth="1" style="140" min="11" max="11"/>
    <col width="14.9" customWidth="1" style="140" min="12" max="12"/>
    <col hidden="1" width="17.61" customWidth="1" style="140" min="13" max="13"/>
  </cols>
  <sheetData>
    <row r="1" ht="22.7" customHeight="1" s="140">
      <c r="A1" s="310" t="n"/>
      <c r="B1" s="311" t="inlineStr">
        <is>
          <t>Municipalidad de Rosario</t>
        </is>
      </c>
      <c r="C1" s="214" t="n"/>
      <c r="D1" s="214" t="n"/>
      <c r="E1" s="214" t="n"/>
      <c r="F1" s="214" t="n"/>
      <c r="G1" s="214" t="n"/>
      <c r="H1" s="214" t="n"/>
      <c r="I1" s="214" t="n"/>
      <c r="J1" s="214" t="n"/>
      <c r="K1" s="214" t="n"/>
      <c r="L1" s="232" t="n"/>
      <c r="M1" s="312" t="inlineStr">
        <is>
          <t>ORDENANZA N 8757/11</t>
        </is>
      </c>
    </row>
    <row r="2" ht="22.7" customHeight="1" s="140">
      <c r="A2" s="313" t="n"/>
      <c r="B2" s="305" t="inlineStr">
        <is>
          <t>Secretaria de Planeamiento - Programa de Construcciones Sustentables y Eficiencia Energética</t>
        </is>
      </c>
      <c r="C2" s="214" t="n"/>
      <c r="D2" s="214" t="n"/>
      <c r="E2" s="214" t="n"/>
      <c r="F2" s="214" t="n"/>
      <c r="G2" s="214" t="n"/>
      <c r="H2" s="214" t="n"/>
      <c r="I2" s="214" t="n"/>
      <c r="J2" s="232" t="n"/>
      <c r="K2" s="314" t="inlineStr">
        <is>
          <t>ORDENANZA N 8757/11</t>
        </is>
      </c>
      <c r="L2" s="232" t="n"/>
      <c r="M2" s="313" t="n"/>
    </row>
    <row r="3" ht="22.7" customHeight="1" s="140">
      <c r="A3" s="302" t="n"/>
      <c r="B3" s="305" t="inlineStr">
        <is>
          <t>Solicitud del Certificado de Aspectos Hidrotérmicos y Eficiencia Energética de las Construcciones</t>
        </is>
      </c>
      <c r="C3" s="214" t="n"/>
      <c r="D3" s="214" t="n"/>
      <c r="E3" s="214" t="n"/>
      <c r="F3" s="214" t="n"/>
      <c r="G3" s="214" t="n"/>
      <c r="H3" s="214" t="n"/>
      <c r="I3" s="214" t="n"/>
      <c r="J3" s="214" t="n"/>
      <c r="K3" s="214" t="n"/>
      <c r="L3" s="232" t="n"/>
      <c r="M3" s="302" t="n"/>
    </row>
    <row r="4" ht="22.7" customHeight="1" s="140">
      <c r="A4" s="315" t="inlineStr">
        <is>
          <t>PLANILLA 3:   Verificación de transmitancia térmica y factor de exposición solar de cerramientos transparentes.</t>
        </is>
      </c>
      <c r="B4" s="214" t="n"/>
      <c r="C4" s="214" t="n"/>
      <c r="D4" s="214" t="n"/>
      <c r="E4" s="214" t="n"/>
      <c r="F4" s="214" t="n"/>
      <c r="G4" s="214" t="n"/>
      <c r="H4" s="214" t="n"/>
      <c r="I4" s="214" t="n"/>
      <c r="J4" s="214" t="n"/>
      <c r="K4" s="214" t="n"/>
      <c r="L4" s="214" t="n"/>
      <c r="M4" s="214" t="n"/>
    </row>
    <row r="5" ht="28.35" customHeight="1" s="140">
      <c r="A5" s="301" t="inlineStr">
        <is>
          <t>Descripción</t>
        </is>
      </c>
      <c r="B5" s="301" t="inlineStr">
        <is>
          <t>Altura del vano</t>
        </is>
      </c>
      <c r="C5" s="301" t="inlineStr">
        <is>
          <t>Ancho del vano</t>
        </is>
      </c>
      <c r="D5" s="301" t="inlineStr">
        <is>
          <t>Area del vano</t>
        </is>
      </c>
      <c r="E5" s="301" t="inlineStr">
        <is>
          <t>Area total vanos (m2)</t>
        </is>
      </c>
      <c r="F5" s="301" t="inlineStr">
        <is>
          <t>Porcentaje sup. de vanos</t>
        </is>
      </c>
      <c r="G5" s="301" t="inlineStr">
        <is>
          <t>Transmit. Max. [W/m2K]</t>
        </is>
      </c>
      <c r="H5" s="301" t="inlineStr">
        <is>
          <t>Tipo de vidrio</t>
        </is>
      </c>
      <c r="I5" s="301" t="inlineStr">
        <is>
          <t>Tipo de protección</t>
        </is>
      </c>
      <c r="J5" s="301" t="inlineStr">
        <is>
          <t>Transmit. [W/m2K]</t>
        </is>
      </c>
      <c r="K5" s="301" t="inlineStr">
        <is>
          <t>Orientacion</t>
        </is>
      </c>
      <c r="L5" s="301" t="inlineStr">
        <is>
          <t>Factor de Expos. Solar</t>
        </is>
      </c>
      <c r="M5" s="301" t="inlineStr">
        <is>
          <t>VERIFICACION</t>
        </is>
      </c>
    </row>
    <row r="6" ht="22.7" customHeight="1" s="140">
      <c r="A6" s="303" t="inlineStr">
        <is>
          <t>Plano: Fachada Noreste (borde derecho del plano)</t>
        </is>
      </c>
      <c r="B6" s="214" t="n"/>
      <c r="C6" s="214" t="n"/>
      <c r="D6" s="214" t="n"/>
      <c r="E6" s="214" t="n"/>
      <c r="F6" s="214" t="n"/>
      <c r="G6" s="214" t="n"/>
      <c r="H6" s="214" t="n"/>
      <c r="I6" s="214" t="n"/>
      <c r="J6" s="214" t="n"/>
      <c r="K6" s="214" t="n"/>
      <c r="L6" s="214" t="n"/>
      <c r="M6" s="232" t="n"/>
    </row>
    <row r="7" ht="22.7" customHeight="1" s="140">
      <c r="A7" s="316" t="inlineStr">
        <is>
          <t>PV02</t>
        </is>
      </c>
      <c r="B7" s="306" t="n">
        <v>3</v>
      </c>
      <c r="C7" s="306" t="n">
        <v>2.48</v>
      </c>
      <c r="D7" s="306" t="n">
        <v>7.44</v>
      </c>
      <c r="E7" s="317" t="n">
        <v>59.91</v>
      </c>
      <c r="F7" s="318" t="n">
        <v>0.124186279419129</v>
      </c>
      <c r="G7" s="306" t="n">
        <v>2.9</v>
      </c>
      <c r="H7" s="307" t="inlineStr">
        <is>
          <t>DVH 6+9+3+3 (aluminio linea A30)</t>
        </is>
      </c>
      <c r="I7" s="307" t="inlineStr">
        <is>
          <t>Sin Proteccion</t>
        </is>
      </c>
      <c r="J7" s="306" t="n">
        <v>2.8</v>
      </c>
      <c r="K7" s="307" t="inlineStr">
        <is>
          <t>Noreste</t>
        </is>
      </c>
      <c r="L7" s="306" t="n">
        <v>0.88</v>
      </c>
      <c r="M7" s="307" t="inlineStr">
        <is>
          <t>CUMPLE</t>
        </is>
      </c>
    </row>
    <row r="8" ht="22.7" customHeight="1" s="140">
      <c r="A8" s="316" t="inlineStr">
        <is>
          <t>PF03</t>
        </is>
      </c>
      <c r="B8" s="306" t="n">
        <v>3</v>
      </c>
      <c r="C8" s="306" t="n">
        <v>2.88</v>
      </c>
      <c r="D8" s="306" t="n">
        <v>8.640000000000001</v>
      </c>
      <c r="E8" s="280" t="n"/>
      <c r="F8" s="318" t="n">
        <v>0.14421632448673</v>
      </c>
      <c r="G8" s="306" t="n">
        <v>2.9</v>
      </c>
      <c r="H8" s="307" t="inlineStr">
        <is>
          <t>DVH 6+9+3+3 (aluminio linea A30)</t>
        </is>
      </c>
      <c r="I8" s="307" t="inlineStr">
        <is>
          <t>Sin Proteccion</t>
        </is>
      </c>
      <c r="J8" s="306" t="n">
        <v>2.8</v>
      </c>
      <c r="K8" s="307" t="inlineStr">
        <is>
          <t>Noreste</t>
        </is>
      </c>
      <c r="L8" s="306" t="n">
        <v>0.88</v>
      </c>
      <c r="M8" s="307" t="inlineStr">
        <is>
          <t>CUMPLE</t>
        </is>
      </c>
    </row>
    <row r="9" ht="22.7" customHeight="1" s="140">
      <c r="A9" s="316" t="inlineStr">
        <is>
          <t>VA04</t>
        </is>
      </c>
      <c r="B9" s="306" t="n">
        <v>2.52</v>
      </c>
      <c r="C9" s="306" t="n">
        <v>2</v>
      </c>
      <c r="D9" s="306" t="n">
        <v>5.04</v>
      </c>
      <c r="E9" s="280" t="n"/>
      <c r="F9" s="318" t="n">
        <v>0.0841261892839259</v>
      </c>
      <c r="G9" s="306" t="n">
        <v>2.9</v>
      </c>
      <c r="H9" s="307" t="inlineStr">
        <is>
          <t>DVH 6+9+3+3 (aluminio linea A30)</t>
        </is>
      </c>
      <c r="I9" s="307" t="inlineStr">
        <is>
          <t>Sin Proteccion</t>
        </is>
      </c>
      <c r="J9" s="306" t="n">
        <v>2.8</v>
      </c>
      <c r="K9" s="307" t="inlineStr">
        <is>
          <t>Noreste</t>
        </is>
      </c>
      <c r="L9" s="306" t="n">
        <v>0.88</v>
      </c>
      <c r="M9" s="307" t="inlineStr">
        <is>
          <t>CUMPLE</t>
        </is>
      </c>
    </row>
    <row r="10" ht="22.7" customHeight="1" s="140">
      <c r="A10" s="316" t="inlineStr">
        <is>
          <t>VA04 (2)</t>
        </is>
      </c>
      <c r="B10" s="306" t="n">
        <v>2.52</v>
      </c>
      <c r="C10" s="306" t="n">
        <v>2</v>
      </c>
      <c r="D10" s="306" t="n">
        <v>5.04</v>
      </c>
      <c r="E10" s="280" t="n"/>
      <c r="F10" s="318" t="n">
        <v>0.0841261892839259</v>
      </c>
      <c r="G10" s="306" t="n">
        <v>2.9</v>
      </c>
      <c r="H10" s="307" t="inlineStr">
        <is>
          <t>DVH 6+9+3+3 (aluminio linea A30)</t>
        </is>
      </c>
      <c r="I10" s="307" t="inlineStr">
        <is>
          <t>Sin Proteccion</t>
        </is>
      </c>
      <c r="J10" s="306" t="n">
        <v>2.8</v>
      </c>
      <c r="K10" s="307" t="inlineStr">
        <is>
          <t>Noreste</t>
        </is>
      </c>
      <c r="L10" s="306" t="n">
        <v>0.88</v>
      </c>
      <c r="M10" s="307" t="inlineStr">
        <is>
          <t>CUMPLE</t>
        </is>
      </c>
    </row>
    <row r="11" ht="22.7" customHeight="1" s="140">
      <c r="A11" s="316" t="inlineStr">
        <is>
          <t>PV01</t>
        </is>
      </c>
      <c r="B11" s="306" t="n">
        <v>3</v>
      </c>
      <c r="C11" s="306" t="n">
        <v>7.7</v>
      </c>
      <c r="D11" s="306" t="n">
        <v>23.1</v>
      </c>
      <c r="E11" s="280" t="n"/>
      <c r="F11" s="318" t="n">
        <v>0.385578367551327</v>
      </c>
      <c r="G11" s="306" t="n">
        <v>2.9</v>
      </c>
      <c r="H11" s="307" t="inlineStr">
        <is>
          <t>DVH 6+9+3+3 (aluminio linea A30)</t>
        </is>
      </c>
      <c r="I11" s="307" t="inlineStr">
        <is>
          <t>Sin Proteccion</t>
        </is>
      </c>
      <c r="J11" s="306" t="n">
        <v>2.8</v>
      </c>
      <c r="K11" s="307" t="inlineStr">
        <is>
          <t>Noreste</t>
        </is>
      </c>
      <c r="L11" s="306" t="n">
        <v>0.88</v>
      </c>
      <c r="M11" s="307" t="inlineStr">
        <is>
          <t>CUMPLE</t>
        </is>
      </c>
    </row>
    <row r="12" ht="22.7" customHeight="1" s="140">
      <c r="A12" s="316" t="inlineStr">
        <is>
          <t>PF01</t>
        </is>
      </c>
      <c r="B12" s="306" t="n">
        <v>3</v>
      </c>
      <c r="C12" s="306" t="n">
        <v>3.55</v>
      </c>
      <c r="D12" s="306" t="n">
        <v>10.65</v>
      </c>
      <c r="E12" s="319" t="n"/>
      <c r="F12" s="318" t="n">
        <v>0.177766649974962</v>
      </c>
      <c r="G12" s="306" t="n">
        <v>2.9</v>
      </c>
      <c r="H12" s="307" t="inlineStr">
        <is>
          <t>DVH 6+9+3+3 (aluminio linea A30)</t>
        </is>
      </c>
      <c r="I12" s="307" t="inlineStr">
        <is>
          <t>Sin Proteccion</t>
        </is>
      </c>
      <c r="J12" s="306" t="n">
        <v>2.8</v>
      </c>
      <c r="K12" s="307" t="inlineStr">
        <is>
          <t>Noreste</t>
        </is>
      </c>
      <c r="L12" s="306" t="n">
        <v>0.88</v>
      </c>
      <c r="M12" s="307" t="inlineStr">
        <is>
          <t>CUMPLE</t>
        </is>
      </c>
    </row>
    <row r="13" ht="22.7" customHeight="1" s="140">
      <c r="A13" s="303" t="inlineStr">
        <is>
          <t>Plano: Fachada Sudoeste (borde izquierdo)</t>
        </is>
      </c>
      <c r="B13" s="214" t="n"/>
      <c r="C13" s="214" t="n"/>
      <c r="D13" s="214" t="n"/>
      <c r="E13" s="214" t="n"/>
      <c r="F13" s="214" t="n"/>
      <c r="G13" s="214" t="n"/>
      <c r="H13" s="214" t="n"/>
      <c r="I13" s="214" t="n"/>
      <c r="J13" s="214" t="n"/>
      <c r="K13" s="214" t="n"/>
      <c r="L13" s="214" t="n"/>
      <c r="M13" s="232" t="n"/>
    </row>
    <row r="14" ht="22.7" customHeight="1" s="140">
      <c r="A14" s="316" t="inlineStr">
        <is>
          <t>VA01</t>
        </is>
      </c>
      <c r="B14" s="306" t="n">
        <v>3</v>
      </c>
      <c r="C14" s="306" t="n">
        <v>0.75</v>
      </c>
      <c r="D14" s="306" t="n">
        <v>2.25</v>
      </c>
      <c r="E14" s="317" t="n">
        <v>12.9</v>
      </c>
      <c r="F14" s="318" t="n">
        <v>0.174418604651163</v>
      </c>
      <c r="G14" s="306" t="n">
        <v>2.9</v>
      </c>
      <c r="H14" s="307" t="inlineStr">
        <is>
          <t>DVH 6+9+3+3 (aluminio linea A30)</t>
        </is>
      </c>
      <c r="I14" s="307" t="inlineStr">
        <is>
          <t>Sin Proteccion</t>
        </is>
      </c>
      <c r="J14" s="306" t="n">
        <v>2.8</v>
      </c>
      <c r="K14" s="307" t="inlineStr">
        <is>
          <t>Sudoeste</t>
        </is>
      </c>
      <c r="L14" s="306" t="n">
        <v>0.88</v>
      </c>
      <c r="M14" s="307" t="inlineStr">
        <is>
          <t>CUMPLE</t>
        </is>
      </c>
    </row>
    <row r="15" ht="22.7" customHeight="1" s="140">
      <c r="A15" s="316" t="inlineStr">
        <is>
          <t>PF01 (2)</t>
        </is>
      </c>
      <c r="B15" s="306" t="n">
        <v>3</v>
      </c>
      <c r="C15" s="306" t="n">
        <v>3.55</v>
      </c>
      <c r="D15" s="306" t="n">
        <v>10.65</v>
      </c>
      <c r="E15" s="319" t="n"/>
      <c r="F15" s="318" t="n">
        <v>0.825581395348837</v>
      </c>
      <c r="G15" s="306" t="n">
        <v>2.9</v>
      </c>
      <c r="H15" s="307" t="inlineStr">
        <is>
          <t>DVH 6+9+3+3 (aluminio linea A30)</t>
        </is>
      </c>
      <c r="I15" s="307" t="inlineStr">
        <is>
          <t>Sin Proteccion</t>
        </is>
      </c>
      <c r="J15" s="306" t="n">
        <v>2.8</v>
      </c>
      <c r="K15" s="307" t="inlineStr">
        <is>
          <t>Sudoeste</t>
        </is>
      </c>
      <c r="L15" s="306" t="n">
        <v>0.88</v>
      </c>
      <c r="M15" s="307" t="inlineStr">
        <is>
          <t>CUMPLE</t>
        </is>
      </c>
    </row>
    <row r="16" ht="22.7" customHeight="1" s="140">
      <c r="A16" s="303" t="inlineStr">
        <is>
          <t>Plano: Fachada Sudeste (borde inferior)</t>
        </is>
      </c>
      <c r="B16" s="214" t="n"/>
      <c r="C16" s="214" t="n"/>
      <c r="D16" s="214" t="n"/>
      <c r="E16" s="214" t="n"/>
      <c r="F16" s="214" t="n"/>
      <c r="G16" s="214" t="n"/>
      <c r="H16" s="214" t="n"/>
      <c r="I16" s="214" t="n"/>
      <c r="J16" s="214" t="n"/>
      <c r="K16" s="214" t="n"/>
      <c r="L16" s="214" t="n"/>
      <c r="M16" s="232" t="n"/>
    </row>
    <row r="17" ht="22.7" customHeight="1" s="140">
      <c r="A17" s="316" t="inlineStr">
        <is>
          <t>PA01</t>
        </is>
      </c>
      <c r="B17" s="306" t="n">
        <v>3</v>
      </c>
      <c r="C17" s="306" t="n">
        <v>1</v>
      </c>
      <c r="D17" s="306" t="n">
        <v>3</v>
      </c>
      <c r="E17" s="317" t="n">
        <v>32.253</v>
      </c>
      <c r="F17" s="318" t="n">
        <v>0.093014603292717</v>
      </c>
      <c r="G17" s="306" t="n">
        <v>2.9</v>
      </c>
      <c r="H17" s="307" t="inlineStr">
        <is>
          <t>DVH 6+9+3+3 (aluminio linea A30)</t>
        </is>
      </c>
      <c r="I17" s="307" t="inlineStr">
        <is>
          <t>Sin Proteccion</t>
        </is>
      </c>
      <c r="J17" s="306" t="n">
        <v>2.8</v>
      </c>
      <c r="K17" s="307" t="inlineStr">
        <is>
          <t>Sudeste</t>
        </is>
      </c>
      <c r="L17" s="306" t="n">
        <v>0.88</v>
      </c>
      <c r="M17" s="307" t="inlineStr">
        <is>
          <t>CUMPLE</t>
        </is>
      </c>
    </row>
    <row r="18" ht="22.7" customHeight="1" s="140">
      <c r="A18" s="316" t="inlineStr">
        <is>
          <t>PF04</t>
        </is>
      </c>
      <c r="B18" s="306" t="n">
        <v>0.6</v>
      </c>
      <c r="C18" s="306" t="n">
        <v>2.7</v>
      </c>
      <c r="D18" s="306" t="n">
        <v>1.62</v>
      </c>
      <c r="E18" s="280" t="n"/>
      <c r="F18" s="318" t="n">
        <v>0.0502278857780672</v>
      </c>
      <c r="G18" s="306" t="n">
        <v>2.9</v>
      </c>
      <c r="H18" s="307" t="inlineStr">
        <is>
          <t>DVH 6+9+3+3 (aluminio linea A30)</t>
        </is>
      </c>
      <c r="I18" s="307" t="inlineStr">
        <is>
          <t>Sin Proteccion</t>
        </is>
      </c>
      <c r="J18" s="306" t="n">
        <v>2.8</v>
      </c>
      <c r="K18" s="307" t="inlineStr">
        <is>
          <t>Sudeste</t>
        </is>
      </c>
      <c r="L18" s="306" t="n">
        <v>0.88</v>
      </c>
      <c r="M18" s="307" t="inlineStr">
        <is>
          <t>CUMPLE</t>
        </is>
      </c>
    </row>
    <row r="19" ht="22.7" customHeight="1" s="140">
      <c r="A19" s="316" t="inlineStr">
        <is>
          <t>VA01 (2)</t>
        </is>
      </c>
      <c r="B19" s="306" t="n">
        <v>3</v>
      </c>
      <c r="C19" s="306" t="n">
        <v>0.75</v>
      </c>
      <c r="D19" s="306" t="n">
        <v>2.25</v>
      </c>
      <c r="E19" s="280" t="n"/>
      <c r="F19" s="318" t="n">
        <v>0.0697609524695377</v>
      </c>
      <c r="G19" s="306" t="n">
        <v>2.9</v>
      </c>
      <c r="H19" s="307" t="inlineStr">
        <is>
          <t>DVH 6+9+3+3 (aluminio linea A30)</t>
        </is>
      </c>
      <c r="I19" s="307" t="inlineStr">
        <is>
          <t>Sin Proteccion</t>
        </is>
      </c>
      <c r="J19" s="306" t="n">
        <v>2.8</v>
      </c>
      <c r="K19" s="307" t="inlineStr">
        <is>
          <t>Sudeste</t>
        </is>
      </c>
      <c r="L19" s="306" t="n">
        <v>0.88</v>
      </c>
      <c r="M19" s="307" t="inlineStr">
        <is>
          <t>CUMPLE</t>
        </is>
      </c>
    </row>
    <row r="20" ht="22.7" customHeight="1" s="140">
      <c r="A20" s="316" t="inlineStr">
        <is>
          <t>VA05</t>
        </is>
      </c>
      <c r="B20" s="306" t="n">
        <v>2.52</v>
      </c>
      <c r="C20" s="306" t="n">
        <v>1.4</v>
      </c>
      <c r="D20" s="306" t="n">
        <v>3.528</v>
      </c>
      <c r="E20" s="280" t="n"/>
      <c r="F20" s="318" t="n">
        <v>0.109385173472235</v>
      </c>
      <c r="G20" s="306" t="n">
        <v>2.9</v>
      </c>
      <c r="H20" s="307" t="inlineStr">
        <is>
          <t>DVH 6+9+3+3 (aluminio linea A30)</t>
        </is>
      </c>
      <c r="I20" s="307" t="inlineStr">
        <is>
          <t>Sin Proteccion</t>
        </is>
      </c>
      <c r="J20" s="306" t="n">
        <v>2.8</v>
      </c>
      <c r="K20" s="307" t="inlineStr">
        <is>
          <t>Sudeste</t>
        </is>
      </c>
      <c r="L20" s="306" t="n">
        <v>0.88</v>
      </c>
      <c r="M20" s="307" t="inlineStr">
        <is>
          <t>CUMPLE</t>
        </is>
      </c>
    </row>
    <row r="21" ht="22.7" customHeight="1" s="140">
      <c r="A21" s="316" t="inlineStr">
        <is>
          <t>PV04</t>
        </is>
      </c>
      <c r="B21" s="306" t="n">
        <v>3</v>
      </c>
      <c r="C21" s="306" t="n">
        <v>2.06</v>
      </c>
      <c r="D21" s="306" t="n">
        <v>6.18</v>
      </c>
      <c r="E21" s="280" t="n"/>
      <c r="F21" s="318" t="n">
        <v>0.191610082782997</v>
      </c>
      <c r="G21" s="306" t="n">
        <v>2.9</v>
      </c>
      <c r="H21" s="307" t="inlineStr">
        <is>
          <t>DVH 6+9+3+3 (aluminio linea A30)</t>
        </is>
      </c>
      <c r="I21" s="307" t="inlineStr">
        <is>
          <t>Sin Proteccion</t>
        </is>
      </c>
      <c r="J21" s="306" t="n">
        <v>2.8</v>
      </c>
      <c r="K21" s="307" t="inlineStr">
        <is>
          <t>Sudeste</t>
        </is>
      </c>
      <c r="L21" s="306" t="n">
        <v>0.88</v>
      </c>
      <c r="M21" s="307" t="inlineStr">
        <is>
          <t>CUMPLE</t>
        </is>
      </c>
    </row>
    <row r="22" ht="22.7" customHeight="1" s="140">
      <c r="A22" s="316" t="inlineStr">
        <is>
          <t>PV04 (2)</t>
        </is>
      </c>
      <c r="B22" s="306" t="n">
        <v>2.95</v>
      </c>
      <c r="C22" s="306" t="n">
        <v>1.5</v>
      </c>
      <c r="D22" s="306" t="n">
        <v>4.425</v>
      </c>
      <c r="E22" s="280" t="n"/>
      <c r="F22" s="318" t="n">
        <v>0.137196539856758</v>
      </c>
      <c r="G22" s="306" t="n">
        <v>2.9</v>
      </c>
      <c r="H22" s="307" t="inlineStr">
        <is>
          <t>DVH 6+9+3+3 (aluminio linea A30)</t>
        </is>
      </c>
      <c r="I22" s="307" t="inlineStr">
        <is>
          <t>Sin Proteccion</t>
        </is>
      </c>
      <c r="J22" s="306" t="n">
        <v>2.8</v>
      </c>
      <c r="K22" s="307" t="inlineStr">
        <is>
          <t>Sudeste</t>
        </is>
      </c>
      <c r="L22" s="306" t="n">
        <v>0.88</v>
      </c>
      <c r="M22" s="307" t="inlineStr">
        <is>
          <t>CUMPLE</t>
        </is>
      </c>
    </row>
    <row r="23" ht="22.7" customHeight="1" s="140">
      <c r="A23" s="316" t="inlineStr">
        <is>
          <t>PF02</t>
        </is>
      </c>
      <c r="B23" s="306" t="n">
        <v>3</v>
      </c>
      <c r="C23" s="306" t="n">
        <v>3.75</v>
      </c>
      <c r="D23" s="306" t="n">
        <v>11.25</v>
      </c>
      <c r="E23" s="319" t="n"/>
      <c r="F23" s="318" t="n">
        <v>0.348804762347689</v>
      </c>
      <c r="G23" s="306" t="n">
        <v>2.9</v>
      </c>
      <c r="H23" s="307" t="inlineStr">
        <is>
          <t>DVH 6+9+3+3 (aluminio linea A30)</t>
        </is>
      </c>
      <c r="I23" s="307" t="inlineStr">
        <is>
          <t>Sin Proteccion</t>
        </is>
      </c>
      <c r="J23" s="306" t="n">
        <v>2.8</v>
      </c>
      <c r="K23" s="307" t="inlineStr">
        <is>
          <t>Sudeste</t>
        </is>
      </c>
      <c r="L23" s="306" t="n">
        <v>0.88</v>
      </c>
      <c r="M23" s="307" t="inlineStr">
        <is>
          <t>CUMPLE</t>
        </is>
      </c>
    </row>
    <row r="24" ht="22.7" customHeight="1" s="140">
      <c r="A24" s="303" t="inlineStr">
        <is>
          <t>Plano: Fachada Noroeste (borde superior)</t>
        </is>
      </c>
      <c r="B24" s="214" t="n"/>
      <c r="C24" s="214" t="n"/>
      <c r="D24" s="214" t="n"/>
      <c r="E24" s="214" t="n"/>
      <c r="F24" s="214" t="n"/>
      <c r="G24" s="214" t="n"/>
      <c r="H24" s="214" t="n"/>
      <c r="I24" s="214" t="n"/>
      <c r="J24" s="214" t="n"/>
      <c r="K24" s="214" t="n"/>
      <c r="L24" s="214" t="n"/>
      <c r="M24" s="232" t="n"/>
    </row>
    <row r="25" ht="22.7" customHeight="1" s="140">
      <c r="A25" s="316" t="inlineStr">
        <is>
          <t>PV03</t>
        </is>
      </c>
      <c r="B25" s="306" t="n">
        <v>3</v>
      </c>
      <c r="C25" s="306" t="n">
        <v>1.76</v>
      </c>
      <c r="D25" s="306" t="n">
        <v>5.28</v>
      </c>
      <c r="E25" s="317" t="n">
        <v>12.9225</v>
      </c>
      <c r="F25" s="318" t="n">
        <v>0.40858966918166</v>
      </c>
      <c r="G25" s="306" t="n">
        <v>2.9</v>
      </c>
      <c r="H25" s="307" t="inlineStr">
        <is>
          <t>DVH 6+9+3+3 (aluminio linea A30)</t>
        </is>
      </c>
      <c r="I25" s="307" t="inlineStr">
        <is>
          <t>Sin Proteccion</t>
        </is>
      </c>
      <c r="J25" s="306" t="n">
        <v>2.8</v>
      </c>
      <c r="K25" s="307" t="inlineStr">
        <is>
          <t>Noroeste</t>
        </is>
      </c>
      <c r="L25" s="306" t="n">
        <v>0.88</v>
      </c>
      <c r="M25" s="307" t="inlineStr">
        <is>
          <t>CUMPLE</t>
        </is>
      </c>
    </row>
    <row r="26" ht="22.7" customHeight="1" s="140">
      <c r="A26" s="316" t="inlineStr">
        <is>
          <t>VA02</t>
        </is>
      </c>
      <c r="B26" s="306" t="n">
        <v>2.15</v>
      </c>
      <c r="C26" s="306" t="n">
        <v>0.75</v>
      </c>
      <c r="D26" s="306" t="n">
        <v>1.6125</v>
      </c>
      <c r="E26" s="280" t="n"/>
      <c r="F26" s="318" t="n">
        <v>0.124782356355194</v>
      </c>
      <c r="G26" s="306" t="n">
        <v>2.9</v>
      </c>
      <c r="H26" s="307" t="inlineStr">
        <is>
          <t>DVH 6+9+3+3 (aluminio linea A30)</t>
        </is>
      </c>
      <c r="I26" s="307" t="inlineStr">
        <is>
          <t>Sin Proteccion</t>
        </is>
      </c>
      <c r="J26" s="306" t="n">
        <v>2.8</v>
      </c>
      <c r="K26" s="307" t="inlineStr">
        <is>
          <t>Noroeste</t>
        </is>
      </c>
      <c r="L26" s="306" t="n">
        <v>0.88</v>
      </c>
      <c r="M26" s="307" t="inlineStr">
        <is>
          <t>CUMPLE</t>
        </is>
      </c>
    </row>
    <row r="27" ht="22.7" customHeight="1" s="140">
      <c r="A27" s="316" t="inlineStr">
        <is>
          <t>PA02</t>
        </is>
      </c>
      <c r="B27" s="306" t="n">
        <v>3</v>
      </c>
      <c r="C27" s="306" t="n">
        <v>0.75</v>
      </c>
      <c r="D27" s="306" t="n">
        <v>2.25</v>
      </c>
      <c r="E27" s="280" t="n"/>
      <c r="F27" s="318" t="n">
        <v>0.174114915844457</v>
      </c>
      <c r="G27" s="306" t="n">
        <v>2.9</v>
      </c>
      <c r="H27" s="307" t="inlineStr">
        <is>
          <t>DVH 6+9+3+3 (aluminio linea A30)</t>
        </is>
      </c>
      <c r="I27" s="307" t="inlineStr">
        <is>
          <t>Sin Proteccion</t>
        </is>
      </c>
      <c r="J27" s="306" t="n">
        <v>2.8</v>
      </c>
      <c r="K27" s="307" t="inlineStr">
        <is>
          <t>Noroeste</t>
        </is>
      </c>
      <c r="L27" s="306" t="n">
        <v>0.88</v>
      </c>
      <c r="M27" s="307" t="inlineStr">
        <is>
          <t>CUMPLE</t>
        </is>
      </c>
    </row>
    <row r="28" ht="22.7" customHeight="1" s="140">
      <c r="A28" s="316" t="inlineStr">
        <is>
          <t>VA03</t>
        </is>
      </c>
      <c r="B28" s="306" t="n">
        <v>2.52</v>
      </c>
      <c r="C28" s="306" t="n">
        <v>0.75</v>
      </c>
      <c r="D28" s="306" t="n">
        <v>1.89</v>
      </c>
      <c r="E28" s="280" t="n"/>
      <c r="F28" s="318" t="n">
        <v>0.146256529309344</v>
      </c>
      <c r="G28" s="306" t="n">
        <v>2.9</v>
      </c>
      <c r="H28" s="307" t="inlineStr">
        <is>
          <t>DVH 6+9+3+3 (aluminio linea A30)</t>
        </is>
      </c>
      <c r="I28" s="307" t="inlineStr">
        <is>
          <t>Sin Proteccion</t>
        </is>
      </c>
      <c r="J28" s="306" t="n">
        <v>2.8</v>
      </c>
      <c r="K28" s="307" t="inlineStr">
        <is>
          <t>Noroeste</t>
        </is>
      </c>
      <c r="L28" s="306" t="n">
        <v>0.88</v>
      </c>
      <c r="M28" s="307" t="inlineStr">
        <is>
          <t>CUMPLE</t>
        </is>
      </c>
    </row>
    <row r="29" ht="22.7" customHeight="1" s="140">
      <c r="A29" s="316" t="inlineStr">
        <is>
          <t>PF05</t>
        </is>
      </c>
      <c r="B29" s="306" t="n">
        <v>2.52</v>
      </c>
      <c r="C29" s="306" t="n">
        <v>0.75</v>
      </c>
      <c r="D29" s="306" t="n">
        <v>1.89</v>
      </c>
      <c r="E29" s="319" t="n"/>
      <c r="F29" s="318" t="n">
        <v>0.146256529309344</v>
      </c>
      <c r="G29" s="306" t="n">
        <v>2.9</v>
      </c>
      <c r="H29" s="307" t="inlineStr">
        <is>
          <t>DVH 6+9+3+3 (aluminio linea A30)</t>
        </is>
      </c>
      <c r="I29" s="307" t="inlineStr">
        <is>
          <t>Sin Proteccion</t>
        </is>
      </c>
      <c r="J29" s="306" t="n">
        <v>2.8</v>
      </c>
      <c r="K29" s="307" t="inlineStr">
        <is>
          <t>Noroeste</t>
        </is>
      </c>
      <c r="L29" s="306" t="n">
        <v>0.88</v>
      </c>
      <c r="M29" s="307" t="inlineStr">
        <is>
          <t>CUMPLE</t>
        </is>
      </c>
    </row>
    <row r="30" ht="15" customHeight="1" s="140">
      <c r="A30" s="320" t="n"/>
      <c r="B30" s="320" t="n"/>
      <c r="C30" s="320" t="n"/>
      <c r="D30" s="320" t="n"/>
      <c r="E30" s="320" t="n"/>
      <c r="F30" s="320" t="n"/>
      <c r="G30" s="320" t="n"/>
      <c r="H30" s="320" t="n"/>
      <c r="I30" s="320" t="n"/>
      <c r="J30" s="320" t="n"/>
      <c r="K30" s="320" t="n"/>
      <c r="L30" s="320" t="n"/>
      <c r="M30" s="320" t="n"/>
    </row>
    <row r="31" ht="39" customHeight="1" s="140">
      <c r="A31" s="321" t="inlineStr">
        <is>
          <t>COMO SE COMPLETA</t>
        </is>
      </c>
      <c r="B31" s="320" t="n"/>
      <c r="C31" s="320" t="n"/>
      <c r="D31" s="320" t="n"/>
      <c r="E31" s="320" t="n"/>
      <c r="F31" s="320" t="n"/>
      <c r="G31" s="320" t="n"/>
      <c r="H31" s="320" t="n"/>
      <c r="I31" s="320" t="n"/>
      <c r="J31" s="320" t="n"/>
      <c r="K31" s="320" t="n"/>
      <c r="L31" s="320" t="n"/>
      <c r="M31" s="320" t="n"/>
    </row>
    <row r="32" ht="39" customHeight="1" s="140">
      <c r="A32" s="322" t="inlineStr">
        <is>
          <t>Descripcion, altura y ancho del vano: de la planilla de carpinterias.</t>
        </is>
      </c>
      <c r="B32" s="320" t="n"/>
      <c r="C32" s="320" t="n"/>
      <c r="D32" s="320" t="n"/>
      <c r="E32" s="320" t="n"/>
      <c r="F32" s="320" t="n"/>
      <c r="G32" s="320" t="n"/>
      <c r="H32" s="320" t="n"/>
      <c r="I32" s="320" t="n"/>
      <c r="J32" s="320" t="n"/>
      <c r="K32" s="320" t="n"/>
      <c r="L32" s="320" t="n"/>
      <c r="M32" s="320" t="n"/>
    </row>
    <row r="33" ht="39" customHeight="1" s="140">
      <c r="A33" s="322" t="inlineStr">
        <is>
          <t>Area del vano, area total por plano y porcentaje: se calculan solos.</t>
        </is>
      </c>
      <c r="B33" s="320" t="n"/>
      <c r="C33" s="320" t="n"/>
      <c r="D33" s="320" t="n"/>
      <c r="E33" s="320" t="n"/>
      <c r="F33" s="320" t="n"/>
      <c r="G33" s="320" t="n"/>
      <c r="H33" s="320" t="n"/>
      <c r="I33" s="320" t="n"/>
      <c r="J33" s="320" t="n"/>
      <c r="K33" s="320" t="n"/>
      <c r="L33" s="320" t="n"/>
      <c r="M33" s="320" t="n"/>
    </row>
    <row r="34" ht="39" customHeight="1" s="140">
      <c r="A34" s="322" t="inlineStr">
        <is>
          <t>Tipo de vidrio y tipo de proteccion: desplegables; sus valores estan en la hoja Datos_higro.</t>
        </is>
      </c>
      <c r="B34" s="320" t="n"/>
      <c r="C34" s="320" t="n"/>
      <c r="D34" s="320" t="n"/>
      <c r="E34" s="320" t="n"/>
      <c r="F34" s="320" t="n"/>
      <c r="G34" s="320" t="n"/>
      <c r="H34" s="320" t="n"/>
      <c r="I34" s="320" t="n"/>
      <c r="J34" s="320" t="n"/>
      <c r="K34" s="320" t="n"/>
      <c r="L34" s="320" t="n"/>
      <c r="M34" s="320" t="n"/>
    </row>
    <row r="35" ht="39" customHeight="1" s="140">
      <c r="A35" s="322" t="inlineStr">
        <is>
          <t>Transmitancia del cerramiento: cargarla segun el vidrio y el marco adoptados.</t>
        </is>
      </c>
      <c r="B35" s="320" t="n"/>
      <c r="C35" s="320" t="n"/>
      <c r="D35" s="320" t="n"/>
      <c r="E35" s="320" t="n"/>
      <c r="F35" s="320" t="n"/>
      <c r="G35" s="320" t="n"/>
      <c r="H35" s="320" t="n"/>
      <c r="I35" s="320" t="n"/>
      <c r="J35" s="320" t="n"/>
      <c r="K35" s="320" t="n"/>
      <c r="L35" s="320" t="n"/>
      <c r="M35" s="320" t="n"/>
    </row>
    <row r="36" ht="39" customHeight="1" s="140">
      <c r="A36" s="322" t="inlineStr">
        <is>
          <t>PROTECCION: la obra tiene cortinas blackout INTERIORES, y los panos fijos PF no tienen nada.</t>
        </is>
      </c>
      <c r="B36" s="320" t="n"/>
      <c r="C36" s="320" t="n"/>
      <c r="D36" s="320" t="n"/>
      <c r="E36" s="320" t="n"/>
      <c r="F36" s="320" t="n"/>
      <c r="G36" s="320" t="n"/>
      <c r="H36" s="320" t="n"/>
      <c r="I36" s="320" t="n"/>
      <c r="J36" s="320" t="n"/>
      <c r="K36" s="320" t="n"/>
      <c r="L36" s="320" t="n"/>
      <c r="M36" s="320" t="n"/>
    </row>
    <row r="37" ht="39" customHeight="1" s="140">
      <c r="A37" s="322" t="inlineStr">
        <is>
          <t>Una cortina interior NO computa como proteccion solar: la radiacion ya atraveso el vidrio</t>
        </is>
      </c>
      <c r="B37" s="320" t="n"/>
      <c r="C37" s="320" t="n"/>
      <c r="D37" s="320" t="n"/>
      <c r="E37" s="320" t="n"/>
      <c r="F37" s="320" t="n"/>
      <c r="G37" s="320" t="n"/>
      <c r="H37" s="320" t="n"/>
      <c r="I37" s="320" t="n"/>
      <c r="J37" s="320" t="n"/>
      <c r="K37" s="320" t="n"/>
      <c r="L37" s="320" t="n"/>
      <c r="M37" s="320" t="n"/>
    </row>
    <row r="38" ht="39" customHeight="1" s="140">
      <c r="A38" s="322" t="inlineStr">
        <is>
          <t>cuando llega a la cortina. La ordenanza acredita protecciones exteriores (aleros, parasoles,</t>
        </is>
      </c>
      <c r="B38" s="320" t="n"/>
      <c r="C38" s="320" t="n"/>
      <c r="D38" s="320" t="n"/>
      <c r="E38" s="320" t="n"/>
      <c r="F38" s="320" t="n"/>
      <c r="G38" s="320" t="n"/>
      <c r="H38" s="320" t="n"/>
      <c r="I38" s="320" t="n"/>
      <c r="J38" s="320" t="n"/>
      <c r="K38" s="320" t="n"/>
      <c r="L38" s="320" t="n"/>
      <c r="M38" s="320" t="n"/>
    </row>
    <row r="39" ht="39" customHeight="1" s="140">
      <c r="A39" s="322" t="inlineStr">
        <is>
          <t>cortinas de enrollar exteriores, toldos). Por eso las veinte aberturas van Sin Proteccion.</t>
        </is>
      </c>
      <c r="B39" s="320" t="n"/>
      <c r="C39" s="320" t="n"/>
      <c r="D39" s="320" t="n"/>
      <c r="E39" s="320" t="n"/>
      <c r="F39" s="320" t="n"/>
      <c r="G39" s="320" t="n"/>
      <c r="H39" s="320" t="n"/>
      <c r="I39" s="320" t="n"/>
      <c r="J39" s="320" t="n"/>
      <c r="K39" s="320" t="n"/>
      <c r="L39" s="320" t="n"/>
      <c r="M39" s="320" t="n"/>
    </row>
    <row r="40" ht="15" customHeight="1" s="140">
      <c r="A40" s="322" t="n"/>
      <c r="B40" s="320" t="n"/>
      <c r="C40" s="320" t="n"/>
      <c r="D40" s="320" t="n"/>
      <c r="E40" s="320" t="n"/>
      <c r="F40" s="320" t="n"/>
      <c r="G40" s="320" t="n"/>
      <c r="H40" s="320" t="n"/>
      <c r="I40" s="320" t="n"/>
      <c r="J40" s="320" t="n"/>
      <c r="K40" s="320" t="n"/>
      <c r="L40" s="320" t="n"/>
      <c r="M40" s="320" t="n"/>
    </row>
    <row r="41" ht="39" customHeight="1" s="140">
      <c r="A41" s="322" t="inlineStr">
        <is>
          <t>CONSECUENCIA: el factor de exposicion solar da 0,88 esta muy por encima del maximo de 0,30 que la ordenanza admite para</t>
        </is>
      </c>
      <c r="B41" s="320" t="n"/>
      <c r="C41" s="320" t="n"/>
      <c r="D41" s="320" t="n"/>
      <c r="E41" s="320" t="n"/>
      <c r="F41" s="320" t="n"/>
      <c r="G41" s="320" t="n"/>
      <c r="H41" s="320" t="n"/>
      <c r="I41" s="320" t="n"/>
      <c r="J41" s="320" t="n"/>
      <c r="K41" s="320" t="n"/>
      <c r="L41" s="320" t="n"/>
      <c r="M41" s="320" t="n"/>
    </row>
    <row r="42" ht="39" customHeight="1" s="140">
      <c r="A42" s="322" t="inlineStr">
        <is>
          <t>el cuadrante Este/Oeste, donde caen las cuatro fachadas de esta casa por estar girada 45</t>
        </is>
      </c>
      <c r="B42" s="320" t="n"/>
      <c r="C42" s="320" t="n"/>
      <c r="D42" s="320" t="n"/>
      <c r="E42" s="320" t="n"/>
      <c r="F42" s="320" t="n"/>
      <c r="G42" s="320" t="n"/>
      <c r="H42" s="320" t="n"/>
      <c r="I42" s="320" t="n"/>
      <c r="J42" s="320" t="n"/>
      <c r="K42" s="320" t="n"/>
      <c r="L42" s="320" t="n"/>
      <c r="M42" s="320" t="n"/>
    </row>
    <row r="43" ht="39" customHeight="1" s="140">
      <c r="A43" s="322" t="inlineStr">
        <is>
          <t>grados. La verificacion de la planilla no lo controla, igual que la de la catedra, pero si lo</t>
        </is>
      </c>
      <c r="B43" s="320" t="n"/>
      <c r="C43" s="320" t="n"/>
      <c r="D43" s="320" t="n"/>
      <c r="E43" s="320" t="n"/>
      <c r="F43" s="320" t="n"/>
      <c r="G43" s="320" t="n"/>
      <c r="H43" s="320" t="n"/>
      <c r="I43" s="320" t="n"/>
      <c r="J43" s="320" t="n"/>
      <c r="K43" s="320" t="n"/>
      <c r="L43" s="320" t="n"/>
      <c r="M43" s="320" t="n"/>
    </row>
    <row r="44" ht="39" customHeight="1" s="140">
      <c r="A44" s="322" t="inlineStr">
        <is>
          <t>presentas en el municipio esas cinco aberturas no pasarian el factor de exposicion solar.</t>
        </is>
      </c>
      <c r="B44" s="320" t="n"/>
      <c r="C44" s="320" t="n"/>
      <c r="D44" s="320" t="n"/>
      <c r="E44" s="320" t="n"/>
      <c r="F44" s="320" t="n"/>
      <c r="G44" s="320" t="n"/>
      <c r="H44" s="320" t="n"/>
      <c r="I44" s="320" t="n"/>
      <c r="J44" s="320" t="n"/>
      <c r="K44" s="320" t="n"/>
      <c r="L44" s="320" t="n"/>
      <c r="M44" s="320" t="n"/>
    </row>
    <row r="45" ht="39" customHeight="1" s="140">
      <c r="A45" s="322" t="inlineStr">
        <is>
          <t>Hay dos salidas posibles: (a) si la abertura ocupa menos del 20% del lado expuesto del local,</t>
        </is>
      </c>
      <c r="B45" s="320" t="n"/>
      <c r="C45" s="320" t="n"/>
      <c r="D45" s="320" t="n"/>
      <c r="E45" s="320" t="n"/>
      <c r="F45" s="320" t="n"/>
      <c r="G45" s="320" t="n"/>
      <c r="H45" s="320" t="n"/>
      <c r="I45" s="320" t="n"/>
      <c r="J45" s="320" t="n"/>
      <c r="K45" s="320" t="n"/>
      <c r="L45" s="320" t="n"/>
      <c r="M45" s="320" t="n"/>
    </row>
    <row r="46" ht="39" customHeight="1" s="140">
      <c r="A46" s="322" t="inlineStr">
        <is>
          <t>no se verifica el FES; (b) cambiar el vidrio por uno de control solar, que baja el FES sin</t>
        </is>
      </c>
      <c r="B46" s="320" t="n"/>
      <c r="C46" s="320" t="n"/>
      <c r="D46" s="320" t="n"/>
      <c r="E46" s="320" t="n"/>
      <c r="F46" s="320" t="n"/>
      <c r="G46" s="320" t="n"/>
      <c r="H46" s="320" t="n"/>
      <c r="I46" s="320" t="n"/>
      <c r="J46" s="320" t="n"/>
      <c r="K46" s="320" t="n"/>
      <c r="L46" s="320" t="n"/>
      <c r="M46" s="320" t="n"/>
    </row>
    <row r="47" ht="39" customHeight="1" s="140">
      <c r="A47" s="322" t="inlineStr">
        <is>
          <t>tocar la obra. Agregar una proteccion exterior seria la tercera, pero implica obra.</t>
        </is>
      </c>
      <c r="B47" s="320" t="n"/>
      <c r="C47" s="320" t="n"/>
      <c r="D47" s="320" t="n"/>
      <c r="E47" s="320" t="n"/>
      <c r="F47" s="320" t="n"/>
      <c r="G47" s="320" t="n"/>
      <c r="H47" s="320" t="n"/>
      <c r="I47" s="320" t="n"/>
      <c r="J47" s="320" t="n"/>
      <c r="K47" s="320" t="n"/>
      <c r="L47" s="320" t="n"/>
      <c r="M47" s="320" t="n"/>
    </row>
    <row r="48" ht="15" customHeight="1" s="140">
      <c r="A48" s="322" t="n"/>
      <c r="B48" s="320" t="n"/>
      <c r="C48" s="320" t="n"/>
      <c r="D48" s="320" t="n"/>
      <c r="E48" s="320" t="n"/>
      <c r="F48" s="320" t="n"/>
      <c r="G48" s="320" t="n"/>
      <c r="H48" s="320" t="n"/>
      <c r="I48" s="320" t="n"/>
      <c r="J48" s="320" t="n"/>
      <c r="K48" s="320" t="n"/>
      <c r="L48" s="320" t="n"/>
      <c r="M48" s="320" t="n"/>
    </row>
    <row r="49" ht="39" customHeight="1" s="140">
      <c r="A49" s="322" t="inlineStr">
        <is>
          <t>Orientacion: ya cargada. Factor de exposicion solar: se completa SOLO al elegir el tipo de</t>
        </is>
      </c>
      <c r="B49" s="320" t="n"/>
      <c r="C49" s="320" t="n"/>
      <c r="D49" s="320" t="n"/>
      <c r="E49" s="320" t="n"/>
      <c r="F49" s="320" t="n"/>
      <c r="G49" s="320" t="n"/>
      <c r="H49" s="320" t="n"/>
      <c r="I49" s="320" t="n"/>
      <c r="J49" s="320" t="n"/>
      <c r="K49" s="320" t="n"/>
      <c r="L49" s="320" t="n"/>
      <c r="M49" s="320" t="n"/>
    </row>
    <row r="50" ht="39" customHeight="1" s="140">
      <c r="A50" s="322" t="inlineStr">
        <is>
          <t>proteccion, con los valores de la tabla de Datos_higro (Sin Proteccion 0,88; Parasol</t>
        </is>
      </c>
      <c r="B50" s="320" t="n"/>
      <c r="C50" s="320" t="n"/>
      <c r="D50" s="320" t="n"/>
      <c r="E50" s="320" t="n"/>
      <c r="F50" s="320" t="n"/>
      <c r="G50" s="320" t="n"/>
      <c r="H50" s="320" t="n"/>
      <c r="I50" s="320" t="n"/>
      <c r="J50" s="320" t="n"/>
      <c r="K50" s="320" t="n"/>
      <c r="L50" s="320" t="n"/>
      <c r="M50" s="320" t="n"/>
    </row>
    <row r="51" ht="39" customHeight="1" s="140">
      <c r="A51" s="322" t="inlineStr">
        <is>
          <t>horizontal fijo 1:2 0,35), que son los mismos de la planilla de la catedra.</t>
        </is>
      </c>
      <c r="B51" s="320" t="n"/>
      <c r="C51" s="320" t="n"/>
      <c r="D51" s="320" t="n"/>
      <c r="E51" s="320" t="n"/>
      <c r="F51" s="320" t="n"/>
      <c r="G51" s="320" t="n"/>
      <c r="H51" s="320" t="n"/>
      <c r="I51" s="320" t="n"/>
      <c r="J51" s="320" t="n"/>
      <c r="K51" s="320" t="n"/>
      <c r="L51" s="320" t="n"/>
      <c r="M51" s="320" t="n"/>
    </row>
    <row r="52" ht="39" customHeight="1" s="140">
      <c r="A52" s="322" t="inlineStr">
        <is>
          <t>En Datos_higro esta ademas el FES maximo admitido por cuadrante segun la ordenanza, como</t>
        </is>
      </c>
      <c r="B52" s="320" t="n"/>
      <c r="C52" s="320" t="n"/>
      <c r="D52" s="320" t="n"/>
      <c r="E52" s="320" t="n"/>
      <c r="F52" s="320" t="n"/>
      <c r="G52" s="320" t="n"/>
      <c r="H52" s="320" t="n"/>
      <c r="I52" s="320" t="n"/>
      <c r="J52" s="320" t="n"/>
      <c r="K52" s="320" t="n"/>
      <c r="L52" s="320" t="n"/>
      <c r="M52" s="320" t="n"/>
    </row>
    <row r="53" ht="39" customHeight="1" s="140">
      <c r="A53" s="322" t="inlineStr">
        <is>
          <t>referencia: la verificacion no lo controla, igual que en la planilla de la catedra.</t>
        </is>
      </c>
      <c r="B53" s="320" t="n"/>
      <c r="C53" s="320" t="n"/>
      <c r="D53" s="320" t="n"/>
      <c r="E53" s="320" t="n"/>
      <c r="F53" s="320" t="n"/>
      <c r="G53" s="320" t="n"/>
      <c r="H53" s="320" t="n"/>
      <c r="I53" s="320" t="n"/>
      <c r="J53" s="320" t="n"/>
      <c r="K53" s="320" t="n"/>
      <c r="L53" s="320" t="n"/>
      <c r="M53" s="320" t="n"/>
    </row>
    <row r="54" ht="15" customHeight="1" s="140">
      <c r="A54" s="322" t="n"/>
      <c r="B54" s="320" t="n"/>
      <c r="C54" s="320" t="n"/>
      <c r="D54" s="320" t="n"/>
      <c r="E54" s="320" t="n"/>
      <c r="F54" s="320" t="n"/>
      <c r="G54" s="320" t="n"/>
      <c r="H54" s="320" t="n"/>
      <c r="I54" s="320" t="n"/>
      <c r="J54" s="320" t="n"/>
      <c r="K54" s="320" t="n"/>
      <c r="L54" s="320" t="n"/>
      <c r="M54" s="320" t="n"/>
    </row>
    <row r="55" ht="39" customHeight="1" s="140">
      <c r="A55" s="322" t="inlineStr">
        <is>
          <t>CARGADO de la planilla de carpinterias: designacion, ubicacion, ancho y tipo de vidrio</t>
        </is>
      </c>
      <c r="B55" s="320" t="n"/>
      <c r="C55" s="320" t="n"/>
      <c r="D55" s="320" t="n"/>
      <c r="E55" s="320" t="n"/>
      <c r="F55" s="320" t="n"/>
      <c r="G55" s="320" t="n"/>
      <c r="H55" s="320" t="n"/>
      <c r="I55" s="320" t="n"/>
      <c r="J55" s="320" t="n"/>
      <c r="K55" s="320" t="n"/>
      <c r="L55" s="320" t="n"/>
      <c r="M55" s="320" t="n"/>
    </row>
    <row r="56" ht="39" customHeight="1" s="140">
      <c r="A56" s="322" t="inlineStr">
        <is>
          <t>(DVH 6+9+3+3, carpinteria de aluminio linea A30 pintado negro, igual en todas las aberturas).</t>
        </is>
      </c>
      <c r="B56" s="320" t="n"/>
      <c r="C56" s="320" t="n"/>
      <c r="D56" s="320" t="n"/>
      <c r="E56" s="320" t="n"/>
      <c r="F56" s="320" t="n"/>
      <c r="G56" s="320" t="n"/>
      <c r="H56" s="320" t="n"/>
      <c r="I56" s="320" t="n"/>
      <c r="J56" s="320" t="n"/>
      <c r="K56" s="320" t="n"/>
      <c r="L56" s="320" t="n"/>
      <c r="M56" s="320" t="n"/>
    </row>
    <row r="57" ht="15" customHeight="1" s="140">
      <c r="A57" s="322" t="n"/>
      <c r="B57" s="320" t="n"/>
      <c r="C57" s="320" t="n"/>
      <c r="D57" s="320" t="n"/>
      <c r="E57" s="320" t="n"/>
      <c r="F57" s="320" t="n"/>
      <c r="G57" s="320" t="n"/>
      <c r="H57" s="320" t="n"/>
      <c r="I57" s="320" t="n"/>
      <c r="J57" s="320" t="n"/>
      <c r="K57" s="320" t="n"/>
      <c r="L57" s="320" t="n"/>
      <c r="M57" s="320" t="n"/>
    </row>
    <row r="58" ht="39" customHeight="1" s="140">
      <c r="A58" s="322" t="inlineStr">
        <is>
          <t>ALTURAS: medidas sobre el dibujo de las vistas de la planilla de carpinterias, con la escala</t>
        </is>
      </c>
      <c r="B58" s="320" t="n"/>
      <c r="C58" s="320" t="n"/>
      <c r="D58" s="320" t="n"/>
      <c r="E58" s="320" t="n"/>
      <c r="F58" s="320" t="n"/>
      <c r="G58" s="320" t="n"/>
      <c r="H58" s="320" t="n"/>
      <c r="I58" s="320" t="n"/>
      <c r="J58" s="320" t="n"/>
      <c r="K58" s="320" t="n"/>
      <c r="L58" s="320" t="n"/>
      <c r="M58" s="320" t="n"/>
    </row>
    <row r="59" ht="39" customHeight="1" s="140">
      <c r="A59" s="322" t="inlineStr">
        <is>
          <t>verificada contra los anchos acotados (error menor a 2 cm). La mayoria de las aberturas son de</t>
        </is>
      </c>
      <c r="B59" s="320" t="n"/>
      <c r="C59" s="320" t="n"/>
      <c r="D59" s="320" t="n"/>
      <c r="E59" s="320" t="n"/>
      <c r="F59" s="320" t="n"/>
      <c r="G59" s="320" t="n"/>
      <c r="H59" s="320" t="n"/>
      <c r="I59" s="320" t="n"/>
      <c r="J59" s="320" t="n"/>
      <c r="K59" s="320" t="n"/>
      <c r="L59" s="320" t="n"/>
      <c r="M59" s="320" t="n"/>
    </row>
    <row r="60" ht="39" customHeight="1" s="140">
      <c r="A60" s="322" t="inlineStr">
        <is>
          <t>piso a cielorraso, 3,00 m. VERIFICARLAS contra el plano antes de presentar.</t>
        </is>
      </c>
      <c r="B60" s="320" t="n"/>
      <c r="C60" s="320" t="n"/>
      <c r="D60" s="320" t="n"/>
      <c r="E60" s="320" t="n"/>
      <c r="F60" s="320" t="n"/>
      <c r="G60" s="320" t="n"/>
      <c r="H60" s="320" t="n"/>
      <c r="I60" s="320" t="n"/>
      <c r="J60" s="320" t="n"/>
      <c r="K60" s="320" t="n"/>
      <c r="L60" s="320" t="n"/>
      <c r="M60" s="320" t="n"/>
    </row>
    <row r="61" ht="39" customHeight="1" s="140">
      <c r="A61" s="322" t="inlineStr">
        <is>
          <t>PF04 es la unica con antepecho: arranca a 1,09 y mide 0,60 de alto. El resto llega al piso.</t>
        </is>
      </c>
      <c r="B61" s="320" t="n"/>
      <c r="C61" s="320" t="n"/>
      <c r="D61" s="320" t="n"/>
      <c r="E61" s="320" t="n"/>
      <c r="F61" s="320" t="n"/>
      <c r="G61" s="320" t="n"/>
      <c r="H61" s="320" t="n"/>
      <c r="I61" s="320" t="n"/>
      <c r="J61" s="320" t="n"/>
      <c r="K61" s="320" t="n"/>
      <c r="L61" s="320" t="n"/>
      <c r="M61" s="320" t="n"/>
    </row>
    <row r="62" ht="39" customHeight="1" s="140">
      <c r="A62" s="322" t="inlineStr">
        <is>
          <t>Las alturas de PV01 (3,00), PF04 (0,60) y PV04 (2) (2,95) las aporto el autor del proyecto.</t>
        </is>
      </c>
      <c r="B62" s="320" t="n"/>
      <c r="C62" s="320" t="n"/>
      <c r="D62" s="320" t="n"/>
      <c r="E62" s="320" t="n"/>
      <c r="F62" s="320" t="n"/>
      <c r="G62" s="320" t="n"/>
      <c r="H62" s="320" t="n"/>
      <c r="I62" s="320" t="n"/>
      <c r="J62" s="320" t="n"/>
      <c r="K62" s="320" t="n"/>
      <c r="L62" s="320" t="n"/>
      <c r="M62" s="320" t="n"/>
    </row>
    <row r="63" ht="15" customHeight="1" s="140">
      <c r="A63" s="322" t="n"/>
      <c r="B63" s="320" t="n"/>
      <c r="C63" s="320" t="n"/>
      <c r="D63" s="320" t="n"/>
      <c r="E63" s="320" t="n"/>
      <c r="F63" s="320" t="n"/>
      <c r="G63" s="320" t="n"/>
      <c r="H63" s="320" t="n"/>
      <c r="I63" s="320" t="n"/>
      <c r="J63" s="320" t="n"/>
      <c r="K63" s="320" t="n"/>
      <c r="L63" s="320" t="n"/>
      <c r="M63" s="320" t="n"/>
    </row>
    <row r="64" ht="39" customHeight="1" s="140">
      <c r="A64" s="322" t="inlineStr">
        <is>
          <t>ORIENTACION: el simbolo de norte del plano (circulo con aguja, en el patio interno) apunta a</t>
        </is>
      </c>
      <c r="B64" s="320" t="n"/>
      <c r="C64" s="320" t="n"/>
      <c r="D64" s="320" t="n"/>
      <c r="E64" s="320" t="n"/>
      <c r="F64" s="320" t="n"/>
      <c r="G64" s="320" t="n"/>
      <c r="H64" s="320" t="n"/>
      <c r="I64" s="320" t="n"/>
      <c r="J64" s="320" t="n"/>
      <c r="K64" s="320" t="n"/>
      <c r="L64" s="320" t="n"/>
      <c r="M64" s="320" t="n"/>
    </row>
    <row r="65" ht="39" customHeight="1" s="140">
      <c r="A65" s="322" t="inlineStr">
        <is>
          <t>45 grados hacia arriba y a la derecha de la hoja. Entonces las cuatro fachadas NO son N-S-E-O</t>
        </is>
      </c>
      <c r="B65" s="320" t="n"/>
      <c r="C65" s="320" t="n"/>
      <c r="D65" s="320" t="n"/>
      <c r="E65" s="320" t="n"/>
      <c r="F65" s="320" t="n"/>
      <c r="G65" s="320" t="n"/>
      <c r="H65" s="320" t="n"/>
      <c r="I65" s="320" t="n"/>
      <c r="J65" s="320" t="n"/>
      <c r="K65" s="320" t="n"/>
      <c r="L65" s="320" t="n"/>
      <c r="M65" s="320" t="n"/>
    </row>
    <row r="66" ht="39" customHeight="1" s="140">
      <c r="A66" s="322" t="inlineStr">
        <is>
          <t>sino: arriba = Noroeste, derecha = Noreste, abajo = Sudeste, izquierda = Sudoeste.</t>
        </is>
      </c>
      <c r="B66" s="320" t="n"/>
      <c r="C66" s="320" t="n"/>
      <c r="D66" s="320" t="n"/>
      <c r="E66" s="320" t="n"/>
      <c r="F66" s="320" t="n"/>
      <c r="G66" s="320" t="n"/>
      <c r="H66" s="320" t="n"/>
      <c r="I66" s="320" t="n"/>
      <c r="J66" s="320" t="n"/>
      <c r="K66" s="320" t="n"/>
      <c r="L66" s="320" t="n"/>
      <c r="M66" s="320" t="n"/>
    </row>
    <row r="67" ht="39" customHeight="1" s="140">
      <c r="A67" s="322" t="inlineStr">
        <is>
          <t>Cada abertura se asigno a la fachada por su posicion en planta. Las del patio interno se</t>
        </is>
      </c>
      <c r="B67" s="320" t="n"/>
      <c r="C67" s="320" t="n"/>
      <c r="D67" s="320" t="n"/>
      <c r="E67" s="320" t="n"/>
      <c r="F67" s="320" t="n"/>
      <c r="G67" s="320" t="n"/>
      <c r="H67" s="320" t="n"/>
      <c r="I67" s="320" t="n"/>
      <c r="J67" s="320" t="n"/>
      <c r="K67" s="320" t="n"/>
      <c r="L67" s="320" t="n"/>
      <c r="M67" s="320" t="n"/>
    </row>
    <row r="68" ht="39" customHeight="1" s="140">
      <c r="A68" s="322" t="inlineStr">
        <is>
          <t>orientan por la pared en la que estan: miran hacia adentro del patio.</t>
        </is>
      </c>
      <c r="B68" s="320" t="n"/>
      <c r="C68" s="320" t="n"/>
      <c r="D68" s="320" t="n"/>
      <c r="E68" s="320" t="n"/>
      <c r="F68" s="320" t="n"/>
      <c r="G68" s="320" t="n"/>
      <c r="H68" s="320" t="n"/>
      <c r="I68" s="320" t="n"/>
      <c r="J68" s="320" t="n"/>
      <c r="K68" s="320" t="n"/>
      <c r="L68" s="320" t="n"/>
      <c r="M68" s="320" t="n"/>
    </row>
    <row r="69" ht="39" customHeight="1" s="140">
      <c r="A69" s="322" t="inlineStr">
        <is>
          <t>Los rotulos Dormitorio Norte y Dormitorio Sur del plano no coinciden con el norte real;</t>
        </is>
      </c>
      <c r="B69" s="320" t="n"/>
      <c r="C69" s="320" t="n"/>
      <c r="D69" s="320" t="n"/>
      <c r="E69" s="320" t="n"/>
      <c r="F69" s="320" t="n"/>
      <c r="G69" s="320" t="n"/>
      <c r="H69" s="320" t="n"/>
      <c r="I69" s="320" t="n"/>
      <c r="J69" s="320" t="n"/>
      <c r="K69" s="320" t="n"/>
      <c r="L69" s="320" t="n"/>
      <c r="M69" s="320" t="n"/>
    </row>
    <row r="70" ht="39" customHeight="1" s="140">
      <c r="A70" s="322" t="inlineStr">
        <is>
          <t>parecen ser nombres de uso, no orientaciones.</t>
        </is>
      </c>
      <c r="B70" s="320" t="n"/>
      <c r="C70" s="320" t="n"/>
      <c r="D70" s="320" t="n"/>
      <c r="E70" s="320" t="n"/>
      <c r="F70" s="320" t="n"/>
      <c r="G70" s="320" t="n"/>
      <c r="H70" s="320" t="n"/>
      <c r="I70" s="320" t="n"/>
      <c r="J70" s="320" t="n"/>
      <c r="K70" s="320" t="n"/>
      <c r="L70" s="320" t="n"/>
      <c r="M70" s="320" t="n"/>
    </row>
    <row r="71" ht="15" customHeight="1" s="140">
      <c r="A71" s="322" t="n"/>
      <c r="B71" s="320" t="n"/>
      <c r="C71" s="320" t="n"/>
      <c r="D71" s="320" t="n"/>
      <c r="E71" s="320" t="n"/>
      <c r="F71" s="320" t="n"/>
      <c r="G71" s="320" t="n"/>
      <c r="H71" s="320" t="n"/>
      <c r="I71" s="320" t="n"/>
      <c r="J71" s="320" t="n"/>
      <c r="K71" s="320" t="n"/>
      <c r="L71" s="320" t="n"/>
      <c r="M71" s="320" t="n"/>
    </row>
    <row r="72" ht="39" customHeight="1" s="140">
      <c r="A72" s="322" t="inlineStr">
        <is>
          <t>CANTIDADES: la planilla de carpinterias trae la cantidad de cada abertura. Tres van dos veces:</t>
        </is>
      </c>
      <c r="B72" s="320" t="n"/>
      <c r="C72" s="320" t="n"/>
      <c r="D72" s="320" t="n"/>
      <c r="E72" s="320" t="n"/>
      <c r="F72" s="320" t="n"/>
      <c r="G72" s="320" t="n"/>
      <c r="H72" s="320" t="n"/>
      <c r="I72" s="320" t="n"/>
      <c r="J72" s="320" t="n"/>
      <c r="K72" s="320" t="n"/>
      <c r="L72" s="320" t="n"/>
      <c r="M72" s="320" t="n"/>
    </row>
    <row r="73" ht="39" customHeight="1" s="140">
      <c r="A73" s="322" t="inlineStr">
        <is>
          <t>VA01 (01 Cocina y 09 Suite), VA04 (13 Dormitorio Norte y 14 Play Room) y PF01 (03 Lavadero y</t>
        </is>
      </c>
      <c r="B73" s="320" t="n"/>
      <c r="C73" s="320" t="n"/>
      <c r="D73" s="320" t="n"/>
      <c r="E73" s="320" t="n"/>
      <c r="F73" s="320" t="n"/>
      <c r="G73" s="320" t="n"/>
      <c r="H73" s="320" t="n"/>
      <c r="I73" s="320" t="n"/>
      <c r="J73" s="320" t="n"/>
      <c r="K73" s="320" t="n"/>
      <c r="L73" s="320" t="n"/>
      <c r="M73" s="320" t="n"/>
    </row>
    <row r="74" ht="39" customHeight="1" s="140">
      <c r="A74" s="322" t="inlineStr">
        <is>
          <t>07 Hall de ingreso, a los dos lados del patio interno). Por eso la planilla tiene 20 filas y</t>
        </is>
      </c>
      <c r="B74" s="320" t="n"/>
      <c r="C74" s="320" t="n"/>
      <c r="D74" s="320" t="n"/>
      <c r="E74" s="320" t="n"/>
      <c r="F74" s="320" t="n"/>
      <c r="G74" s="320" t="n"/>
      <c r="H74" s="320" t="n"/>
      <c r="I74" s="320" t="n"/>
      <c r="J74" s="320" t="n"/>
      <c r="K74" s="320" t="n"/>
      <c r="L74" s="320" t="n"/>
      <c r="M74" s="320" t="n"/>
    </row>
    <row r="75" ht="39" customHeight="1" s="140">
      <c r="A75" s="322" t="inlineStr">
        <is>
          <t>no 17. Las demas aberturas son de una sola unidad.</t>
        </is>
      </c>
      <c r="B75" s="320" t="n"/>
      <c r="C75" s="320" t="n"/>
      <c r="D75" s="320" t="n"/>
      <c r="E75" s="320" t="n"/>
      <c r="F75" s="320" t="n"/>
      <c r="G75" s="320" t="n"/>
      <c r="H75" s="320" t="n"/>
      <c r="I75" s="320" t="n"/>
      <c r="J75" s="320" t="n"/>
      <c r="K75" s="320" t="n"/>
      <c r="L75" s="320" t="n"/>
      <c r="M75" s="320" t="n"/>
    </row>
    <row r="76" ht="15" customHeight="1" s="140">
      <c r="A76" s="322" t="n"/>
      <c r="B76" s="320" t="n"/>
      <c r="C76" s="320" t="n"/>
      <c r="D76" s="320" t="n"/>
      <c r="E76" s="320" t="n"/>
      <c r="F76" s="320" t="n"/>
      <c r="G76" s="320" t="n"/>
      <c r="H76" s="320" t="n"/>
      <c r="I76" s="320" t="n"/>
      <c r="J76" s="320" t="n"/>
      <c r="K76" s="320" t="n"/>
      <c r="L76" s="320" t="n"/>
      <c r="M76" s="320" t="n"/>
    </row>
    <row r="77" ht="39" customHeight="1" s="140">
      <c r="A77" s="322" t="inlineStr">
        <is>
          <t>Las puertas interiores de madera PM01 a PM08 no se cargan: no son cerramientos exteriores.</t>
        </is>
      </c>
      <c r="B77" s="320" t="n"/>
      <c r="C77" s="320" t="n"/>
      <c r="D77" s="320" t="n"/>
      <c r="E77" s="320" t="n"/>
      <c r="F77" s="320" t="n"/>
      <c r="G77" s="320" t="n"/>
      <c r="H77" s="320" t="n"/>
      <c r="I77" s="320" t="n"/>
      <c r="J77" s="320" t="n"/>
      <c r="K77" s="320" t="n"/>
      <c r="L77" s="320" t="n"/>
      <c r="M77" s="320" t="n"/>
    </row>
    <row r="78" ht="15" customHeight="1" s="140">
      <c r="A78" s="322" t="n"/>
      <c r="B78" s="320" t="n"/>
      <c r="C78" s="320" t="n"/>
      <c r="D78" s="320" t="n"/>
      <c r="E78" s="320" t="n"/>
      <c r="F78" s="320" t="n"/>
      <c r="G78" s="320" t="n"/>
      <c r="H78" s="320" t="n"/>
      <c r="I78" s="320" t="n"/>
      <c r="J78" s="320" t="n"/>
      <c r="K78" s="320" t="n"/>
      <c r="L78" s="320" t="n"/>
      <c r="M78" s="320" t="n"/>
    </row>
    <row r="79" ht="39" customHeight="1" s="140">
      <c r="A79" s="322" t="inlineStr">
        <is>
          <t>DATO DE CONTRASTE: la planilla de iluminacion y ventilacion da la superficie vidriada</t>
        </is>
      </c>
      <c r="B79" s="320" t="n"/>
      <c r="C79" s="320" t="n"/>
      <c r="D79" s="320" t="n"/>
      <c r="E79" s="320" t="n"/>
      <c r="F79" s="320" t="n"/>
      <c r="G79" s="320" t="n"/>
      <c r="H79" s="320" t="n"/>
      <c r="I79" s="320" t="n"/>
      <c r="J79" s="320" t="n"/>
      <c r="K79" s="320" t="n"/>
      <c r="L79" s="320" t="n"/>
      <c r="M79" s="320" t="n"/>
    </row>
    <row r="80" ht="39" customHeight="1" s="140">
      <c r="A80" s="322" t="inlineStr">
        <is>
          <t>proyectada de cada local. La suma da 97,4 m2, que es el orden de magnitud que deberia</t>
        </is>
      </c>
      <c r="B80" s="320" t="n"/>
      <c r="C80" s="320" t="n"/>
      <c r="D80" s="320" t="n"/>
      <c r="E80" s="320" t="n"/>
      <c r="F80" s="320" t="n"/>
      <c r="G80" s="320" t="n"/>
      <c r="H80" s="320" t="n"/>
      <c r="I80" s="320" t="n"/>
      <c r="J80" s="320" t="n"/>
      <c r="K80" s="320" t="n"/>
      <c r="L80" s="320" t="n"/>
      <c r="M80" s="320" t="n"/>
    </row>
    <row r="81" ht="39" customHeight="1" s="140">
      <c r="A81" s="322" t="inlineStr">
        <is>
          <t>dar el total de vanos de los cuatro planos. Sirve para controlar que no falte ninguno.</t>
        </is>
      </c>
      <c r="B81" s="320" t="n"/>
      <c r="C81" s="320" t="n"/>
      <c r="D81" s="320" t="n"/>
      <c r="E81" s="320" t="n"/>
      <c r="F81" s="320" t="n"/>
      <c r="G81" s="320" t="n"/>
      <c r="H81" s="320" t="n"/>
      <c r="I81" s="320" t="n"/>
      <c r="J81" s="320" t="n"/>
      <c r="K81" s="320" t="n"/>
      <c r="L81" s="320" t="n"/>
      <c r="M81" s="320" t="n"/>
    </row>
    <row r="1048569" ht="12.8" customHeight="1" s="140"/>
    <row r="1048570" ht="12.8" customHeight="1" s="140"/>
    <row r="1048571" ht="12.8" customHeight="1" s="140"/>
    <row r="1048572" ht="12.8" customHeight="1" s="140"/>
    <row r="1048573" ht="12.8" customHeight="1" s="140"/>
    <row r="1048574" ht="12.8" customHeight="1" s="140"/>
    <row r="1048575" ht="12.8" customHeight="1" s="140"/>
    <row r="1048576" ht="12.8" customHeight="1" s="140"/>
  </sheetData>
  <mergeCells count="15">
    <mergeCell ref="A1:A3"/>
    <mergeCell ref="A13:M13"/>
    <mergeCell ref="K2:L2"/>
    <mergeCell ref="A6:M6"/>
    <mergeCell ref="E25:E29"/>
    <mergeCell ref="B3:L3"/>
    <mergeCell ref="A4:M4"/>
    <mergeCell ref="E7:E12"/>
    <mergeCell ref="E17:E23"/>
    <mergeCell ref="B1:L1"/>
    <mergeCell ref="A24:M24"/>
    <mergeCell ref="A16:M16"/>
    <mergeCell ref="M1:M3"/>
    <mergeCell ref="B2:J2"/>
    <mergeCell ref="E14:E15"/>
  </mergeCells>
  <conditionalFormatting sqref="M6:M29">
    <cfRule type="cellIs" rank="0" priority="2" equalAverage="0" operator="equal" aboveAverage="0" dxfId="0" text="" percent="0" bottom="0">
      <formula>"CUMPLE"</formula>
    </cfRule>
    <cfRule type="cellIs" rank="0" priority="3" equalAverage="0" operator="equal" aboveAverage="0" dxfId="1" text="" percent="0" bottom="0">
      <formula>"NO CUMPLE"</formula>
    </cfRule>
  </conditionalFormatting>
  <dataValidations count="2">
    <dataValidation sqref="I6:I29" showDropDown="0" showInputMessage="0" showErrorMessage="0" allowBlank="1" type="list">
      <formula1>"Sin Proteccion,Cortina blackout INTERIOR (no computa),Parasol horizontal fijo 1:2,Parasol horizontal fijo 1:1,Alero,Cortina de enrollar exterior,Persiana de madera,Toldo"</formula1>
    </dataValidation>
    <dataValidation sqref="K6:K29" showDropDown="0" showInputMessage="0" showErrorMessage="0" allowBlank="1" type="list">
      <formula1>"Norte,Sur,Este,Oeste,Noreste,Noroeste,Sudeste,Sudoeste,Horizontal"</formula1>
    </dataValidation>
  </dataValidations>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AH34"/>
  <sheetViews>
    <sheetView showGridLines="0" workbookViewId="0">
      <pane xSplit="3" ySplit="24" topLeftCell="D25" activePane="bottomRight" state="frozen"/>
      <selection pane="topRight"/>
      <selection pane="bottomLeft"/>
      <selection pane="bottomRight" activeCell="A1" sqref="A1"/>
    </sheetView>
  </sheetViews>
  <sheetFormatPr baseColWidth="8" defaultColWidth="8.54296875" defaultRowHeight="15" customHeight="0" zeroHeight="0" outlineLevelRow="0"/>
  <cols>
    <col width="7.66" customWidth="1" style="140" min="1" max="1"/>
    <col width="7.66" customWidth="1" style="140" min="2" max="2"/>
    <col width="7.66" customWidth="1" style="140" min="3" max="3"/>
    <col width="7.66" customWidth="1" style="140" min="4" max="4"/>
    <col width="18.39" customWidth="1" style="140" min="5" max="5"/>
    <col width="7.66" customWidth="1" style="140" min="6" max="6"/>
    <col width="7.66" customWidth="1" style="140" min="7" max="7"/>
    <col width="7.66" customWidth="1" style="140" min="8" max="8"/>
    <col width="7.66" customWidth="1" style="140" min="9" max="9"/>
    <col width="7.66" customWidth="1" style="140" min="10" max="10"/>
    <col width="7.66" customWidth="1" style="140" min="11" max="11"/>
    <col width="7.66" customWidth="1" style="140" min="12" max="12"/>
    <col width="7.66" customWidth="1" style="140" min="13" max="13"/>
    <col width="7.66" customWidth="1" style="140" min="14" max="14"/>
    <col width="7.66" customWidth="1" style="140" min="15" max="15"/>
    <col width="7.66" customWidth="1" style="140" min="16" max="16"/>
    <col width="7.66" customWidth="1" style="140" min="17" max="17"/>
    <col width="7.66" customWidth="1" style="140" min="18" max="18"/>
    <col width="7.66" customWidth="1" style="140" min="19" max="19"/>
    <col width="7.66" customWidth="1" style="140" min="20" max="20"/>
    <col width="7.66" customWidth="1" style="140" min="21" max="21"/>
    <col width="7.66" customWidth="1" style="140" min="22" max="22"/>
    <col width="20.2" customWidth="1" style="140" min="23" max="23"/>
    <col width="45.9" customWidth="1" style="140" min="24" max="24"/>
    <col width="23" customWidth="1" style="140" min="25" max="25"/>
    <col width="14.9" customWidth="1" style="140" min="26" max="26"/>
    <col width="10.8" customWidth="1" style="140" min="27" max="27"/>
    <col width="13.5" customWidth="1" style="140" min="28" max="28"/>
    <col width="13.5" customWidth="1" style="140" min="29" max="29"/>
    <col width="14.9" customWidth="1" style="140" min="30" max="30"/>
    <col width="10.8" customWidth="1" style="140" min="31" max="31"/>
    <col width="10.8" customWidth="1" style="140" min="32" max="32"/>
    <col width="10.8" customWidth="1" style="140" min="33" max="33"/>
    <col width="9.52" customWidth="1" style="140" min="34" max="34"/>
  </cols>
  <sheetData>
    <row r="1" ht="39" customHeight="1" s="140">
      <c r="A1" s="323" t="inlineStr">
        <is>
          <t>VIGAS  H°A°        H-21        ACERO 42/50</t>
        </is>
      </c>
    </row>
    <row r="2" ht="19.85" customHeight="1" s="140">
      <c r="A2" s="301" t="inlineStr">
        <is>
          <t>NIVEL</t>
        </is>
      </c>
      <c r="B2" s="301" t="inlineStr">
        <is>
          <t>POSICION</t>
        </is>
      </c>
      <c r="C2" s="301" t="inlineStr">
        <is>
          <t>LUZ (m)</t>
        </is>
      </c>
      <c r="D2" s="301" t="inlineStr">
        <is>
          <t>CARGAS (kg/m)</t>
        </is>
      </c>
      <c r="E2" s="232" t="n"/>
      <c r="F2" s="301" t="inlineStr">
        <is>
          <t>REACCIONES</t>
        </is>
      </c>
      <c r="G2" s="232" t="n"/>
      <c r="H2" s="301" t="inlineStr">
        <is>
          <t>MOMENTO TRAMO (kgm)</t>
        </is>
      </c>
      <c r="I2" s="301" t="inlineStr">
        <is>
          <t>MOMENTO APOYO (kgm)</t>
        </is>
      </c>
      <c r="J2" s="301" t="inlineStr">
        <is>
          <t>DIMENSIONES</t>
        </is>
      </c>
      <c r="K2" s="214" t="n"/>
      <c r="L2" s="232" t="n"/>
      <c r="M2" s="301" t="inlineStr">
        <is>
          <t>ARMADURA TRAMO</t>
        </is>
      </c>
      <c r="N2" s="214" t="n"/>
      <c r="O2" s="232" t="n"/>
      <c r="P2" s="301" t="inlineStr">
        <is>
          <t>ARMADURA APOYO</t>
        </is>
      </c>
      <c r="Q2" s="214" t="n"/>
      <c r="R2" s="232" t="n"/>
      <c r="S2" s="301" t="inlineStr">
        <is>
          <t>T (kg/cm2)</t>
        </is>
      </c>
      <c r="T2" s="214" t="n"/>
      <c r="U2" s="232" t="n"/>
      <c r="V2" s="301" t="inlineStr">
        <is>
          <t>ESTRIBOS</t>
        </is>
      </c>
      <c r="W2" s="301" t="inlineStr">
        <is>
          <t>VERIFICACION</t>
        </is>
      </c>
      <c r="X2" s="301" t="inlineStr">
        <is>
          <t>OBSERVACIONES</t>
        </is>
      </c>
      <c r="Y2" s="301" t="inlineStr">
        <is>
          <t>DATOS AUXILIARES</t>
        </is>
      </c>
      <c r="Z2" s="214" t="n"/>
      <c r="AA2" s="214" t="n"/>
      <c r="AB2" s="214" t="n"/>
      <c r="AC2" s="214" t="n"/>
      <c r="AD2" s="214" t="n"/>
      <c r="AE2" s="214" t="n"/>
      <c r="AF2" s="214" t="n"/>
      <c r="AG2" s="214" t="n"/>
      <c r="AH2" s="232" t="n"/>
    </row>
    <row r="3" ht="19.85" customHeight="1" s="140">
      <c r="A3" s="302" t="n"/>
      <c r="B3" s="302" t="n"/>
      <c r="C3" s="302" t="n"/>
      <c r="D3" s="303" t="inlineStr">
        <is>
          <t>p</t>
        </is>
      </c>
      <c r="E3" s="303" t="inlineStr">
        <is>
          <t>diagrama</t>
        </is>
      </c>
      <c r="F3" s="303" t="inlineStr">
        <is>
          <t>RA</t>
        </is>
      </c>
      <c r="G3" s="303" t="inlineStr">
        <is>
          <t>RB</t>
        </is>
      </c>
      <c r="H3" s="302" t="n"/>
      <c r="I3" s="302" t="n"/>
      <c r="J3" s="303" t="inlineStr">
        <is>
          <t>b</t>
        </is>
      </c>
      <c r="K3" s="303" t="inlineStr">
        <is>
          <t>h</t>
        </is>
      </c>
      <c r="L3" s="303" t="inlineStr">
        <is>
          <t>d</t>
        </is>
      </c>
      <c r="M3" s="303" t="inlineStr">
        <is>
          <t>cm2</t>
        </is>
      </c>
      <c r="N3" s="303" t="inlineStr">
        <is>
          <t>n</t>
        </is>
      </c>
      <c r="O3" s="303" t="inlineStr">
        <is>
          <t>o</t>
        </is>
      </c>
      <c r="P3" s="303" t="inlineStr">
        <is>
          <t>cm2</t>
        </is>
      </c>
      <c r="Q3" s="303" t="inlineStr">
        <is>
          <t>n</t>
        </is>
      </c>
      <c r="R3" s="303" t="inlineStr">
        <is>
          <t>o</t>
        </is>
      </c>
      <c r="S3" s="303" t="inlineStr">
        <is>
          <t>A</t>
        </is>
      </c>
      <c r="T3" s="303" t="inlineStr">
        <is>
          <t>B</t>
        </is>
      </c>
      <c r="U3" s="303" t="inlineStr">
        <is>
          <t>o</t>
        </is>
      </c>
      <c r="V3" s="303" t="inlineStr">
        <is>
          <t>SEPAR</t>
        </is>
      </c>
      <c r="W3" s="302" t="n"/>
      <c r="X3" s="302" t="n"/>
      <c r="Y3" s="303" t="inlineStr">
        <is>
          <t>esquema</t>
        </is>
      </c>
      <c r="Z3" s="303" t="inlineStr">
        <is>
          <t>tipo</t>
        </is>
      </c>
      <c r="AA3" s="303" t="inlineStr">
        <is>
          <t>hf losa</t>
        </is>
      </c>
      <c r="AB3" s="303" t="inlineStr">
        <is>
          <t>b ef tramo</t>
        </is>
      </c>
      <c r="AC3" s="303" t="inlineStr">
        <is>
          <t>b ef apoyo</t>
        </is>
      </c>
      <c r="AD3" s="303" t="inlineStr">
        <is>
          <t>P punt. (kg)</t>
        </is>
      </c>
      <c r="AE3" s="303" t="inlineStr">
        <is>
          <t>a (m)</t>
        </is>
      </c>
      <c r="AF3" s="303" t="inlineStr">
        <is>
          <t>B trib.</t>
        </is>
      </c>
      <c r="AG3" s="303" t="inlineStr">
        <is>
          <t>h muro</t>
        </is>
      </c>
      <c r="AH3" s="303" t="inlineStr">
        <is>
          <t>rec.</t>
        </is>
      </c>
    </row>
    <row r="4" ht="31.2" customHeight="1" s="140">
      <c r="A4" s="324" t="inlineStr">
        <is>
          <t>PA</t>
        </is>
      </c>
      <c r="B4" s="316" t="inlineStr">
        <is>
          <t>VI 01a</t>
        </is>
      </c>
      <c r="C4" s="306" t="n">
        <v>9.9</v>
      </c>
      <c r="D4" s="325" t="n">
        <v>1082.4</v>
      </c>
      <c r="E4" s="307" t="n"/>
      <c r="F4" s="325" t="n">
        <v>6161.562</v>
      </c>
      <c r="G4" s="325" t="n">
        <v>6161.562</v>
      </c>
      <c r="H4" s="325" t="n">
        <v>7577.72469432</v>
      </c>
      <c r="I4" s="325" t="n">
        <v>10608.6024</v>
      </c>
      <c r="J4" s="307" t="n">
        <v>15</v>
      </c>
      <c r="K4" s="307" t="n">
        <v>67</v>
      </c>
      <c r="L4" s="307" t="n">
        <v>70</v>
      </c>
      <c r="M4" s="306" t="n">
        <v>3.3165</v>
      </c>
      <c r="N4" s="307" t="n">
        <v>3</v>
      </c>
      <c r="O4" s="307" t="n">
        <v>12</v>
      </c>
      <c r="P4" s="306" t="n">
        <v>4.20154714925703</v>
      </c>
      <c r="Q4" s="307" t="n">
        <v>2</v>
      </c>
      <c r="R4" s="307" t="n">
        <v>20</v>
      </c>
      <c r="S4" s="306" t="n">
        <v>7.21283230904302</v>
      </c>
      <c r="T4" s="306" t="n">
        <v>7.21283230904302</v>
      </c>
      <c r="U4" s="307" t="n">
        <v>6</v>
      </c>
      <c r="V4" s="307" t="n">
        <v>30</v>
      </c>
      <c r="W4" s="307" t="inlineStr">
        <is>
          <t>VERIFICA</t>
        </is>
      </c>
      <c r="X4" s="309" t="inlineStr">
        <is>
          <t>Viga de borde sobre la medianera: NO recibe losa. Solo peso propio y mamposteria. Apoya en el tabique T01a y en la columna COL 01 de 10x10. Viga de borde: recibe la reaccion de la losa excentrica y queda sometida a TORSION, no verificada en esta planilla.</t>
        </is>
      </c>
      <c r="Y4" s="307" t="inlineStr">
        <is>
          <t>Continua</t>
        </is>
      </c>
      <c r="Z4" s="307" t="inlineStr">
        <is>
          <t>Invertida</t>
        </is>
      </c>
      <c r="AA4" s="307" t="n">
        <v>12</v>
      </c>
      <c r="AB4" s="307" t="n">
        <v>15</v>
      </c>
      <c r="AC4" s="307" t="n">
        <v>207</v>
      </c>
      <c r="AD4" s="307" t="n"/>
      <c r="AE4" s="307" t="n"/>
      <c r="AF4" s="307" t="n">
        <v>0</v>
      </c>
      <c r="AG4" s="307" t="n">
        <v>2.6</v>
      </c>
      <c r="AH4" s="307" t="n">
        <v>3</v>
      </c>
    </row>
    <row r="5" ht="31.2" customHeight="1" s="140">
      <c r="A5" s="280" t="n"/>
      <c r="B5" s="316" t="inlineStr">
        <is>
          <t>VI 01b</t>
        </is>
      </c>
      <c r="C5" s="306" t="n">
        <v>3.95</v>
      </c>
      <c r="D5" s="325" t="n">
        <v>1082.4</v>
      </c>
      <c r="E5" s="307" t="n"/>
      <c r="F5" s="325" t="n">
        <v>2458.401</v>
      </c>
      <c r="G5" s="325" t="n">
        <v>2458.401</v>
      </c>
      <c r="H5" s="325" t="n">
        <v>1206.32026878</v>
      </c>
      <c r="I5" s="325" t="n">
        <v>1688.8146</v>
      </c>
      <c r="J5" s="307" t="n">
        <v>15</v>
      </c>
      <c r="K5" s="307" t="n">
        <v>67</v>
      </c>
      <c r="L5" s="307" t="n">
        <v>70</v>
      </c>
      <c r="M5" s="306" t="n">
        <v>3.3165</v>
      </c>
      <c r="N5" s="307" t="n">
        <v>3</v>
      </c>
      <c r="O5" s="307" t="n">
        <v>12</v>
      </c>
      <c r="P5" s="306" t="n">
        <v>3.3165</v>
      </c>
      <c r="Q5" s="307" t="n">
        <v>3</v>
      </c>
      <c r="R5" s="307" t="n">
        <v>12</v>
      </c>
      <c r="S5" s="306" t="n">
        <v>2.87784723441615</v>
      </c>
      <c r="T5" s="306" t="n">
        <v>2.87784723441615</v>
      </c>
      <c r="U5" s="307" t="n">
        <v>6</v>
      </c>
      <c r="V5" s="307" t="n">
        <v>30</v>
      </c>
      <c r="W5" s="307" t="inlineStr">
        <is>
          <t>VERIFICA</t>
        </is>
      </c>
      <c r="X5" s="309" t="inlineStr">
        <is>
          <t>Viga de borde: recibe la reaccion de la losa excentrica y queda sometida a TORSION, no verificada en esta planilla.</t>
        </is>
      </c>
      <c r="Y5" s="307" t="inlineStr">
        <is>
          <t>Continua</t>
        </is>
      </c>
      <c r="Z5" s="307" t="inlineStr">
        <is>
          <t>Invertida</t>
        </is>
      </c>
      <c r="AA5" s="307" t="n">
        <v>12</v>
      </c>
      <c r="AB5" s="307" t="n">
        <v>15</v>
      </c>
      <c r="AC5" s="307" t="n">
        <v>98.75</v>
      </c>
      <c r="AD5" s="307" t="n"/>
      <c r="AE5" s="307" t="n"/>
      <c r="AF5" s="307" t="n">
        <v>0</v>
      </c>
      <c r="AG5" s="307" t="n">
        <v>2.6</v>
      </c>
      <c r="AH5" s="307" t="n">
        <v>3</v>
      </c>
    </row>
    <row r="6" ht="31.2" customHeight="1" s="140">
      <c r="A6" s="280" t="n"/>
      <c r="B6" s="316" t="inlineStr">
        <is>
          <t>VI 02</t>
        </is>
      </c>
      <c r="C6" s="306" t="n">
        <v>9.880000000000001</v>
      </c>
      <c r="D6" s="325" t="n">
        <v>3717.62</v>
      </c>
      <c r="E6" s="307" t="n"/>
      <c r="F6" s="325" t="n">
        <v>21119.79922</v>
      </c>
      <c r="G6" s="325" t="n">
        <v>21119.79922</v>
      </c>
      <c r="H6" s="325" t="n">
        <v>25921.464542351</v>
      </c>
      <c r="I6" s="325" t="n">
        <v>36289.3245728</v>
      </c>
      <c r="J6" s="307" t="n">
        <v>15</v>
      </c>
      <c r="K6" s="307" t="n">
        <v>64</v>
      </c>
      <c r="L6" s="307" t="n">
        <v>70</v>
      </c>
      <c r="M6" s="306" t="n">
        <v>12.2876708310896</v>
      </c>
      <c r="N6" s="307" t="n">
        <v>4</v>
      </c>
      <c r="O6" s="307" t="n">
        <v>20</v>
      </c>
      <c r="P6" s="306" t="n">
        <v>15.1743557006531</v>
      </c>
      <c r="Q6" s="307" t="n">
        <v>4</v>
      </c>
      <c r="R6" s="307" t="n">
        <v>25</v>
      </c>
      <c r="S6" s="306" t="n">
        <v>25.8821068872549</v>
      </c>
      <c r="T6" s="306" t="n">
        <v>25.8821068872549</v>
      </c>
      <c r="U6" s="307" t="n">
        <v>8</v>
      </c>
      <c r="V6" s="307" t="n">
        <v>10</v>
      </c>
      <c r="W6" s="307" t="inlineStr">
        <is>
          <t>VERIFICA</t>
        </is>
      </c>
      <c r="X6" s="309" t="inlineStr">
        <is>
          <t>Armadura en 2 capas (rec. 6 cm). NO USAR TEXTO VIEJO. Recibe L03 (2,08 m) y el alero L02, computado como 0,59 m equivalentes por tener menor carga que un entrepiso. Con 9,88 m de luz y 15x60 la armadura de apoyo necesaria (25,5 cm2) supera la cuantia maxima (13,2). Apoyos confirmados en obra: tabique T07 perpendicular en el extremo superior y COL 02 en el inferior, sin apoyo intermedio. Para esta carga harian falta 15x75 (As 16,2 cm2). Verificar la seccion real construida.</t>
        </is>
      </c>
      <c r="Y6" s="307" t="inlineStr">
        <is>
          <t>Continua</t>
        </is>
      </c>
      <c r="Z6" s="307" t="inlineStr">
        <is>
          <t>Invertida</t>
        </is>
      </c>
      <c r="AA6" s="307" t="n">
        <v>12</v>
      </c>
      <c r="AB6" s="307" t="n">
        <v>15</v>
      </c>
      <c r="AC6" s="307" t="n">
        <v>207</v>
      </c>
      <c r="AD6" s="307" t="n"/>
      <c r="AE6" s="307" t="n"/>
      <c r="AF6" s="307" t="n">
        <v>2.689</v>
      </c>
      <c r="AG6" s="307" t="n">
        <v>2.6</v>
      </c>
      <c r="AH6" s="307" t="n">
        <v>6</v>
      </c>
    </row>
    <row r="7" ht="31.2" customHeight="1" s="140">
      <c r="A7" s="280" t="n"/>
      <c r="B7" s="316" t="inlineStr">
        <is>
          <t>VI 03c</t>
        </is>
      </c>
      <c r="C7" s="306" t="n">
        <v>3.75</v>
      </c>
      <c r="D7" s="325" t="n">
        <v>3140.4</v>
      </c>
      <c r="E7" s="307" t="n"/>
      <c r="F7" s="325" t="n">
        <v>6771.4875</v>
      </c>
      <c r="G7" s="325" t="n">
        <v>6771.4875</v>
      </c>
      <c r="H7" s="325" t="n">
        <v>3154.48273125</v>
      </c>
      <c r="I7" s="325" t="n">
        <v>4416.1875</v>
      </c>
      <c r="J7" s="307" t="n">
        <v>15</v>
      </c>
      <c r="K7" s="307" t="n">
        <v>67</v>
      </c>
      <c r="L7" s="307" t="n">
        <v>70</v>
      </c>
      <c r="M7" s="306" t="n">
        <v>3.3165</v>
      </c>
      <c r="N7" s="307" t="n">
        <v>3</v>
      </c>
      <c r="O7" s="307" t="n">
        <v>12</v>
      </c>
      <c r="P7" s="306" t="n">
        <v>3.3165</v>
      </c>
      <c r="Q7" s="307" t="n">
        <v>3</v>
      </c>
      <c r="R7" s="307" t="n">
        <v>12</v>
      </c>
      <c r="S7" s="306" t="n">
        <v>7.92682177348551</v>
      </c>
      <c r="T7" s="306" t="n">
        <v>7.92682177348551</v>
      </c>
      <c r="U7" s="307" t="n">
        <v>6</v>
      </c>
      <c r="V7" s="307" t="n">
        <v>30</v>
      </c>
      <c r="W7" s="307" t="inlineStr">
        <is>
          <t>VERIFICA</t>
        </is>
      </c>
      <c r="X7" s="307" t="n"/>
      <c r="Y7" s="307" t="inlineStr">
        <is>
          <t>Continua</t>
        </is>
      </c>
      <c r="Z7" s="307" t="inlineStr">
        <is>
          <t>Invertida</t>
        </is>
      </c>
      <c r="AA7" s="307" t="n">
        <v>12</v>
      </c>
      <c r="AB7" s="307" t="n">
        <v>15</v>
      </c>
      <c r="AC7" s="307" t="n">
        <v>93.75</v>
      </c>
      <c r="AD7" s="307" t="n"/>
      <c r="AE7" s="307" t="n"/>
      <c r="AF7" s="307" t="n">
        <v>2.1</v>
      </c>
      <c r="AG7" s="307" t="n">
        <v>2.6</v>
      </c>
      <c r="AH7" s="307" t="n">
        <v>3</v>
      </c>
    </row>
    <row r="8" ht="31.2" customHeight="1" s="140">
      <c r="A8" s="280" t="n"/>
      <c r="B8" s="316" t="inlineStr">
        <is>
          <t>VI 04a</t>
        </is>
      </c>
      <c r="C8" s="306" t="n">
        <v>3.75</v>
      </c>
      <c r="D8" s="325" t="n">
        <v>1082.4</v>
      </c>
      <c r="E8" s="307" t="n"/>
      <c r="F8" s="325" t="n">
        <v>5626.565</v>
      </c>
      <c r="G8" s="325" t="n">
        <v>5626.565</v>
      </c>
      <c r="H8" s="325" t="n">
        <v>5532.3178875</v>
      </c>
      <c r="I8" s="325" t="n">
        <v>4485.501</v>
      </c>
      <c r="J8" s="307" t="n">
        <v>15</v>
      </c>
      <c r="K8" s="307" t="n">
        <v>67</v>
      </c>
      <c r="L8" s="307" t="n">
        <v>70</v>
      </c>
      <c r="M8" s="306" t="n">
        <v>3.3165</v>
      </c>
      <c r="N8" s="307" t="n">
        <v>3</v>
      </c>
      <c r="O8" s="307" t="n">
        <v>12</v>
      </c>
      <c r="P8" s="306" t="n">
        <v>3.3165</v>
      </c>
      <c r="Q8" s="307" t="n">
        <v>3</v>
      </c>
      <c r="R8" s="307" t="n">
        <v>12</v>
      </c>
      <c r="S8" s="306" t="n">
        <v>6.5865554580041</v>
      </c>
      <c r="T8" s="306" t="n">
        <v>6.5865554580041</v>
      </c>
      <c r="U8" s="307" t="n">
        <v>6</v>
      </c>
      <c r="V8" s="307" t="n">
        <v>30</v>
      </c>
      <c r="W8" s="307" t="inlineStr">
        <is>
          <t>VERIFICA</t>
        </is>
      </c>
      <c r="X8" s="309" t="inlineStr">
        <is>
          <t>VI 09 le descarga 6.332 kg a 1,80 m del apoyo, practicamente al medio de sus 3,75 m. Esta viga no recibe losa, de modo que la puntual es casi toda su carga. Se superpone el momento isostatico P a b / L repartido 0,75 al tramo y 0,50 al apoyo, y la reaccion isostatica al corte.</t>
        </is>
      </c>
      <c r="Y8" s="307" t="inlineStr">
        <is>
          <t>Continua</t>
        </is>
      </c>
      <c r="Z8" s="307" t="inlineStr">
        <is>
          <t>Invertida</t>
        </is>
      </c>
      <c r="AA8" s="307" t="n">
        <v>12</v>
      </c>
      <c r="AB8" s="307" t="n">
        <v>15</v>
      </c>
      <c r="AC8" s="307" t="n">
        <v>93.75</v>
      </c>
      <c r="AD8" s="307" t="n">
        <v>6332</v>
      </c>
      <c r="AE8" s="307" t="n">
        <v>1.8</v>
      </c>
      <c r="AF8" s="307" t="n">
        <v>0</v>
      </c>
      <c r="AG8" s="307" t="n">
        <v>2.6</v>
      </c>
      <c r="AH8" s="307" t="n">
        <v>3</v>
      </c>
    </row>
    <row r="9" ht="31.2" customHeight="1" s="140">
      <c r="A9" s="280" t="n"/>
      <c r="B9" s="316" t="inlineStr">
        <is>
          <t>VI 04b</t>
        </is>
      </c>
      <c r="C9" s="306" t="n">
        <v>3.8</v>
      </c>
      <c r="D9" s="325" t="n">
        <v>2600.42</v>
      </c>
      <c r="E9" s="307" t="n"/>
      <c r="F9" s="325" t="n">
        <v>5681.9177</v>
      </c>
      <c r="G9" s="325" t="n">
        <v>5681.9177</v>
      </c>
      <c r="H9" s="325" t="n">
        <v>2682.201128664</v>
      </c>
      <c r="I9" s="325" t="n">
        <v>3755.00648</v>
      </c>
      <c r="J9" s="307" t="n">
        <v>15</v>
      </c>
      <c r="K9" s="307" t="n">
        <v>67</v>
      </c>
      <c r="L9" s="307" t="n">
        <v>70</v>
      </c>
      <c r="M9" s="306" t="n">
        <v>3.3165</v>
      </c>
      <c r="N9" s="307" t="n">
        <v>3</v>
      </c>
      <c r="O9" s="307" t="n">
        <v>12</v>
      </c>
      <c r="P9" s="306" t="n">
        <v>3.3165</v>
      </c>
      <c r="Q9" s="307" t="n">
        <v>3</v>
      </c>
      <c r="R9" s="307" t="n">
        <v>12</v>
      </c>
      <c r="S9" s="306" t="n">
        <v>6.65135229733684</v>
      </c>
      <c r="T9" s="306" t="n">
        <v>6.65135229733684</v>
      </c>
      <c r="U9" s="307" t="n">
        <v>6</v>
      </c>
      <c r="V9" s="307" t="n">
        <v>30</v>
      </c>
      <c r="W9" s="307" t="inlineStr">
        <is>
          <t>VERIFICA</t>
        </is>
      </c>
      <c r="X9" s="307" t="n"/>
      <c r="Y9" s="307" t="inlineStr">
        <is>
          <t>Continua</t>
        </is>
      </c>
      <c r="Z9" s="307" t="inlineStr">
        <is>
          <t>Invertida</t>
        </is>
      </c>
      <c r="AA9" s="307" t="n">
        <v>12</v>
      </c>
      <c r="AB9" s="307" t="n">
        <v>15</v>
      </c>
      <c r="AC9" s="307" t="n">
        <v>95</v>
      </c>
      <c r="AD9" s="307" t="n"/>
      <c r="AE9" s="307" t="n"/>
      <c r="AF9" s="307" t="n">
        <v>1.549</v>
      </c>
      <c r="AG9" s="307" t="n">
        <v>2.6</v>
      </c>
      <c r="AH9" s="307" t="n">
        <v>3</v>
      </c>
    </row>
    <row r="10" ht="31.2" customHeight="1" s="140">
      <c r="A10" s="280" t="n"/>
      <c r="B10" s="316" t="inlineStr">
        <is>
          <t>VI 06</t>
        </is>
      </c>
      <c r="C10" s="306" t="n">
        <v>6.53</v>
      </c>
      <c r="D10" s="325" t="n">
        <v>2600.42</v>
      </c>
      <c r="E10" s="307" t="n"/>
      <c r="F10" s="325" t="n">
        <v>15234.6773778484</v>
      </c>
      <c r="G10" s="325" t="n">
        <v>15234.6773778484</v>
      </c>
      <c r="H10" s="325" t="n">
        <v>10095.0851959668</v>
      </c>
      <c r="I10" s="325" t="n">
        <v>12538.1737692548</v>
      </c>
      <c r="J10" s="307" t="n">
        <v>15</v>
      </c>
      <c r="K10" s="307" t="n">
        <v>67</v>
      </c>
      <c r="L10" s="307" t="n">
        <v>70</v>
      </c>
      <c r="M10" s="306" t="n">
        <v>4.15809310613815</v>
      </c>
      <c r="N10" s="307" t="n">
        <v>2</v>
      </c>
      <c r="O10" s="307" t="n">
        <v>20</v>
      </c>
      <c r="P10" s="306" t="n">
        <v>4.97332561678804</v>
      </c>
      <c r="Q10" s="307" t="n">
        <v>2</v>
      </c>
      <c r="R10" s="307" t="n">
        <v>20</v>
      </c>
      <c r="S10" s="306" t="n">
        <v>17.8339799565097</v>
      </c>
      <c r="T10" s="306" t="n">
        <v>17.8339799565097</v>
      </c>
      <c r="U10" s="307" t="n">
        <v>6</v>
      </c>
      <c r="V10" s="307" t="n">
        <v>10</v>
      </c>
      <c r="W10" s="307" t="inlineStr">
        <is>
          <t>VERIFICA</t>
        </is>
      </c>
      <c r="X10" s="309" t="inlineStr">
        <is>
          <t>Longitud total 14,00 m. Sobre su eje hay cuatro columnas: trabaja como viga continua de tres tramos de 4,10, 4,32 y 6,53 m. Se calcula con el mayor. Es el cuarto borde de la losa cruzada L07. Longitud total 14,00 m. Sobre su eje hay cuatro columnas: trabaja como viga continua de tres tramos de 4,10, 4,32 y 6,53 m. Se calcula con el mayor. Es el cuarto borde de la losa cruzada L07. VI 08b le descarga 5.954 kg a 6,00 m del extremo inferior, dentro del tramo de 6,53 m y a solo 53 cm del apoyo siguiente: aporta poco momento y mucho corte, por eso la reaccion sube de 9.764 a 15.235 kg. Se superpone el momento isostatico P a b / L repartido 0,75 al tramo y 0,50 al apoyo, y la reaccion isostatica al corte. Viga principal: recibe a VI 08b y a VI 09. VI 09 apoya a 7,95 m del extremo inferior, o sea en el tramo del medio de 4,32 m, que con esa puntual llega a 7.993 kgm y no gobierna. El tramo que gobierna es el de 6,53 m con la puntual de VI 08b.</t>
        </is>
      </c>
      <c r="Y10" s="307" t="inlineStr">
        <is>
          <t>Continua</t>
        </is>
      </c>
      <c r="Z10" s="307" t="inlineStr">
        <is>
          <t>Invertida</t>
        </is>
      </c>
      <c r="AA10" s="307" t="n">
        <v>12</v>
      </c>
      <c r="AB10" s="307" t="n">
        <v>15</v>
      </c>
      <c r="AC10" s="307" t="n">
        <v>163.25</v>
      </c>
      <c r="AD10" s="307" t="n">
        <v>5954</v>
      </c>
      <c r="AE10" s="307" t="n">
        <v>6</v>
      </c>
      <c r="AF10" s="307" t="n">
        <v>1.549</v>
      </c>
      <c r="AG10" s="307" t="n">
        <v>2.6</v>
      </c>
      <c r="AH10" s="307" t="n">
        <v>3</v>
      </c>
    </row>
    <row r="11" ht="31.2" customHeight="1" s="140">
      <c r="A11" s="280" t="n"/>
      <c r="B11" s="316" t="inlineStr">
        <is>
          <t>VI 07a</t>
        </is>
      </c>
      <c r="C11" s="306" t="n">
        <v>3.37</v>
      </c>
      <c r="D11" s="325" t="n">
        <v>1846.8</v>
      </c>
      <c r="E11" s="307" t="n"/>
      <c r="F11" s="325" t="n">
        <v>3578.6367</v>
      </c>
      <c r="G11" s="325" t="n">
        <v>3578.6367</v>
      </c>
      <c r="H11" s="325" t="n">
        <v>1498.1673141756</v>
      </c>
      <c r="I11" s="325" t="n">
        <v>2097.392292</v>
      </c>
      <c r="J11" s="307" t="n">
        <v>15</v>
      </c>
      <c r="K11" s="307" t="n">
        <v>67</v>
      </c>
      <c r="L11" s="307" t="n">
        <v>70</v>
      </c>
      <c r="M11" s="306" t="n">
        <v>3.3165</v>
      </c>
      <c r="N11" s="307" t="n">
        <v>3</v>
      </c>
      <c r="O11" s="307" t="n">
        <v>12</v>
      </c>
      <c r="P11" s="306" t="n">
        <v>3.3165</v>
      </c>
      <c r="Q11" s="307" t="n">
        <v>3</v>
      </c>
      <c r="R11" s="307" t="n">
        <v>12</v>
      </c>
      <c r="S11" s="306" t="n">
        <v>4.18921474978051</v>
      </c>
      <c r="T11" s="306" t="n">
        <v>4.18921474978051</v>
      </c>
      <c r="U11" s="307" t="n">
        <v>6</v>
      </c>
      <c r="V11" s="307" t="n">
        <v>30</v>
      </c>
      <c r="W11" s="307" t="inlineStr">
        <is>
          <t>VERIFICA</t>
        </is>
      </c>
      <c r="X11" s="309" t="inlineStr">
        <is>
          <t>Viga de borde: recibe la reaccion de la losa excentrica y queda sometida a TORSION, no verificada en esta planilla.</t>
        </is>
      </c>
      <c r="Y11" s="307" t="inlineStr">
        <is>
          <t>Continua</t>
        </is>
      </c>
      <c r="Z11" s="307" t="inlineStr">
        <is>
          <t>Invertida</t>
        </is>
      </c>
      <c r="AA11" s="307" t="n">
        <v>12</v>
      </c>
      <c r="AB11" s="307" t="n">
        <v>15</v>
      </c>
      <c r="AC11" s="307" t="n">
        <v>84.25</v>
      </c>
      <c r="AD11" s="307" t="n"/>
      <c r="AE11" s="307" t="n"/>
      <c r="AF11" s="307" t="n">
        <v>0.78</v>
      </c>
      <c r="AG11" s="307" t="n">
        <v>2.6</v>
      </c>
      <c r="AH11" s="307" t="n">
        <v>3</v>
      </c>
    </row>
    <row r="12" ht="31.2" customHeight="1" s="140">
      <c r="A12" s="280" t="n"/>
      <c r="B12" s="316" t="inlineStr">
        <is>
          <t>VI 07b</t>
        </is>
      </c>
      <c r="C12" s="306" t="n">
        <v>4.03</v>
      </c>
      <c r="D12" s="325" t="n">
        <v>1082.4</v>
      </c>
      <c r="E12" s="307" t="n"/>
      <c r="F12" s="325" t="n">
        <v>2508.1914</v>
      </c>
      <c r="G12" s="325" t="n">
        <v>2508.1914</v>
      </c>
      <c r="H12" s="325" t="n">
        <v>1255.6786959288</v>
      </c>
      <c r="I12" s="325" t="n">
        <v>1757.915016</v>
      </c>
      <c r="J12" s="307" t="n">
        <v>15</v>
      </c>
      <c r="K12" s="307" t="n">
        <v>67</v>
      </c>
      <c r="L12" s="307" t="n">
        <v>70</v>
      </c>
      <c r="M12" s="306" t="n">
        <v>3.3165</v>
      </c>
      <c r="N12" s="307" t="n">
        <v>3</v>
      </c>
      <c r="O12" s="307" t="n">
        <v>12</v>
      </c>
      <c r="P12" s="306" t="n">
        <v>3.3165</v>
      </c>
      <c r="Q12" s="307" t="n">
        <v>3</v>
      </c>
      <c r="R12" s="307" t="n">
        <v>12</v>
      </c>
      <c r="S12" s="306" t="n">
        <v>2.93613274802458</v>
      </c>
      <c r="T12" s="306" t="n">
        <v>2.93613274802458</v>
      </c>
      <c r="U12" s="307" t="n">
        <v>6</v>
      </c>
      <c r="V12" s="307" t="n">
        <v>30</v>
      </c>
      <c r="W12" s="307" t="inlineStr">
        <is>
          <t>VERIFICA</t>
        </is>
      </c>
      <c r="X12" s="309" t="inlineStr">
        <is>
          <t>Viga de borde: recibe la reaccion de la losa excentrica y queda sometida a TORSION, no verificada en esta planilla.</t>
        </is>
      </c>
      <c r="Y12" s="307" t="inlineStr">
        <is>
          <t>Continua</t>
        </is>
      </c>
      <c r="Z12" s="307" t="inlineStr">
        <is>
          <t>Invertida</t>
        </is>
      </c>
      <c r="AA12" s="307" t="n">
        <v>12</v>
      </c>
      <c r="AB12" s="307" t="n">
        <v>15</v>
      </c>
      <c r="AC12" s="307" t="n">
        <v>100.75</v>
      </c>
      <c r="AD12" s="307" t="n"/>
      <c r="AE12" s="307" t="n"/>
      <c r="AF12" s="307" t="n">
        <v>0</v>
      </c>
      <c r="AG12" s="307" t="n">
        <v>2.6</v>
      </c>
      <c r="AH12" s="307" t="n">
        <v>3</v>
      </c>
    </row>
    <row r="13" ht="31.2" customHeight="1" s="140">
      <c r="A13" s="280" t="n"/>
      <c r="B13" s="316" t="inlineStr">
        <is>
          <t>VI 07c</t>
        </is>
      </c>
      <c r="C13" s="306" t="n">
        <v>8.6</v>
      </c>
      <c r="D13" s="325" t="n">
        <v>4718.2</v>
      </c>
      <c r="E13" s="307" t="n"/>
      <c r="F13" s="325" t="n">
        <v>26369.0459302326</v>
      </c>
      <c r="G13" s="325" t="n">
        <v>26369.0459302326</v>
      </c>
      <c r="H13" s="325" t="n">
        <v>27258.7885539479</v>
      </c>
      <c r="I13" s="325" t="n">
        <v>45435.4566744186</v>
      </c>
      <c r="J13" s="307" t="n">
        <v>15</v>
      </c>
      <c r="K13" s="307" t="n">
        <v>64</v>
      </c>
      <c r="L13" s="307" t="n">
        <v>70</v>
      </c>
      <c r="M13" s="306" t="n">
        <v>13.0385635090604</v>
      </c>
      <c r="N13" s="307" t="n">
        <v>3</v>
      </c>
      <c r="O13" s="307" t="n">
        <v>25</v>
      </c>
      <c r="P13" s="306" t="n">
        <v>19.0552724333412</v>
      </c>
      <c r="Q13" s="307" t="n">
        <v>4</v>
      </c>
      <c r="R13" s="307" t="n">
        <v>25</v>
      </c>
      <c r="S13" s="306" t="n">
        <v>32.3150072674419</v>
      </c>
      <c r="T13" s="306" t="n">
        <v>32.3150072674419</v>
      </c>
      <c r="U13" s="307" t="n">
        <v>10</v>
      </c>
      <c r="V13" s="307" t="n">
        <v>15</v>
      </c>
      <c r="W13" s="307" t="inlineStr">
        <is>
          <t>VERIFICA</t>
        </is>
      </c>
      <c r="X13" s="309" t="inlineStr">
        <is>
          <t>Armadura en 2 capas (rec. 6 cm). Apoya en columna COL 02 de 15x30 y en el tabique T05b. La viga chata VCH 05 le descarga 1.735 kg a 3,60 m del apoyo. Se superpone el momento isostatico P a b / L repartido 0,75 al tramo y 0,50 al apoyo, y la reaccion isostatica al corte. Viga de borde: recibe la reaccion de la losa excentrica y queda sometida a TORSION, no verificada en esta planilla.</t>
        </is>
      </c>
      <c r="Y13" s="307" t="inlineStr">
        <is>
          <t>Empotrada-apoyada</t>
        </is>
      </c>
      <c r="Z13" s="307" t="inlineStr">
        <is>
          <t>Invertida</t>
        </is>
      </c>
      <c r="AA13" s="307" t="n">
        <v>12</v>
      </c>
      <c r="AB13" s="307" t="n">
        <v>15</v>
      </c>
      <c r="AC13" s="307" t="n">
        <v>207</v>
      </c>
      <c r="AD13" s="307" t="n">
        <v>1735</v>
      </c>
      <c r="AE13" s="307" t="n">
        <v>3.6</v>
      </c>
      <c r="AF13" s="307" t="n">
        <v>3.71</v>
      </c>
      <c r="AG13" s="307" t="n">
        <v>2.6</v>
      </c>
      <c r="AH13" s="307" t="n">
        <v>6</v>
      </c>
    </row>
    <row r="14" ht="31.2" customHeight="1" s="140">
      <c r="A14" s="280" t="n"/>
      <c r="B14" s="316" t="inlineStr">
        <is>
          <t>VI 08a</t>
        </is>
      </c>
      <c r="C14" s="306" t="n">
        <v>3.65</v>
      </c>
      <c r="D14" s="325" t="n">
        <v>2126.1</v>
      </c>
      <c r="E14" s="307" t="n"/>
      <c r="F14" s="325" t="n">
        <v>4462.152375</v>
      </c>
      <c r="G14" s="325" t="n">
        <v>4462.152375</v>
      </c>
      <c r="H14" s="325" t="n">
        <v>2023.2524106675</v>
      </c>
      <c r="I14" s="325" t="n">
        <v>2832.496725</v>
      </c>
      <c r="J14" s="307" t="n">
        <v>15</v>
      </c>
      <c r="K14" s="307" t="n">
        <v>67</v>
      </c>
      <c r="L14" s="307" t="n">
        <v>70</v>
      </c>
      <c r="M14" s="306" t="n">
        <v>3.3165</v>
      </c>
      <c r="N14" s="307" t="n">
        <v>3</v>
      </c>
      <c r="O14" s="307" t="n">
        <v>12</v>
      </c>
      <c r="P14" s="306" t="n">
        <v>3.3165</v>
      </c>
      <c r="Q14" s="307" t="n">
        <v>3</v>
      </c>
      <c r="R14" s="307" t="n">
        <v>12</v>
      </c>
      <c r="S14" s="306" t="n">
        <v>5.22347366110623</v>
      </c>
      <c r="T14" s="306" t="n">
        <v>5.22347366110623</v>
      </c>
      <c r="U14" s="307" t="n">
        <v>6</v>
      </c>
      <c r="V14" s="307" t="n">
        <v>30</v>
      </c>
      <c r="W14" s="307" t="inlineStr">
        <is>
          <t>VERIFICA</t>
        </is>
      </c>
      <c r="X14" s="307" t="n"/>
      <c r="Y14" s="307" t="inlineStr">
        <is>
          <t>Continua</t>
        </is>
      </c>
      <c r="Z14" s="307" t="inlineStr">
        <is>
          <t>Invertida</t>
        </is>
      </c>
      <c r="AA14" s="307" t="n">
        <v>12</v>
      </c>
      <c r="AB14" s="307" t="n">
        <v>15</v>
      </c>
      <c r="AC14" s="307" t="n">
        <v>91.25</v>
      </c>
      <c r="AD14" s="307" t="n"/>
      <c r="AE14" s="307" t="n"/>
      <c r="AF14" s="307" t="n">
        <v>1.065</v>
      </c>
      <c r="AG14" s="307" t="n">
        <v>2.6</v>
      </c>
      <c r="AH14" s="307" t="n">
        <v>3</v>
      </c>
    </row>
    <row r="15" ht="31.2" customHeight="1" s="140">
      <c r="A15" s="280" t="n"/>
      <c r="B15" s="316" t="inlineStr">
        <is>
          <t>VI 08b</t>
        </is>
      </c>
      <c r="C15" s="306" t="n">
        <v>4.87</v>
      </c>
      <c r="D15" s="325" t="n">
        <v>2126.1</v>
      </c>
      <c r="E15" s="307" t="n"/>
      <c r="F15" s="325" t="n">
        <v>5953.611525</v>
      </c>
      <c r="G15" s="325" t="n">
        <v>5953.611525</v>
      </c>
      <c r="H15" s="325" t="n">
        <v>3601.8221128587</v>
      </c>
      <c r="I15" s="325" t="n">
        <v>5042.450109</v>
      </c>
      <c r="J15" s="307" t="n">
        <v>15</v>
      </c>
      <c r="K15" s="307" t="n">
        <v>67</v>
      </c>
      <c r="L15" s="307" t="n">
        <v>70</v>
      </c>
      <c r="M15" s="306" t="n">
        <v>3.3165</v>
      </c>
      <c r="N15" s="307" t="n">
        <v>3</v>
      </c>
      <c r="O15" s="307" t="n">
        <v>12</v>
      </c>
      <c r="P15" s="306" t="n">
        <v>3.3165</v>
      </c>
      <c r="Q15" s="307" t="n">
        <v>3</v>
      </c>
      <c r="R15" s="307" t="n">
        <v>12</v>
      </c>
      <c r="S15" s="306" t="n">
        <v>6.96940184372256</v>
      </c>
      <c r="T15" s="306" t="n">
        <v>6.96940184372256</v>
      </c>
      <c r="U15" s="307" t="n">
        <v>6</v>
      </c>
      <c r="V15" s="307" t="n">
        <v>30</v>
      </c>
      <c r="W15" s="307" t="inlineStr">
        <is>
          <t>VERIFICA</t>
        </is>
      </c>
      <c r="X15" s="309" t="inlineStr">
        <is>
          <t>Descarga en la COL 04 de 20x20 y en VI 06.</t>
        </is>
      </c>
      <c r="Y15" s="307" t="inlineStr">
        <is>
          <t>Continua</t>
        </is>
      </c>
      <c r="Z15" s="307" t="inlineStr">
        <is>
          <t>Invertida</t>
        </is>
      </c>
      <c r="AA15" s="307" t="n">
        <v>12</v>
      </c>
      <c r="AB15" s="307" t="n">
        <v>15</v>
      </c>
      <c r="AC15" s="307" t="n">
        <v>121.75</v>
      </c>
      <c r="AD15" s="307" t="n"/>
      <c r="AE15" s="307" t="n"/>
      <c r="AF15" s="307" t="n">
        <v>1.065</v>
      </c>
      <c r="AG15" s="307" t="n">
        <v>2.6</v>
      </c>
      <c r="AH15" s="307" t="n">
        <v>3</v>
      </c>
    </row>
    <row r="16" ht="31.2" customHeight="1" s="140">
      <c r="A16" s="280" t="n"/>
      <c r="B16" s="316" t="inlineStr">
        <is>
          <t>VI 09</t>
        </is>
      </c>
      <c r="C16" s="306" t="n">
        <v>4.87</v>
      </c>
      <c r="D16" s="325" t="n">
        <v>2600.42</v>
      </c>
      <c r="E16" s="307" t="n"/>
      <c r="F16" s="325" t="n">
        <v>6332.0227</v>
      </c>
      <c r="G16" s="325" t="n">
        <v>6332.0227</v>
      </c>
      <c r="H16" s="325" t="n">
        <v>7709.23763725</v>
      </c>
      <c r="I16" s="325" t="inlineStr">
        <is>
          <t>---</t>
        </is>
      </c>
      <c r="J16" s="307" t="n">
        <v>15</v>
      </c>
      <c r="K16" s="307" t="n">
        <v>67</v>
      </c>
      <c r="L16" s="307" t="n">
        <v>70</v>
      </c>
      <c r="M16" s="306" t="n">
        <v>3.3165</v>
      </c>
      <c r="N16" s="307" t="n">
        <v>3</v>
      </c>
      <c r="O16" s="307" t="n">
        <v>12</v>
      </c>
      <c r="P16" s="306" t="inlineStr">
        <is>
          <t>---</t>
        </is>
      </c>
      <c r="Q16" s="307" t="inlineStr">
        <is>
          <t>---</t>
        </is>
      </c>
      <c r="R16" s="307" t="inlineStr">
        <is>
          <t>---</t>
        </is>
      </c>
      <c r="S16" s="306" t="n">
        <v>7.41237658764999</v>
      </c>
      <c r="T16" s="306" t="n">
        <v>7.41237658764999</v>
      </c>
      <c r="U16" s="307" t="n">
        <v>6</v>
      </c>
      <c r="V16" s="307" t="n">
        <v>30</v>
      </c>
      <c r="W16" s="307" t="inlineStr">
        <is>
          <t>VERIFICA</t>
        </is>
      </c>
      <c r="X16" s="309" t="inlineStr">
        <is>
          <t>Viga secundaria: sus dos extremos descargan en otras vigas, VI 04a y VI 06, no en columnas ni tabiques.</t>
        </is>
      </c>
      <c r="Y16" s="307" t="inlineStr">
        <is>
          <t>Simplemente apoyada</t>
        </is>
      </c>
      <c r="Z16" s="307" t="inlineStr">
        <is>
          <t>Invertida</t>
        </is>
      </c>
      <c r="AA16" s="307" t="n">
        <v>12</v>
      </c>
      <c r="AB16" s="307" t="n">
        <v>15</v>
      </c>
      <c r="AC16" s="307" t="n">
        <v>121.75</v>
      </c>
      <c r="AD16" s="307" t="n"/>
      <c r="AE16" s="307" t="n"/>
      <c r="AF16" s="307" t="n">
        <v>1.549</v>
      </c>
      <c r="AG16" s="307" t="n">
        <v>2.6</v>
      </c>
      <c r="AH16" s="307" t="n">
        <v>3</v>
      </c>
    </row>
    <row r="17" ht="31.2" customHeight="1" s="140">
      <c r="A17" s="280" t="n"/>
      <c r="B17" s="316" t="inlineStr">
        <is>
          <t>VI 10a</t>
        </is>
      </c>
      <c r="C17" s="306" t="n">
        <v>2.55</v>
      </c>
      <c r="D17" s="325" t="n">
        <v>1082.4</v>
      </c>
      <c r="E17" s="307" t="n"/>
      <c r="F17" s="325" t="n">
        <v>1587.069</v>
      </c>
      <c r="G17" s="325" t="n">
        <v>1587.069</v>
      </c>
      <c r="H17" s="325" t="n">
        <v>502.74619758</v>
      </c>
      <c r="I17" s="325" t="n">
        <v>703.8306</v>
      </c>
      <c r="J17" s="307" t="n">
        <v>15</v>
      </c>
      <c r="K17" s="307" t="n">
        <v>67</v>
      </c>
      <c r="L17" s="307" t="n">
        <v>70</v>
      </c>
      <c r="M17" s="306" t="n">
        <v>3.3165</v>
      </c>
      <c r="N17" s="307" t="n">
        <v>3</v>
      </c>
      <c r="O17" s="307" t="n">
        <v>12</v>
      </c>
      <c r="P17" s="306" t="n">
        <v>3.3165</v>
      </c>
      <c r="Q17" s="307" t="n">
        <v>3</v>
      </c>
      <c r="R17" s="307" t="n">
        <v>12</v>
      </c>
      <c r="S17" s="306" t="n">
        <v>1.85785074626866</v>
      </c>
      <c r="T17" s="306" t="n">
        <v>1.85785074626866</v>
      </c>
      <c r="U17" s="307" t="n">
        <v>6</v>
      </c>
      <c r="V17" s="307" t="n">
        <v>30</v>
      </c>
      <c r="W17" s="307" t="inlineStr">
        <is>
          <t>VERIFICA</t>
        </is>
      </c>
      <c r="X17" s="307" t="n"/>
      <c r="Y17" s="307" t="inlineStr">
        <is>
          <t>Continua</t>
        </is>
      </c>
      <c r="Z17" s="307" t="inlineStr">
        <is>
          <t>Invertida</t>
        </is>
      </c>
      <c r="AA17" s="307" t="n">
        <v>12</v>
      </c>
      <c r="AB17" s="307" t="n">
        <v>15</v>
      </c>
      <c r="AC17" s="307" t="n">
        <v>63.75</v>
      </c>
      <c r="AD17" s="307" t="n"/>
      <c r="AE17" s="307" t="n"/>
      <c r="AF17" s="307" t="n">
        <v>0</v>
      </c>
      <c r="AG17" s="307" t="n">
        <v>2.6</v>
      </c>
      <c r="AH17" s="307" t="n">
        <v>3</v>
      </c>
    </row>
    <row r="18" ht="31.2" customHeight="1" s="140">
      <c r="A18" s="280" t="n"/>
      <c r="B18" s="316" t="inlineStr">
        <is>
          <t>VI 10b</t>
        </is>
      </c>
      <c r="C18" s="306" t="n">
        <v>4</v>
      </c>
      <c r="D18" s="325" t="n">
        <v>2870.9</v>
      </c>
      <c r="E18" s="307" t="n"/>
      <c r="F18" s="325" t="n">
        <v>6603.07</v>
      </c>
      <c r="G18" s="325" t="n">
        <v>6603.07</v>
      </c>
      <c r="H18" s="325" t="n">
        <v>3281.094192</v>
      </c>
      <c r="I18" s="325" t="n">
        <v>4593.44</v>
      </c>
      <c r="J18" s="307" t="n">
        <v>15</v>
      </c>
      <c r="K18" s="307" t="n">
        <v>67</v>
      </c>
      <c r="L18" s="307" t="n">
        <v>70</v>
      </c>
      <c r="M18" s="306" t="n">
        <v>3.3165</v>
      </c>
      <c r="N18" s="307" t="n">
        <v>3</v>
      </c>
      <c r="O18" s="307" t="n">
        <v>12</v>
      </c>
      <c r="P18" s="306" t="n">
        <v>3.3165</v>
      </c>
      <c r="Q18" s="307" t="n">
        <v>3</v>
      </c>
      <c r="R18" s="307" t="n">
        <v>12</v>
      </c>
      <c r="S18" s="306" t="n">
        <v>7.72966930055604</v>
      </c>
      <c r="T18" s="306" t="n">
        <v>7.72966930055604</v>
      </c>
      <c r="U18" s="307" t="n">
        <v>6</v>
      </c>
      <c r="V18" s="307" t="n">
        <v>30</v>
      </c>
      <c r="W18" s="307" t="inlineStr">
        <is>
          <t>VERIFICA</t>
        </is>
      </c>
      <c r="X18" s="307" t="n"/>
      <c r="Y18" s="307" t="inlineStr">
        <is>
          <t>Continua</t>
        </is>
      </c>
      <c r="Z18" s="307" t="inlineStr">
        <is>
          <t>Invertida</t>
        </is>
      </c>
      <c r="AA18" s="307" t="n">
        <v>12</v>
      </c>
      <c r="AB18" s="307" t="n">
        <v>15</v>
      </c>
      <c r="AC18" s="307" t="n">
        <v>100</v>
      </c>
      <c r="AD18" s="307" t="n"/>
      <c r="AE18" s="307" t="n"/>
      <c r="AF18" s="307" t="n">
        <v>1.825</v>
      </c>
      <c r="AG18" s="307" t="n">
        <v>2.6</v>
      </c>
      <c r="AH18" s="307" t="n">
        <v>3</v>
      </c>
    </row>
    <row r="19" ht="31.2" customHeight="1" s="140">
      <c r="A19" s="280" t="n"/>
      <c r="B19" s="316" t="inlineStr">
        <is>
          <t>VI 10c</t>
        </is>
      </c>
      <c r="C19" s="306" t="n">
        <v>3.6</v>
      </c>
      <c r="D19" s="325" t="n">
        <v>1082.4</v>
      </c>
      <c r="E19" s="307" t="n"/>
      <c r="F19" s="325" t="n">
        <v>2240.568</v>
      </c>
      <c r="G19" s="325" t="n">
        <v>2240.568</v>
      </c>
      <c r="H19" s="325" t="n">
        <v>1002.01318272</v>
      </c>
      <c r="I19" s="325" t="n">
        <v>1402.7904</v>
      </c>
      <c r="J19" s="307" t="n">
        <v>15</v>
      </c>
      <c r="K19" s="307" t="n">
        <v>67</v>
      </c>
      <c r="L19" s="307" t="n">
        <v>70</v>
      </c>
      <c r="M19" s="306" t="n">
        <v>3.3165</v>
      </c>
      <c r="N19" s="307" t="n">
        <v>3</v>
      </c>
      <c r="O19" s="307" t="n">
        <v>12</v>
      </c>
      <c r="P19" s="306" t="n">
        <v>3.3165</v>
      </c>
      <c r="Q19" s="307" t="n">
        <v>3</v>
      </c>
      <c r="R19" s="307" t="n">
        <v>12</v>
      </c>
      <c r="S19" s="306" t="n">
        <v>2.62284811237928</v>
      </c>
      <c r="T19" s="306" t="n">
        <v>2.62284811237928</v>
      </c>
      <c r="U19" s="307" t="n">
        <v>6</v>
      </c>
      <c r="V19" s="307" t="n">
        <v>30</v>
      </c>
      <c r="W19" s="307" t="inlineStr">
        <is>
          <t>VERIFICA</t>
        </is>
      </c>
      <c r="X19" s="307" t="n"/>
      <c r="Y19" s="307" t="inlineStr">
        <is>
          <t>Continua</t>
        </is>
      </c>
      <c r="Z19" s="307" t="inlineStr">
        <is>
          <t>Invertida</t>
        </is>
      </c>
      <c r="AA19" s="307" t="n">
        <v>12</v>
      </c>
      <c r="AB19" s="307" t="n">
        <v>15</v>
      </c>
      <c r="AC19" s="307" t="n">
        <v>90</v>
      </c>
      <c r="AD19" s="307" t="n"/>
      <c r="AE19" s="307" t="n"/>
      <c r="AF19" s="307" t="n">
        <v>0</v>
      </c>
      <c r="AG19" s="307" t="n">
        <v>2.6</v>
      </c>
      <c r="AH19" s="307" t="n">
        <v>3</v>
      </c>
    </row>
    <row r="20" ht="31.2" customHeight="1" s="140">
      <c r="A20" s="280" t="n"/>
      <c r="B20" s="316" t="inlineStr">
        <is>
          <t>VI 11a</t>
        </is>
      </c>
      <c r="C20" s="306" t="n">
        <v>7.68</v>
      </c>
      <c r="D20" s="325" t="n">
        <v>2870.9</v>
      </c>
      <c r="E20" s="307" t="n"/>
      <c r="F20" s="325" t="n">
        <v>13780.32</v>
      </c>
      <c r="G20" s="325" t="n">
        <v>13780.32</v>
      </c>
      <c r="H20" s="325" t="n">
        <v>11905.7731485696</v>
      </c>
      <c r="I20" s="325" t="n">
        <v>21166.57152</v>
      </c>
      <c r="J20" s="307" t="n">
        <v>15</v>
      </c>
      <c r="K20" s="307" t="n">
        <v>67</v>
      </c>
      <c r="L20" s="307" t="n">
        <v>70</v>
      </c>
      <c r="M20" s="306" t="n">
        <v>4.94424777602107</v>
      </c>
      <c r="N20" s="307" t="n">
        <v>2</v>
      </c>
      <c r="O20" s="307" t="n">
        <v>20</v>
      </c>
      <c r="P20" s="306" t="n">
        <v>8.412661139856359</v>
      </c>
      <c r="Q20" s="307" t="n">
        <v>2</v>
      </c>
      <c r="R20" s="307" t="n">
        <v>25</v>
      </c>
      <c r="S20" s="306" t="n">
        <v>16.1314837576822</v>
      </c>
      <c r="T20" s="306" t="n">
        <v>16.1314837576822</v>
      </c>
      <c r="U20" s="307" t="n">
        <v>6</v>
      </c>
      <c r="V20" s="307" t="n">
        <v>10</v>
      </c>
      <c r="W20" s="307" t="inlineStr">
        <is>
          <t>VERIFICA</t>
        </is>
      </c>
      <c r="X20" s="309" t="inlineStr">
        <is>
          <t>El plano rotula 'VI 111'; se interpreta 11a por el orden a-b-c. Sin apoyo intermedio, empotrada en tabiques. Apoya en columna COL 02 de 15x30 y en el tabique T08a. Viga de borde: recibe la reaccion de la losa excentrica y queda sometida a TORSION, no verificada en esta planilla.</t>
        </is>
      </c>
      <c r="Y20" s="307" t="inlineStr">
        <is>
          <t>Empotrada-apoyada</t>
        </is>
      </c>
      <c r="Z20" s="307" t="inlineStr">
        <is>
          <t>Invertida</t>
        </is>
      </c>
      <c r="AA20" s="307" t="n">
        <v>12</v>
      </c>
      <c r="AB20" s="307" t="n">
        <v>15</v>
      </c>
      <c r="AC20" s="307" t="n">
        <v>192</v>
      </c>
      <c r="AD20" s="307" t="n"/>
      <c r="AE20" s="307" t="n"/>
      <c r="AF20" s="307" t="n">
        <v>1.825</v>
      </c>
      <c r="AG20" s="307" t="n">
        <v>2.6</v>
      </c>
      <c r="AH20" s="307" t="n">
        <v>3</v>
      </c>
    </row>
    <row r="21" ht="31.2" customHeight="1" s="140">
      <c r="A21" s="280" t="n"/>
      <c r="B21" s="316" t="inlineStr">
        <is>
          <t>VI 11b</t>
        </is>
      </c>
      <c r="C21" s="306" t="n">
        <v>3.45</v>
      </c>
      <c r="D21" s="325" t="n">
        <v>1082.4</v>
      </c>
      <c r="E21" s="307" t="n"/>
      <c r="F21" s="325" t="n">
        <v>2147.211</v>
      </c>
      <c r="G21" s="325" t="n">
        <v>2147.211</v>
      </c>
      <c r="H21" s="325" t="n">
        <v>920.25169038</v>
      </c>
      <c r="I21" s="325" t="n">
        <v>1288.3266</v>
      </c>
      <c r="J21" s="307" t="n">
        <v>15</v>
      </c>
      <c r="K21" s="307" t="n">
        <v>67</v>
      </c>
      <c r="L21" s="307" t="n">
        <v>70</v>
      </c>
      <c r="M21" s="306" t="n">
        <v>3.3165</v>
      </c>
      <c r="N21" s="307" t="n">
        <v>3</v>
      </c>
      <c r="O21" s="307" t="n">
        <v>12</v>
      </c>
      <c r="P21" s="306" t="n">
        <v>3.3165</v>
      </c>
      <c r="Q21" s="307" t="n">
        <v>3</v>
      </c>
      <c r="R21" s="307" t="n">
        <v>12</v>
      </c>
      <c r="S21" s="306" t="n">
        <v>2.51356277436348</v>
      </c>
      <c r="T21" s="306" t="n">
        <v>2.51356277436348</v>
      </c>
      <c r="U21" s="307" t="n">
        <v>6</v>
      </c>
      <c r="V21" s="307" t="n">
        <v>30</v>
      </c>
      <c r="W21" s="307" t="inlineStr">
        <is>
          <t>VERIFICA</t>
        </is>
      </c>
      <c r="X21" s="309" t="inlineStr">
        <is>
          <t>Viga de borde: recibe la reaccion de la losa excentrica y queda sometida a TORSION, no verificada en esta planilla.</t>
        </is>
      </c>
      <c r="Y21" s="307" t="inlineStr">
        <is>
          <t>Continua</t>
        </is>
      </c>
      <c r="Z21" s="307" t="inlineStr">
        <is>
          <t>Invertida</t>
        </is>
      </c>
      <c r="AA21" s="307" t="n">
        <v>12</v>
      </c>
      <c r="AB21" s="307" t="n">
        <v>15</v>
      </c>
      <c r="AC21" s="307" t="n">
        <v>86.25</v>
      </c>
      <c r="AD21" s="307" t="n"/>
      <c r="AE21" s="307" t="n"/>
      <c r="AF21" s="307" t="n">
        <v>0</v>
      </c>
      <c r="AG21" s="307" t="n">
        <v>2.6</v>
      </c>
      <c r="AH21" s="307" t="n">
        <v>3</v>
      </c>
    </row>
    <row r="22" ht="31.2" customHeight="1" s="140">
      <c r="A22" s="280" t="n"/>
      <c r="B22" s="316" t="inlineStr">
        <is>
          <t>VI 11c</t>
        </is>
      </c>
      <c r="C22" s="306" t="n">
        <v>5.02</v>
      </c>
      <c r="D22" s="325" t="n">
        <v>2600.42</v>
      </c>
      <c r="E22" s="307" t="n"/>
      <c r="F22" s="325" t="n">
        <v>7506.11233</v>
      </c>
      <c r="G22" s="325" t="n">
        <v>7506.11233</v>
      </c>
      <c r="H22" s="325" t="n">
        <v>4680.92391432024</v>
      </c>
      <c r="I22" s="325" t="n">
        <v>6553.1624168</v>
      </c>
      <c r="J22" s="307" t="n">
        <v>15</v>
      </c>
      <c r="K22" s="307" t="n">
        <v>67</v>
      </c>
      <c r="L22" s="307" t="n">
        <v>70</v>
      </c>
      <c r="M22" s="306" t="n">
        <v>3.3165</v>
      </c>
      <c r="N22" s="307" t="n">
        <v>3</v>
      </c>
      <c r="O22" s="307" t="n">
        <v>12</v>
      </c>
      <c r="P22" s="306" t="n">
        <v>3.3165</v>
      </c>
      <c r="Q22" s="307" t="n">
        <v>3</v>
      </c>
      <c r="R22" s="307" t="n">
        <v>12</v>
      </c>
      <c r="S22" s="306" t="n">
        <v>8.786786455955509</v>
      </c>
      <c r="T22" s="306" t="n">
        <v>8.786786455955509</v>
      </c>
      <c r="U22" s="307" t="n">
        <v>6</v>
      </c>
      <c r="V22" s="307" t="n">
        <v>30</v>
      </c>
      <c r="W22" s="307" t="inlineStr">
        <is>
          <t>VERIFICA</t>
        </is>
      </c>
      <c r="X22" s="309" t="inlineStr">
        <is>
          <t>Viga de borde: recibe la reaccion de la losa excentrica y queda sometida a TORSION, no verificada en esta planilla.</t>
        </is>
      </c>
      <c r="Y22" s="307" t="inlineStr">
        <is>
          <t>Continua</t>
        </is>
      </c>
      <c r="Z22" s="307" t="inlineStr">
        <is>
          <t>Invertida</t>
        </is>
      </c>
      <c r="AA22" s="307" t="n">
        <v>12</v>
      </c>
      <c r="AB22" s="307" t="n">
        <v>15</v>
      </c>
      <c r="AC22" s="307" t="n">
        <v>125.5</v>
      </c>
      <c r="AD22" s="307" t="n"/>
      <c r="AE22" s="307" t="n"/>
      <c r="AF22" s="307" t="n">
        <v>1.549</v>
      </c>
      <c r="AG22" s="307" t="n">
        <v>2.6</v>
      </c>
      <c r="AH22" s="307" t="n">
        <v>3</v>
      </c>
    </row>
    <row r="23" ht="31.2" customHeight="1" s="140">
      <c r="A23" s="280" t="n"/>
      <c r="B23" s="316" t="inlineStr">
        <is>
          <t>VCH 03a</t>
        </is>
      </c>
      <c r="C23" s="306" t="n">
        <v>3.71</v>
      </c>
      <c r="D23" s="325" t="n">
        <v>2987.76</v>
      </c>
      <c r="E23" s="307" t="n"/>
      <c r="F23" s="325" t="n">
        <v>6373.63902</v>
      </c>
      <c r="G23" s="325" t="n">
        <v>6373.63902</v>
      </c>
      <c r="H23" s="325" t="n">
        <v>2937.47499232488</v>
      </c>
      <c r="I23" s="325" t="n">
        <v>4112.3827416</v>
      </c>
      <c r="J23" s="307" t="n">
        <v>40</v>
      </c>
      <c r="K23" s="307" t="n">
        <v>10</v>
      </c>
      <c r="L23" s="307" t="n">
        <v>13</v>
      </c>
      <c r="M23" s="306" t="n">
        <v>8.561360950319219</v>
      </c>
      <c r="N23" s="307" t="n">
        <v>8</v>
      </c>
      <c r="O23" s="307" t="n">
        <v>12</v>
      </c>
      <c r="P23" s="306" t="inlineStr">
        <is>
          <t>REVISAR</t>
        </is>
      </c>
      <c r="Q23" s="307" t="n">
        <v>5</v>
      </c>
      <c r="R23" s="307" t="n">
        <v>6</v>
      </c>
      <c r="S23" s="306" t="n">
        <v>18.7459971176471</v>
      </c>
      <c r="T23" s="306" t="n">
        <v>18.7459971176471</v>
      </c>
      <c r="U23" s="307" t="n">
        <v>12</v>
      </c>
      <c r="V23" s="307" t="n">
        <v>5</v>
      </c>
      <c r="W23" s="307" t="inlineStr">
        <is>
          <t>SECCION INSUF.</t>
        </is>
      </c>
      <c r="X23" s="309" t="inlineStr">
        <is>
          <t>Excede cuantia maxima y no llega a la altura minima por flecha. Revisar el ancho tributario real. Separacion de estribos menor a 10 cm: revisar constructividad.</t>
        </is>
      </c>
      <c r="Y23" s="307" t="inlineStr">
        <is>
          <t>Continua</t>
        </is>
      </c>
      <c r="Z23" s="307" t="inlineStr">
        <is>
          <t>Colgante</t>
        </is>
      </c>
      <c r="AA23" s="307" t="n">
        <v>12</v>
      </c>
      <c r="AB23" s="307" t="n">
        <v>92.75</v>
      </c>
      <c r="AC23" s="307" t="n">
        <v>40</v>
      </c>
      <c r="AD23" s="307" t="n"/>
      <c r="AE23" s="307" t="n"/>
      <c r="AF23" s="307" t="n">
        <v>2.1</v>
      </c>
      <c r="AG23" s="307" t="n">
        <v>2.6</v>
      </c>
      <c r="AH23" s="307" t="n">
        <v>3</v>
      </c>
    </row>
    <row r="24" ht="31.2" customHeight="1" s="140">
      <c r="A24" s="280" t="n"/>
      <c r="B24" s="316" t="inlineStr">
        <is>
          <t>VCH 03b</t>
        </is>
      </c>
      <c r="C24" s="306" t="n">
        <v>2.13</v>
      </c>
      <c r="D24" s="325" t="n">
        <v>2987.76</v>
      </c>
      <c r="E24" s="307" t="n"/>
      <c r="F24" s="325" t="n">
        <v>3659.25906</v>
      </c>
      <c r="G24" s="325" t="n">
        <v>3659.25906</v>
      </c>
      <c r="H24" s="325" t="n">
        <v>968.24567481192</v>
      </c>
      <c r="I24" s="325" t="n">
        <v>1355.5168344</v>
      </c>
      <c r="J24" s="307" t="n">
        <v>40</v>
      </c>
      <c r="K24" s="307" t="n">
        <v>10</v>
      </c>
      <c r="L24" s="307" t="n">
        <v>13</v>
      </c>
      <c r="M24" s="306" t="n">
        <v>2.69821716813475</v>
      </c>
      <c r="N24" s="307" t="n">
        <v>10</v>
      </c>
      <c r="O24" s="307" t="n">
        <v>6</v>
      </c>
      <c r="P24" s="306" t="n">
        <v>3.98253874227076</v>
      </c>
      <c r="Q24" s="307" t="n">
        <v>8</v>
      </c>
      <c r="R24" s="307" t="n">
        <v>8</v>
      </c>
      <c r="S24" s="306" t="n">
        <v>10.7625266470588</v>
      </c>
      <c r="T24" s="306" t="n">
        <v>10.7625266470588</v>
      </c>
      <c r="U24" s="307" t="n">
        <v>12</v>
      </c>
      <c r="V24" s="307" t="n">
        <v>5</v>
      </c>
      <c r="W24" s="307" t="inlineStr">
        <is>
          <t>VERIFICA</t>
        </is>
      </c>
      <c r="X24" s="309" t="inlineStr">
        <is>
          <t>Separacion de estribos menor a 10 cm: revisar constructividad.</t>
        </is>
      </c>
      <c r="Y24" s="307" t="inlineStr">
        <is>
          <t>Continua</t>
        </is>
      </c>
      <c r="Z24" s="307" t="inlineStr">
        <is>
          <t>Colgante</t>
        </is>
      </c>
      <c r="AA24" s="307" t="n">
        <v>12</v>
      </c>
      <c r="AB24" s="307" t="n">
        <v>53.25</v>
      </c>
      <c r="AC24" s="307" t="n">
        <v>40</v>
      </c>
      <c r="AD24" s="307" t="n"/>
      <c r="AE24" s="307" t="n"/>
      <c r="AF24" s="307" t="n">
        <v>2.1</v>
      </c>
      <c r="AG24" s="307" t="n">
        <v>2.6</v>
      </c>
      <c r="AH24" s="307" t="n">
        <v>3</v>
      </c>
    </row>
    <row r="25" ht="31.2" customHeight="1" s="140">
      <c r="A25" s="319" t="n"/>
      <c r="B25" s="316" t="inlineStr">
        <is>
          <t>VCH 05</t>
        </is>
      </c>
      <c r="C25" s="306" t="n">
        <v>3.71</v>
      </c>
      <c r="D25" s="325" t="n">
        <v>935.52</v>
      </c>
      <c r="E25" s="307" t="n"/>
      <c r="F25" s="325" t="n">
        <v>1735.3896</v>
      </c>
      <c r="G25" s="325" t="n">
        <v>1735.3896</v>
      </c>
      <c r="H25" s="325" t="n">
        <v>1609.573854</v>
      </c>
      <c r="I25" s="325" t="inlineStr">
        <is>
          <t>---</t>
        </is>
      </c>
      <c r="J25" s="307" t="n">
        <v>12</v>
      </c>
      <c r="K25" s="307" t="n">
        <v>42</v>
      </c>
      <c r="L25" s="307" t="n">
        <v>45</v>
      </c>
      <c r="M25" s="306" t="n">
        <v>1.6632</v>
      </c>
      <c r="N25" s="307" t="n">
        <v>2</v>
      </c>
      <c r="O25" s="307" t="n">
        <v>12</v>
      </c>
      <c r="P25" s="306" t="inlineStr">
        <is>
          <t>---</t>
        </is>
      </c>
      <c r="Q25" s="307" t="inlineStr">
        <is>
          <t>---</t>
        </is>
      </c>
      <c r="R25" s="307" t="inlineStr">
        <is>
          <t>---</t>
        </is>
      </c>
      <c r="S25" s="306" t="n">
        <v>4.05086274509804</v>
      </c>
      <c r="T25" s="306" t="n">
        <v>4.05086274509804</v>
      </c>
      <c r="U25" s="307" t="n">
        <v>6</v>
      </c>
      <c r="V25" s="307" t="n">
        <v>20</v>
      </c>
      <c r="W25" s="307" t="inlineStr">
        <is>
          <t>VERIFICA</t>
        </is>
      </c>
      <c r="X25" s="307" t="n"/>
      <c r="Y25" s="307" t="inlineStr">
        <is>
          <t>Simplemente apoyada</t>
        </is>
      </c>
      <c r="Z25" s="307" t="inlineStr">
        <is>
          <t>Colgante</t>
        </is>
      </c>
      <c r="AA25" s="307" t="n">
        <v>12</v>
      </c>
      <c r="AB25" s="307" t="n">
        <v>92.75</v>
      </c>
      <c r="AC25" s="307" t="n">
        <v>12</v>
      </c>
      <c r="AD25" s="307" t="n"/>
      <c r="AE25" s="307" t="n"/>
      <c r="AF25" s="307" t="n">
        <v>0</v>
      </c>
      <c r="AG25" s="307" t="n">
        <v>2.6</v>
      </c>
      <c r="AH25" s="307" t="n">
        <v>3</v>
      </c>
    </row>
    <row r="26" ht="31.2" customHeight="1" s="140">
      <c r="A26" s="324" t="inlineStr">
        <is>
          <t>TECHO</t>
        </is>
      </c>
      <c r="B26" s="316" t="inlineStr">
        <is>
          <t>VI 12</t>
        </is>
      </c>
      <c r="C26" s="306" t="n">
        <v>9.9</v>
      </c>
      <c r="D26" s="325" t="n">
        <v>2349.6</v>
      </c>
      <c r="E26" s="307" t="n"/>
      <c r="F26" s="325" t="n">
        <v>13375.098</v>
      </c>
      <c r="G26" s="325" t="n">
        <v>13375.098</v>
      </c>
      <c r="H26" s="325" t="n">
        <v>16449.20726328</v>
      </c>
      <c r="I26" s="325" t="n">
        <v>23028.4296</v>
      </c>
      <c r="J26" s="307" t="n">
        <v>15</v>
      </c>
      <c r="K26" s="307" t="n">
        <v>67</v>
      </c>
      <c r="L26" s="307" t="n">
        <v>70</v>
      </c>
      <c r="M26" s="306" t="n">
        <v>6.97973099195509</v>
      </c>
      <c r="N26" s="307" t="n">
        <v>2</v>
      </c>
      <c r="O26" s="307" t="n">
        <v>25</v>
      </c>
      <c r="P26" s="306" t="n">
        <v>9.15321072338377</v>
      </c>
      <c r="Q26" s="307" t="n">
        <v>2</v>
      </c>
      <c r="R26" s="307" t="n">
        <v>25</v>
      </c>
      <c r="S26" s="306" t="n">
        <v>15.6571237928007</v>
      </c>
      <c r="T26" s="306" t="n">
        <v>15.6571237928007</v>
      </c>
      <c r="U26" s="307" t="n">
        <v>6</v>
      </c>
      <c r="V26" s="307" t="n">
        <v>15</v>
      </c>
      <c r="W26" s="307" t="inlineStr">
        <is>
          <t>VERIFICA</t>
        </is>
      </c>
      <c r="X26" s="307" t="n"/>
      <c r="Y26" s="307" t="inlineStr">
        <is>
          <t>Continua</t>
        </is>
      </c>
      <c r="Z26" s="307" t="inlineStr">
        <is>
          <t>Invertida</t>
        </is>
      </c>
      <c r="AA26" s="307" t="n">
        <v>12</v>
      </c>
      <c r="AB26" s="307" t="n">
        <v>15</v>
      </c>
      <c r="AC26" s="307" t="n">
        <v>207</v>
      </c>
      <c r="AD26" s="307" t="n"/>
      <c r="AE26" s="307" t="n"/>
      <c r="AF26" s="307" t="n">
        <v>2.1</v>
      </c>
      <c r="AG26" s="307" t="n">
        <v>1</v>
      </c>
      <c r="AH26" s="307" t="n">
        <v>3</v>
      </c>
    </row>
    <row r="27" ht="31.2" customHeight="1" s="140">
      <c r="A27" s="280" t="n"/>
      <c r="B27" s="316" t="inlineStr">
        <is>
          <t>VI 13a</t>
        </is>
      </c>
      <c r="C27" s="306" t="n">
        <v>6</v>
      </c>
      <c r="D27" s="325" t="n">
        <v>3763.168</v>
      </c>
      <c r="E27" s="307" t="n"/>
      <c r="F27" s="325" t="n">
        <v>12982.9296</v>
      </c>
      <c r="G27" s="325" t="n">
        <v>12982.9296</v>
      </c>
      <c r="H27" s="325" t="n">
        <v>9676.911248640001</v>
      </c>
      <c r="I27" s="325" t="n">
        <v>13547.4048</v>
      </c>
      <c r="J27" s="307" t="n">
        <v>15</v>
      </c>
      <c r="K27" s="307" t="n">
        <v>67</v>
      </c>
      <c r="L27" s="307" t="n">
        <v>70</v>
      </c>
      <c r="M27" s="306" t="n">
        <v>3.97843113345487</v>
      </c>
      <c r="N27" s="307" t="n">
        <v>2</v>
      </c>
      <c r="O27" s="307" t="n">
        <v>16</v>
      </c>
      <c r="P27" s="306" t="n">
        <v>5.3779870954358</v>
      </c>
      <c r="Q27" s="307" t="n">
        <v>2</v>
      </c>
      <c r="R27" s="307" t="n">
        <v>20</v>
      </c>
      <c r="S27" s="306" t="n">
        <v>15.1980446005268</v>
      </c>
      <c r="T27" s="306" t="n">
        <v>15.1980446005268</v>
      </c>
      <c r="U27" s="307" t="n">
        <v>6</v>
      </c>
      <c r="V27" s="307" t="n">
        <v>15</v>
      </c>
      <c r="W27" s="307" t="inlineStr">
        <is>
          <t>VERIFICA</t>
        </is>
      </c>
      <c r="X27" s="307" t="n"/>
      <c r="Y27" s="307" t="inlineStr">
        <is>
          <t>Continua</t>
        </is>
      </c>
      <c r="Z27" s="307" t="inlineStr">
        <is>
          <t>Invertida</t>
        </is>
      </c>
      <c r="AA27" s="307" t="n">
        <v>12</v>
      </c>
      <c r="AB27" s="307" t="n">
        <v>15</v>
      </c>
      <c r="AC27" s="307" t="n">
        <v>150</v>
      </c>
      <c r="AD27" s="307" t="n"/>
      <c r="AE27" s="307" t="n"/>
      <c r="AF27" s="307" t="n">
        <v>3.799</v>
      </c>
      <c r="AG27" s="307" t="n">
        <v>1</v>
      </c>
      <c r="AH27" s="307" t="n">
        <v>3</v>
      </c>
    </row>
    <row r="28" ht="31.2" customHeight="1" s="140">
      <c r="A28" s="280" t="n"/>
      <c r="B28" s="316" t="inlineStr">
        <is>
          <t>VI 13b</t>
        </is>
      </c>
      <c r="C28" s="306" t="n">
        <v>3.75</v>
      </c>
      <c r="D28" s="325" t="n">
        <v>2349.6</v>
      </c>
      <c r="E28" s="307" t="n"/>
      <c r="F28" s="325" t="n">
        <v>5066.325</v>
      </c>
      <c r="G28" s="325" t="n">
        <v>5066.325</v>
      </c>
      <c r="H28" s="325" t="n">
        <v>2360.1364875</v>
      </c>
      <c r="I28" s="325" t="n">
        <v>3304.125</v>
      </c>
      <c r="J28" s="307" t="n">
        <v>15</v>
      </c>
      <c r="K28" s="307" t="n">
        <v>67</v>
      </c>
      <c r="L28" s="307" t="n">
        <v>70</v>
      </c>
      <c r="M28" s="306" t="n">
        <v>3.3165</v>
      </c>
      <c r="N28" s="307" t="n">
        <v>3</v>
      </c>
      <c r="O28" s="307" t="n">
        <v>12</v>
      </c>
      <c r="P28" s="306" t="n">
        <v>3.3165</v>
      </c>
      <c r="Q28" s="307" t="n">
        <v>3</v>
      </c>
      <c r="R28" s="307" t="n">
        <v>12</v>
      </c>
      <c r="S28" s="306" t="n">
        <v>5.9307287093942</v>
      </c>
      <c r="T28" s="306" t="n">
        <v>5.9307287093942</v>
      </c>
      <c r="U28" s="307" t="n">
        <v>6</v>
      </c>
      <c r="V28" s="307" t="n">
        <v>30</v>
      </c>
      <c r="W28" s="307" t="inlineStr">
        <is>
          <t>VERIFICA</t>
        </is>
      </c>
      <c r="X28" s="307" t="n"/>
      <c r="Y28" s="307" t="inlineStr">
        <is>
          <t>Continua</t>
        </is>
      </c>
      <c r="Z28" s="307" t="inlineStr">
        <is>
          <t>Invertida</t>
        </is>
      </c>
      <c r="AA28" s="307" t="n">
        <v>12</v>
      </c>
      <c r="AB28" s="307" t="n">
        <v>15</v>
      </c>
      <c r="AC28" s="307" t="n">
        <v>93.75</v>
      </c>
      <c r="AD28" s="307" t="n"/>
      <c r="AE28" s="307" t="n"/>
      <c r="AF28" s="307" t="n">
        <v>2.1</v>
      </c>
      <c r="AG28" s="307" t="n">
        <v>1</v>
      </c>
      <c r="AH28" s="307" t="n">
        <v>3</v>
      </c>
    </row>
    <row r="29" ht="31.2" customHeight="1" s="140">
      <c r="A29" s="280" t="n"/>
      <c r="B29" s="316" t="inlineStr">
        <is>
          <t>VI 14</t>
        </is>
      </c>
      <c r="C29" s="306" t="n">
        <v>6</v>
      </c>
      <c r="D29" s="325" t="n">
        <v>2015.968</v>
      </c>
      <c r="E29" s="307" t="n"/>
      <c r="F29" s="325" t="n">
        <v>6955.0896</v>
      </c>
      <c r="G29" s="325" t="n">
        <v>6955.0896</v>
      </c>
      <c r="H29" s="325" t="n">
        <v>5184.02139264</v>
      </c>
      <c r="I29" s="325" t="n">
        <v>7257.4848</v>
      </c>
      <c r="J29" s="307" t="n">
        <v>15</v>
      </c>
      <c r="K29" s="307" t="n">
        <v>67</v>
      </c>
      <c r="L29" s="307" t="n">
        <v>70</v>
      </c>
      <c r="M29" s="306" t="n">
        <v>3.3165</v>
      </c>
      <c r="N29" s="307" t="n">
        <v>3</v>
      </c>
      <c r="O29" s="307" t="n">
        <v>12</v>
      </c>
      <c r="P29" s="306" t="n">
        <v>3.3165</v>
      </c>
      <c r="Q29" s="307" t="n">
        <v>3</v>
      </c>
      <c r="R29" s="307" t="n">
        <v>12</v>
      </c>
      <c r="S29" s="306" t="n">
        <v>8.14174960491659</v>
      </c>
      <c r="T29" s="306" t="n">
        <v>8.14174960491659</v>
      </c>
      <c r="U29" s="307" t="n">
        <v>6</v>
      </c>
      <c r="V29" s="307" t="n">
        <v>30</v>
      </c>
      <c r="W29" s="307" t="inlineStr">
        <is>
          <t>VERIFICA</t>
        </is>
      </c>
      <c r="X29" s="307" t="n"/>
      <c r="Y29" s="307" t="inlineStr">
        <is>
          <t>Continua</t>
        </is>
      </c>
      <c r="Z29" s="307" t="inlineStr">
        <is>
          <t>Invertida</t>
        </is>
      </c>
      <c r="AA29" s="307" t="n">
        <v>12</v>
      </c>
      <c r="AB29" s="307" t="n">
        <v>15</v>
      </c>
      <c r="AC29" s="307" t="n">
        <v>150</v>
      </c>
      <c r="AD29" s="307" t="n"/>
      <c r="AE29" s="307" t="n"/>
      <c r="AF29" s="307" t="n">
        <v>1.699</v>
      </c>
      <c r="AG29" s="307" t="n">
        <v>1</v>
      </c>
      <c r="AH29" s="307" t="n">
        <v>3</v>
      </c>
    </row>
    <row r="30" ht="31.2" customHeight="1" s="140">
      <c r="A30" s="280" t="n"/>
      <c r="B30" s="316" t="inlineStr">
        <is>
          <t>VI 15a</t>
        </is>
      </c>
      <c r="C30" s="306" t="n">
        <v>4.03</v>
      </c>
      <c r="D30" s="325" t="n">
        <v>602.4</v>
      </c>
      <c r="E30" s="307" t="n"/>
      <c r="F30" s="325" t="n">
        <v>1395.9114</v>
      </c>
      <c r="G30" s="325" t="n">
        <v>1395.9114</v>
      </c>
      <c r="H30" s="325" t="n">
        <v>698.8367021688</v>
      </c>
      <c r="I30" s="325" t="n">
        <v>978.351816</v>
      </c>
      <c r="J30" s="307" t="n">
        <v>15</v>
      </c>
      <c r="K30" s="307" t="n">
        <v>67</v>
      </c>
      <c r="L30" s="307" t="n">
        <v>70</v>
      </c>
      <c r="M30" s="306" t="n">
        <v>3.3165</v>
      </c>
      <c r="N30" s="307" t="n">
        <v>3</v>
      </c>
      <c r="O30" s="307" t="n">
        <v>12</v>
      </c>
      <c r="P30" s="306" t="n">
        <v>3.3165</v>
      </c>
      <c r="Q30" s="307" t="n">
        <v>3</v>
      </c>
      <c r="R30" s="307" t="n">
        <v>12</v>
      </c>
      <c r="S30" s="306" t="n">
        <v>1.6340783143108</v>
      </c>
      <c r="T30" s="306" t="n">
        <v>1.6340783143108</v>
      </c>
      <c r="U30" s="307" t="n">
        <v>6</v>
      </c>
      <c r="V30" s="307" t="n">
        <v>30</v>
      </c>
      <c r="W30" s="307" t="inlineStr">
        <is>
          <t>VERIFICA</t>
        </is>
      </c>
      <c r="X30" s="309" t="inlineStr">
        <is>
          <t>Viga de borde: recibe la reaccion de la losa excentrica y queda sometida a TORSION, no verificada en esta planilla.</t>
        </is>
      </c>
      <c r="Y30" s="307" t="inlineStr">
        <is>
          <t>Continua</t>
        </is>
      </c>
      <c r="Z30" s="307" t="inlineStr">
        <is>
          <t>Invertida</t>
        </is>
      </c>
      <c r="AA30" s="307" t="n">
        <v>12</v>
      </c>
      <c r="AB30" s="307" t="n">
        <v>15</v>
      </c>
      <c r="AC30" s="307" t="n">
        <v>100.75</v>
      </c>
      <c r="AD30" s="307" t="n"/>
      <c r="AE30" s="307" t="n"/>
      <c r="AF30" s="307" t="n">
        <v>0</v>
      </c>
      <c r="AG30" s="307" t="n">
        <v>1</v>
      </c>
      <c r="AH30" s="307" t="n">
        <v>3</v>
      </c>
    </row>
    <row r="31" ht="31.2" customHeight="1" s="140">
      <c r="A31" s="280" t="n"/>
      <c r="B31" s="316" t="inlineStr">
        <is>
          <t>VI 15b</t>
        </is>
      </c>
      <c r="C31" s="306" t="n">
        <v>4.85</v>
      </c>
      <c r="D31" s="325" t="n">
        <v>2015.968</v>
      </c>
      <c r="E31" s="307" t="n"/>
      <c r="F31" s="325" t="n">
        <v>5622.03076</v>
      </c>
      <c r="G31" s="325" t="n">
        <v>5622.03076</v>
      </c>
      <c r="H31" s="325" t="n">
        <v>3387.2539780104</v>
      </c>
      <c r="I31" s="325" t="n">
        <v>4742.060728</v>
      </c>
      <c r="J31" s="307" t="n">
        <v>15</v>
      </c>
      <c r="K31" s="307" t="n">
        <v>67</v>
      </c>
      <c r="L31" s="307" t="n">
        <v>70</v>
      </c>
      <c r="M31" s="306" t="n">
        <v>3.3165</v>
      </c>
      <c r="N31" s="307" t="n">
        <v>3</v>
      </c>
      <c r="O31" s="307" t="n">
        <v>12</v>
      </c>
      <c r="P31" s="306" t="n">
        <v>3.3165</v>
      </c>
      <c r="Q31" s="307" t="n">
        <v>3</v>
      </c>
      <c r="R31" s="307" t="n">
        <v>12</v>
      </c>
      <c r="S31" s="306" t="n">
        <v>6.58124759730758</v>
      </c>
      <c r="T31" s="306" t="n">
        <v>6.58124759730758</v>
      </c>
      <c r="U31" s="307" t="n">
        <v>6</v>
      </c>
      <c r="V31" s="307" t="n">
        <v>30</v>
      </c>
      <c r="W31" s="307" t="inlineStr">
        <is>
          <t>VERIFICA</t>
        </is>
      </c>
      <c r="X31" s="309" t="inlineStr">
        <is>
          <t>Viga de borde: recibe la reaccion de la losa excentrica y queda sometida a TORSION, no verificada en esta planilla.</t>
        </is>
      </c>
      <c r="Y31" s="307" t="inlineStr">
        <is>
          <t>Continua</t>
        </is>
      </c>
      <c r="Z31" s="307" t="inlineStr">
        <is>
          <t>Invertida</t>
        </is>
      </c>
      <c r="AA31" s="307" t="n">
        <v>12</v>
      </c>
      <c r="AB31" s="307" t="n">
        <v>15</v>
      </c>
      <c r="AC31" s="307" t="n">
        <v>121.25</v>
      </c>
      <c r="AD31" s="307" t="n"/>
      <c r="AE31" s="307" t="n"/>
      <c r="AF31" s="307" t="n">
        <v>1.699</v>
      </c>
      <c r="AG31" s="307" t="n">
        <v>1</v>
      </c>
      <c r="AH31" s="307" t="n">
        <v>3</v>
      </c>
    </row>
    <row r="32" ht="31.2" customHeight="1" s="140">
      <c r="A32" s="280" t="n"/>
      <c r="B32" s="316" t="inlineStr">
        <is>
          <t>VI 16a</t>
        </is>
      </c>
      <c r="C32" s="306" t="n">
        <v>3.58</v>
      </c>
      <c r="D32" s="325" t="n">
        <v>2015.968</v>
      </c>
      <c r="E32" s="307" t="n"/>
      <c r="F32" s="325" t="n">
        <v>4149.870128</v>
      </c>
      <c r="G32" s="325" t="n">
        <v>4149.870128</v>
      </c>
      <c r="H32" s="325" t="n">
        <v>1845.56921601754</v>
      </c>
      <c r="I32" s="325" t="n">
        <v>2583.74522752</v>
      </c>
      <c r="J32" s="307" t="n">
        <v>15</v>
      </c>
      <c r="K32" s="307" t="n">
        <v>67</v>
      </c>
      <c r="L32" s="307" t="n">
        <v>70</v>
      </c>
      <c r="M32" s="306" t="n">
        <v>3.3165</v>
      </c>
      <c r="N32" s="307" t="n">
        <v>3</v>
      </c>
      <c r="O32" s="307" t="n">
        <v>12</v>
      </c>
      <c r="P32" s="306" t="n">
        <v>3.3165</v>
      </c>
      <c r="Q32" s="307" t="n">
        <v>3</v>
      </c>
      <c r="R32" s="307" t="n">
        <v>12</v>
      </c>
      <c r="S32" s="306" t="n">
        <v>4.85791059760023</v>
      </c>
      <c r="T32" s="306" t="n">
        <v>4.85791059760023</v>
      </c>
      <c r="U32" s="307" t="n">
        <v>6</v>
      </c>
      <c r="V32" s="307" t="n">
        <v>30</v>
      </c>
      <c r="W32" s="307" t="inlineStr">
        <is>
          <t>VERIFICA</t>
        </is>
      </c>
      <c r="X32" s="307" t="n"/>
      <c r="Y32" s="307" t="inlineStr">
        <is>
          <t>Continua</t>
        </is>
      </c>
      <c r="Z32" s="307" t="inlineStr">
        <is>
          <t>Invertida</t>
        </is>
      </c>
      <c r="AA32" s="307" t="n">
        <v>12</v>
      </c>
      <c r="AB32" s="307" t="n">
        <v>15</v>
      </c>
      <c r="AC32" s="307" t="n">
        <v>89.5</v>
      </c>
      <c r="AD32" s="307" t="n"/>
      <c r="AE32" s="307" t="n"/>
      <c r="AF32" s="307" t="n">
        <v>1.699</v>
      </c>
      <c r="AG32" s="307" t="n">
        <v>1</v>
      </c>
      <c r="AH32" s="307" t="n">
        <v>3</v>
      </c>
    </row>
    <row r="33" ht="31.2" customHeight="1" s="140">
      <c r="A33" s="280" t="n"/>
      <c r="B33" s="316" t="inlineStr">
        <is>
          <t>VI 16b</t>
        </is>
      </c>
      <c r="C33" s="306" t="n">
        <v>1.12</v>
      </c>
      <c r="D33" s="325" t="n">
        <v>2015.968</v>
      </c>
      <c r="E33" s="307" t="n"/>
      <c r="F33" s="325" t="n">
        <v>1298.283392</v>
      </c>
      <c r="G33" s="325" t="n">
        <v>1298.283392</v>
      </c>
      <c r="H33" s="325" t="n">
        <v>180.634345414656</v>
      </c>
      <c r="I33" s="325" t="n">
        <v>252.88302592</v>
      </c>
      <c r="J33" s="307" t="n">
        <v>15</v>
      </c>
      <c r="K33" s="307" t="n">
        <v>67</v>
      </c>
      <c r="L33" s="307" t="n">
        <v>70</v>
      </c>
      <c r="M33" s="306" t="n">
        <v>3.3165</v>
      </c>
      <c r="N33" s="307" t="n">
        <v>3</v>
      </c>
      <c r="O33" s="307" t="n">
        <v>12</v>
      </c>
      <c r="P33" s="306" t="n">
        <v>3.3165</v>
      </c>
      <c r="Q33" s="307" t="n">
        <v>3</v>
      </c>
      <c r="R33" s="307" t="n">
        <v>12</v>
      </c>
      <c r="S33" s="306" t="n">
        <v>1.51979325958443</v>
      </c>
      <c r="T33" s="306" t="n">
        <v>1.51979325958443</v>
      </c>
      <c r="U33" s="307" t="n">
        <v>6</v>
      </c>
      <c r="V33" s="307" t="n">
        <v>30</v>
      </c>
      <c r="W33" s="307" t="inlineStr">
        <is>
          <t>VERIFICA</t>
        </is>
      </c>
      <c r="X33" s="307" t="n"/>
      <c r="Y33" s="307" t="inlineStr">
        <is>
          <t>Continua</t>
        </is>
      </c>
      <c r="Z33" s="307" t="inlineStr">
        <is>
          <t>Invertida</t>
        </is>
      </c>
      <c r="AA33" s="307" t="n">
        <v>12</v>
      </c>
      <c r="AB33" s="307" t="n">
        <v>15</v>
      </c>
      <c r="AC33" s="307" t="n">
        <v>28</v>
      </c>
      <c r="AD33" s="307" t="n"/>
      <c r="AE33" s="307" t="n"/>
      <c r="AF33" s="307" t="n">
        <v>1.699</v>
      </c>
      <c r="AG33" s="307" t="n">
        <v>1</v>
      </c>
      <c r="AH33" s="307" t="n">
        <v>3</v>
      </c>
    </row>
    <row r="34" ht="31.2" customHeight="1" s="140">
      <c r="A34" s="319" t="n"/>
      <c r="B34" s="316" t="inlineStr">
        <is>
          <t>VI 17</t>
        </is>
      </c>
      <c r="C34" s="306" t="n">
        <v>4.35</v>
      </c>
      <c r="D34" s="325" t="n">
        <v>602.4</v>
      </c>
      <c r="E34" s="307" t="n"/>
      <c r="F34" s="325" t="n">
        <v>1310.22</v>
      </c>
      <c r="G34" s="325" t="n">
        <v>1310.22</v>
      </c>
      <c r="H34" s="325" t="n">
        <v>1424.86425</v>
      </c>
      <c r="I34" s="325" t="inlineStr">
        <is>
          <t>---</t>
        </is>
      </c>
      <c r="J34" s="307" t="n">
        <v>15</v>
      </c>
      <c r="K34" s="307" t="n">
        <v>67</v>
      </c>
      <c r="L34" s="307" t="n">
        <v>70</v>
      </c>
      <c r="M34" s="306" t="n">
        <v>3.3165</v>
      </c>
      <c r="N34" s="307" t="n">
        <v>3</v>
      </c>
      <c r="O34" s="307" t="n">
        <v>12</v>
      </c>
      <c r="P34" s="306" t="inlineStr">
        <is>
          <t>---</t>
        </is>
      </c>
      <c r="Q34" s="307" t="inlineStr">
        <is>
          <t>---</t>
        </is>
      </c>
      <c r="R34" s="307" t="inlineStr">
        <is>
          <t>---</t>
        </is>
      </c>
      <c r="S34" s="306" t="n">
        <v>1.5337664618086</v>
      </c>
      <c r="T34" s="306" t="n">
        <v>1.5337664618086</v>
      </c>
      <c r="U34" s="307" t="n">
        <v>6</v>
      </c>
      <c r="V34" s="307" t="n">
        <v>30</v>
      </c>
      <c r="W34" s="307" t="inlineStr">
        <is>
          <t>VERIFICA</t>
        </is>
      </c>
      <c r="X34" s="307" t="n"/>
      <c r="Y34" s="307" t="inlineStr">
        <is>
          <t>Simplemente apoyada</t>
        </is>
      </c>
      <c r="Z34" s="307" t="inlineStr">
        <is>
          <t>Invertida</t>
        </is>
      </c>
      <c r="AA34" s="307" t="n">
        <v>12</v>
      </c>
      <c r="AB34" s="307" t="n">
        <v>15</v>
      </c>
      <c r="AC34" s="307" t="n">
        <v>108.75</v>
      </c>
      <c r="AD34" s="307" t="n"/>
      <c r="AE34" s="307" t="n"/>
      <c r="AF34" s="307" t="n">
        <v>0</v>
      </c>
      <c r="AG34" s="307" t="n">
        <v>1</v>
      </c>
      <c r="AH34" s="307" t="n">
        <v>3</v>
      </c>
    </row>
  </sheetData>
  <mergeCells count="17">
    <mergeCell ref="F2:G2"/>
    <mergeCell ref="J2:L2"/>
    <mergeCell ref="A4:A25"/>
    <mergeCell ref="D2:E2"/>
    <mergeCell ref="P2:R2"/>
    <mergeCell ref="A26:A34"/>
    <mergeCell ref="S2:U2"/>
    <mergeCell ref="I2:I3"/>
    <mergeCell ref="A1:AH1"/>
    <mergeCell ref="B2:B3"/>
    <mergeCell ref="A2:A3"/>
    <mergeCell ref="C2:C3"/>
    <mergeCell ref="X2:X3"/>
    <mergeCell ref="M2:O2"/>
    <mergeCell ref="H2:H3"/>
    <mergeCell ref="W2:W3"/>
    <mergeCell ref="Y2:AH2"/>
  </mergeCells>
  <conditionalFormatting sqref="W4:W34">
    <cfRule type="cellIs" rank="0" priority="2" equalAverage="0" operator="equal" aboveAverage="0" dxfId="0" text="" percent="0" bottom="0">
      <formula>"VERIFICA"</formula>
    </cfRule>
    <cfRule type="cellIs" rank="0" priority="3" equalAverage="0" operator="equal" aboveAverage="0" dxfId="1" text="" percent="0" bottom="0">
      <formula>"NO VERIFICA FLEX."</formula>
    </cfRule>
    <cfRule type="cellIs" rank="0" priority="4" equalAverage="0" operator="equal" aboveAverage="0" dxfId="1" text="" percent="0" bottom="0">
      <formula>"NO VERIF. CORTE"</formula>
    </cfRule>
    <cfRule type="cellIs" rank="0" priority="5" equalAverage="0" operator="equal" aboveAverage="0" dxfId="1" text="" percent="0" bottom="0">
      <formula>"VERIFICAR FLECHA"</formula>
    </cfRule>
  </conditionalFormatting>
  <dataValidations count="3">
    <dataValidation sqref="Y4:Y34" showDropDown="0" showInputMessage="0" showErrorMessage="0" allowBlank="1" type="list">
      <formula1>"Simplemente apoyada,Continua,Empotrada-apoyada,Biempotrada,Voladizo"</formula1>
    </dataValidation>
    <dataValidation sqref="Z4:Z34" showDropDown="0" showInputMessage="0" showErrorMessage="0" allowBlank="1" type="list">
      <formula1>"Invertida,Colgante"</formula1>
    </dataValidation>
    <dataValidation sqref="O4:O34 R4:R34 U4:U34" showDropDown="0" showInputMessage="0" showErrorMessage="0" allowBlank="1" type="list">
      <formula1>"6,8,10,12,16,20,25"</formula1>
    </dataValidation>
  </dataValidations>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T15"/>
  <sheetViews>
    <sheetView showGridLines="0" workbookViewId="0">
      <pane xSplit="2" ySplit="3" topLeftCell="C4" activePane="bottomRight" state="frozen"/>
      <selection pane="topRight"/>
      <selection pane="bottomLeft"/>
      <selection pane="bottomRight" activeCell="A1" sqref="A1"/>
    </sheetView>
  </sheetViews>
  <sheetFormatPr baseColWidth="8" defaultColWidth="8.54296875" defaultRowHeight="15" customHeight="0" zeroHeight="0" outlineLevelRow="0"/>
  <cols>
    <col width="7.66" customWidth="1" style="140" min="1" max="1"/>
    <col width="7.66" customWidth="1" style="140" min="2" max="2"/>
    <col width="7.66" customWidth="1" style="140" min="3" max="3"/>
    <col width="12.47" customWidth="1" style="140" min="4" max="4"/>
    <col width="7.66" customWidth="1" style="140" min="5" max="5"/>
    <col width="18.39" customWidth="1" style="140" min="6" max="6"/>
    <col width="7.66" customWidth="1" style="140" min="7" max="7"/>
    <col width="7.66" customWidth="1" style="140" min="8" max="8"/>
    <col width="15.32" customWidth="1" style="140" min="9" max="9"/>
    <col width="7.66" customWidth="1" style="140" min="10" max="10"/>
    <col width="7.66" customWidth="1" style="140" min="11" max="11"/>
    <col width="7.66" customWidth="1" style="140" min="12" max="12"/>
    <col width="7.66" customWidth="1" style="140" min="13" max="13"/>
    <col width="7.66" customWidth="1" style="140" min="14" max="14"/>
    <col width="7.66" customWidth="1" style="140" min="15" max="15"/>
    <col width="7.66" customWidth="1" style="140" min="16" max="16"/>
    <col width="7.66" customWidth="1" style="140" min="17" max="17"/>
    <col width="54" customWidth="1" style="140" min="18" max="18"/>
    <col width="13.5" customWidth="1" style="140" min="19" max="19"/>
    <col width="10.8" customWidth="1" style="140" min="20" max="20"/>
  </cols>
  <sheetData>
    <row r="1" ht="34" customHeight="1" s="140">
      <c r="A1" s="323" t="inlineStr">
        <is>
          <t>LOSAS DE H°A°   H-21   ACERO 42/50</t>
        </is>
      </c>
    </row>
    <row r="2" ht="31.2" customHeight="1" s="140">
      <c r="A2" s="301" t="inlineStr">
        <is>
          <t>NIVEL</t>
        </is>
      </c>
      <c r="B2" s="301" t="inlineStr">
        <is>
          <t>POSICION</t>
        </is>
      </c>
      <c r="C2" s="301" t="inlineStr">
        <is>
          <t>LUZ (m)</t>
        </is>
      </c>
      <c r="D2" s="301" t="inlineStr">
        <is>
          <t>GRADO DE EMPOTRAMIENTO</t>
        </is>
      </c>
      <c r="E2" s="301" t="inlineStr">
        <is>
          <t>CARGAS (kg/m)</t>
        </is>
      </c>
      <c r="F2" s="232" t="n"/>
      <c r="G2" s="301" t="inlineStr">
        <is>
          <t>DIMENSIONES</t>
        </is>
      </c>
      <c r="H2" s="232" t="n"/>
      <c r="I2" s="301" t="inlineStr">
        <is>
          <t>MOMENTO TRAMO (kgm)</t>
        </is>
      </c>
      <c r="J2" s="301" t="inlineStr">
        <is>
          <t>ARMADURA PRINCIPAL</t>
        </is>
      </c>
      <c r="K2" s="214" t="n"/>
      <c r="L2" s="232" t="n"/>
      <c r="M2" s="301" t="inlineStr">
        <is>
          <t>ARMADURA REPARTICION</t>
        </is>
      </c>
      <c r="N2" s="214" t="n"/>
      <c r="O2" s="232" t="n"/>
      <c r="P2" s="301" t="inlineStr">
        <is>
          <t>REACCIONES (kg)</t>
        </is>
      </c>
      <c r="Q2" s="232" t="n"/>
      <c r="R2" s="301" t="inlineStr">
        <is>
          <t>OBSERVACIONES</t>
        </is>
      </c>
      <c r="S2" s="301" t="inlineStr">
        <is>
          <t>DATOS AUXILIARES</t>
        </is>
      </c>
      <c r="T2" s="232" t="n"/>
    </row>
    <row r="3" ht="31.2" customHeight="1" s="140">
      <c r="A3" s="302" t="n"/>
      <c r="B3" s="302" t="n"/>
      <c r="C3" s="302" t="n"/>
      <c r="D3" s="302" t="n"/>
      <c r="E3" s="303" t="inlineStr">
        <is>
          <t>p</t>
        </is>
      </c>
      <c r="F3" s="303" t="inlineStr">
        <is>
          <t>diagrama</t>
        </is>
      </c>
      <c r="G3" s="303" t="inlineStr">
        <is>
          <t>h</t>
        </is>
      </c>
      <c r="H3" s="303" t="inlineStr">
        <is>
          <t>d</t>
        </is>
      </c>
      <c r="I3" s="302" t="n"/>
      <c r="J3" s="303" t="inlineStr">
        <is>
          <t>cm2</t>
        </is>
      </c>
      <c r="K3" s="303" t="inlineStr">
        <is>
          <t>o</t>
        </is>
      </c>
      <c r="L3" s="303" t="inlineStr">
        <is>
          <t>separ</t>
        </is>
      </c>
      <c r="M3" s="303" t="inlineStr">
        <is>
          <t>cm2</t>
        </is>
      </c>
      <c r="N3" s="303" t="inlineStr">
        <is>
          <t>o</t>
        </is>
      </c>
      <c r="O3" s="303" t="inlineStr">
        <is>
          <t>separ</t>
        </is>
      </c>
      <c r="P3" s="303" t="inlineStr">
        <is>
          <t>Rx</t>
        </is>
      </c>
      <c r="Q3" s="303" t="inlineStr">
        <is>
          <t>Ry</t>
        </is>
      </c>
      <c r="R3" s="302" t="n"/>
      <c r="S3" s="303" t="inlineStr">
        <is>
          <t>luz transv.</t>
        </is>
      </c>
      <c r="T3" s="303" t="inlineStr">
        <is>
          <t>k carga</t>
        </is>
      </c>
    </row>
    <row r="4" ht="31.2" customHeight="1" s="140">
      <c r="A4" s="324" t="inlineStr">
        <is>
          <t>S/PB</t>
        </is>
      </c>
      <c r="B4" s="316" t="inlineStr">
        <is>
          <t>L01</t>
        </is>
      </c>
      <c r="C4" s="306" t="n">
        <v>3.65</v>
      </c>
      <c r="D4" s="307" t="inlineStr">
        <is>
          <t>1/8</t>
        </is>
      </c>
      <c r="E4" s="325" t="n">
        <v>706</v>
      </c>
      <c r="F4" s="307" t="n"/>
      <c r="G4" s="326" t="n">
        <v>9.5</v>
      </c>
      <c r="H4" s="307" t="n">
        <v>11</v>
      </c>
      <c r="I4" s="325" t="n">
        <v>1175.710625</v>
      </c>
      <c r="J4" s="306" t="n">
        <v>5.72958394249513</v>
      </c>
      <c r="K4" s="307" t="n">
        <v>12</v>
      </c>
      <c r="L4" s="307" t="n">
        <v>20</v>
      </c>
      <c r="M4" s="306" t="n">
        <v>1.14591678849903</v>
      </c>
      <c r="N4" s="307" t="n">
        <v>6</v>
      </c>
      <c r="O4" s="307" t="n">
        <v>20</v>
      </c>
      <c r="P4" s="325" t="n">
        <v>1288.45</v>
      </c>
      <c r="Q4" s="325" t="n">
        <v>1288.45</v>
      </c>
      <c r="R4" s="309" t="n"/>
      <c r="S4" s="307" t="n"/>
      <c r="T4" s="327" t="n">
        <v>1</v>
      </c>
    </row>
    <row r="5" ht="31.2" customHeight="1" s="140">
      <c r="A5" s="280" t="n"/>
      <c r="B5" s="316" t="inlineStr">
        <is>
          <t>L02</t>
        </is>
      </c>
      <c r="C5" s="306" t="n">
        <v>0.8</v>
      </c>
      <c r="D5" s="307" t="inlineStr">
        <is>
          <t>1/2</t>
        </is>
      </c>
      <c r="E5" s="325" t="n">
        <v>658</v>
      </c>
      <c r="F5" s="307" t="n"/>
      <c r="G5" s="326" t="n">
        <v>7.5</v>
      </c>
      <c r="H5" s="307" t="n">
        <v>9</v>
      </c>
      <c r="I5" s="325" t="n">
        <v>210.56</v>
      </c>
      <c r="J5" s="306" t="n">
        <v>1.29975308641975</v>
      </c>
      <c r="K5" s="307" t="n">
        <v>12</v>
      </c>
      <c r="L5" s="307" t="n">
        <v>20</v>
      </c>
      <c r="M5" s="306" t="n">
        <v>0.3</v>
      </c>
      <c r="N5" s="307" t="n">
        <v>6</v>
      </c>
      <c r="O5" s="307" t="n">
        <v>20</v>
      </c>
      <c r="P5" s="325" t="n">
        <v>526.4</v>
      </c>
      <c r="Q5" s="325" t="inlineStr">
        <is>
          <t>---</t>
        </is>
      </c>
      <c r="R5" s="309" t="inlineStr">
        <is>
          <t>Voladizo: un solo apoyo.</t>
        </is>
      </c>
      <c r="S5" s="307" t="n"/>
      <c r="T5" s="327" t="n">
        <v>1</v>
      </c>
    </row>
    <row r="6" ht="31.2" customHeight="1" s="140">
      <c r="A6" s="280" t="n"/>
      <c r="B6" s="316" t="inlineStr">
        <is>
          <t>L03</t>
        </is>
      </c>
      <c r="C6" s="306" t="n">
        <v>4.15</v>
      </c>
      <c r="D6" s="307" t="inlineStr">
        <is>
          <t>1/8</t>
        </is>
      </c>
      <c r="E6" s="325" t="n">
        <v>754</v>
      </c>
      <c r="F6" s="307" t="n"/>
      <c r="G6" s="326" t="n">
        <v>11.5</v>
      </c>
      <c r="H6" s="307" t="n">
        <v>13</v>
      </c>
      <c r="I6" s="325" t="n">
        <v>1623.220625</v>
      </c>
      <c r="J6" s="306" t="n">
        <v>6.53470460950081</v>
      </c>
      <c r="K6" s="307" t="n">
        <v>12</v>
      </c>
      <c r="L6" s="307" t="n">
        <v>17</v>
      </c>
      <c r="M6" s="306" t="n">
        <v>1.30694092190016</v>
      </c>
      <c r="N6" s="307" t="n">
        <v>6</v>
      </c>
      <c r="O6" s="307" t="n">
        <v>20</v>
      </c>
      <c r="P6" s="325" t="n">
        <v>1564.55</v>
      </c>
      <c r="Q6" s="325" t="n">
        <v>1564.55</v>
      </c>
      <c r="R6" s="309" t="n"/>
      <c r="S6" s="307" t="n"/>
      <c r="T6" s="327" t="n">
        <v>1</v>
      </c>
    </row>
    <row r="7" ht="31.2" customHeight="1" s="140">
      <c r="A7" s="280" t="n"/>
      <c r="B7" s="316" t="inlineStr">
        <is>
          <t>L04</t>
        </is>
      </c>
      <c r="C7" s="306" t="n">
        <v>3.73</v>
      </c>
      <c r="D7" s="307" t="inlineStr">
        <is>
          <t>1/8</t>
        </is>
      </c>
      <c r="E7" s="325" t="n">
        <v>706</v>
      </c>
      <c r="F7" s="307" t="n"/>
      <c r="G7" s="326" t="n">
        <v>9.5</v>
      </c>
      <c r="H7" s="307" t="n">
        <v>11</v>
      </c>
      <c r="I7" s="325" t="n">
        <v>1227.813425</v>
      </c>
      <c r="J7" s="306" t="n">
        <v>5.98349622319688</v>
      </c>
      <c r="K7" s="307" t="n">
        <v>12</v>
      </c>
      <c r="L7" s="307" t="n">
        <v>19</v>
      </c>
      <c r="M7" s="306" t="n">
        <v>1.19669924463938</v>
      </c>
      <c r="N7" s="307" t="n">
        <v>6</v>
      </c>
      <c r="O7" s="307" t="n">
        <v>20</v>
      </c>
      <c r="P7" s="325" t="n">
        <v>1316.69</v>
      </c>
      <c r="Q7" s="325" t="n">
        <v>1316.69</v>
      </c>
      <c r="R7" s="309" t="n"/>
      <c r="S7" s="307" t="n"/>
      <c r="T7" s="327" t="n">
        <v>1</v>
      </c>
    </row>
    <row r="8" ht="31.2" customHeight="1" s="140">
      <c r="A8" s="280" t="n"/>
      <c r="B8" s="316" t="inlineStr">
        <is>
          <t>L05</t>
        </is>
      </c>
      <c r="C8" s="306" t="n">
        <v>3.73</v>
      </c>
      <c r="D8" s="307" t="inlineStr">
        <is>
          <t>1/8</t>
        </is>
      </c>
      <c r="E8" s="325" t="n">
        <v>706</v>
      </c>
      <c r="F8" s="307" t="n"/>
      <c r="G8" s="326" t="n">
        <v>9.5</v>
      </c>
      <c r="H8" s="307" t="n">
        <v>11</v>
      </c>
      <c r="I8" s="325" t="n">
        <v>1227.813425</v>
      </c>
      <c r="J8" s="306" t="n">
        <v>5.98349622319688</v>
      </c>
      <c r="K8" s="307" t="n">
        <v>12</v>
      </c>
      <c r="L8" s="307" t="n">
        <v>19</v>
      </c>
      <c r="M8" s="306" t="n">
        <v>1.19669924463938</v>
      </c>
      <c r="N8" s="307" t="n">
        <v>6</v>
      </c>
      <c r="O8" s="307" t="n">
        <v>20</v>
      </c>
      <c r="P8" s="325" t="n">
        <v>1316.69</v>
      </c>
      <c r="Q8" s="325" t="n">
        <v>1316.69</v>
      </c>
      <c r="R8" s="309" t="n"/>
      <c r="S8" s="307" t="n"/>
      <c r="T8" s="327" t="n">
        <v>1</v>
      </c>
    </row>
    <row r="9" ht="31.2" customHeight="1" s="140">
      <c r="A9" s="280" t="n"/>
      <c r="B9" s="316" t="inlineStr">
        <is>
          <t>L06</t>
        </is>
      </c>
      <c r="C9" s="306" t="n">
        <v>2.15</v>
      </c>
      <c r="D9" s="307" t="inlineStr">
        <is>
          <t>1/8</t>
        </is>
      </c>
      <c r="E9" s="325" t="n">
        <v>634</v>
      </c>
      <c r="F9" s="307" t="n"/>
      <c r="G9" s="326" t="n">
        <v>6.5</v>
      </c>
      <c r="H9" s="307" t="n">
        <v>8</v>
      </c>
      <c r="I9" s="325" t="n">
        <v>366.333125</v>
      </c>
      <c r="J9" s="306" t="n">
        <v>2.60921029202279</v>
      </c>
      <c r="K9" s="307" t="n">
        <v>12</v>
      </c>
      <c r="L9" s="307" t="n">
        <v>20</v>
      </c>
      <c r="M9" s="306" t="n">
        <v>0.521842058404558</v>
      </c>
      <c r="N9" s="307" t="n">
        <v>6</v>
      </c>
      <c r="O9" s="307" t="n">
        <v>20</v>
      </c>
      <c r="P9" s="325" t="n">
        <v>681.55</v>
      </c>
      <c r="Q9" s="325" t="n">
        <v>681.55</v>
      </c>
      <c r="R9" s="309" t="n"/>
      <c r="S9" s="307" t="n"/>
      <c r="T9" s="327" t="n">
        <v>1</v>
      </c>
    </row>
    <row r="10" ht="31.2" customHeight="1" s="140">
      <c r="A10" s="280" t="n"/>
      <c r="B10" s="316" t="inlineStr">
        <is>
          <t>L07 (x)</t>
        </is>
      </c>
      <c r="C10" s="306" t="n">
        <v>4.85</v>
      </c>
      <c r="D10" s="307" t="inlineStr">
        <is>
          <t>1/8</t>
        </is>
      </c>
      <c r="E10" s="325" t="n">
        <v>467.164245734151</v>
      </c>
      <c r="F10" s="307" t="n"/>
      <c r="G10" s="326" t="n">
        <v>10.5</v>
      </c>
      <c r="H10" s="307" t="n">
        <v>12</v>
      </c>
      <c r="I10" s="325" t="n">
        <v>1373.60887128519</v>
      </c>
      <c r="J10" s="306" t="n">
        <v>6.05647650478481</v>
      </c>
      <c r="K10" s="307" t="n">
        <v>12</v>
      </c>
      <c r="L10" s="307" t="n">
        <v>19</v>
      </c>
      <c r="M10" s="306" t="n">
        <v>1.21129530095696</v>
      </c>
      <c r="N10" s="307" t="n">
        <v>6</v>
      </c>
      <c r="O10" s="307" t="n">
        <v>20</v>
      </c>
      <c r="P10" s="325" t="n">
        <v>1132.87329590532</v>
      </c>
      <c r="Q10" s="325" t="n">
        <v>1132.87329590532</v>
      </c>
      <c r="R10" s="309" t="inlineStr">
        <is>
          <t>Losa cruzada 4,85 x 5,60 (ly/lx = 1,15). Direccion corta: toma el 64% de la carga por reparto de Marcus.</t>
        </is>
      </c>
      <c r="S10" s="307" t="n">
        <v>5.6</v>
      </c>
      <c r="T10" s="327" t="n">
        <v>0.639951021553631</v>
      </c>
    </row>
    <row r="11" ht="31.2" customHeight="1" s="140">
      <c r="A11" s="280" t="n"/>
      <c r="B11" s="316" t="inlineStr">
        <is>
          <t>L07 (y)</t>
        </is>
      </c>
      <c r="C11" s="306" t="n">
        <v>5.6</v>
      </c>
      <c r="D11" s="307" t="inlineStr">
        <is>
          <t>1/8</t>
        </is>
      </c>
      <c r="E11" s="325" t="n">
        <v>262.835754265849</v>
      </c>
      <c r="F11" s="307" t="n"/>
      <c r="G11" s="326" t="n">
        <v>10.5</v>
      </c>
      <c r="H11" s="307" t="n">
        <v>12</v>
      </c>
      <c r="I11" s="325" t="n">
        <v>1030.31615672213</v>
      </c>
      <c r="J11" s="306" t="n">
        <v>4.54284019718752</v>
      </c>
      <c r="K11" s="307" t="n">
        <v>12</v>
      </c>
      <c r="L11" s="307" t="n">
        <v>20</v>
      </c>
      <c r="M11" s="306" t="n">
        <v>0.908568039437504</v>
      </c>
      <c r="N11" s="307" t="n">
        <v>6</v>
      </c>
      <c r="O11" s="307" t="n">
        <v>20</v>
      </c>
      <c r="P11" s="325" t="n">
        <v>735.940111944378</v>
      </c>
      <c r="Q11" s="325" t="n">
        <v>735.940111944378</v>
      </c>
      <c r="R11" s="309" t="inlineStr">
        <is>
          <t>Misma losa, direccion larga: toma el 36% restante. La armadura va cruzada con la fila anterior.</t>
        </is>
      </c>
      <c r="S11" s="307" t="n">
        <v>4.85</v>
      </c>
      <c r="T11" s="327" t="n">
        <v>0.360048978446369</v>
      </c>
    </row>
    <row r="12" ht="31.2" customHeight="1" s="140">
      <c r="A12" s="319" t="n"/>
      <c r="B12" s="316" t="inlineStr">
        <is>
          <t>L08</t>
        </is>
      </c>
      <c r="C12" s="306" t="n">
        <v>0.75</v>
      </c>
      <c r="D12" s="307" t="inlineStr">
        <is>
          <t>1/2</t>
        </is>
      </c>
      <c r="E12" s="325" t="n">
        <v>682</v>
      </c>
      <c r="F12" s="307" t="n"/>
      <c r="G12" s="326" t="n">
        <v>8.5</v>
      </c>
      <c r="H12" s="307" t="n">
        <v>10</v>
      </c>
      <c r="I12" s="325" t="n">
        <v>191.8125</v>
      </c>
      <c r="J12" s="306" t="n">
        <v>1.04473039215686</v>
      </c>
      <c r="K12" s="307" t="n">
        <v>12</v>
      </c>
      <c r="L12" s="307" t="n">
        <v>20</v>
      </c>
      <c r="M12" s="306" t="n">
        <v>0.3</v>
      </c>
      <c r="N12" s="307" t="n">
        <v>6</v>
      </c>
      <c r="O12" s="307" t="n">
        <v>20</v>
      </c>
      <c r="P12" s="325" t="n">
        <v>511.5</v>
      </c>
      <c r="Q12" s="325" t="inlineStr">
        <is>
          <t>---</t>
        </is>
      </c>
      <c r="R12" s="309" t="inlineStr">
        <is>
          <t>Voladizo: un solo apoyo.</t>
        </is>
      </c>
      <c r="S12" s="307" t="n"/>
      <c r="T12" s="327" t="n">
        <v>1</v>
      </c>
    </row>
    <row r="13" ht="31.2" customHeight="1" s="140">
      <c r="A13" s="324" t="inlineStr">
        <is>
          <t>S/PA</t>
        </is>
      </c>
      <c r="B13" s="316" t="inlineStr">
        <is>
          <t>L09</t>
        </is>
      </c>
      <c r="C13" s="306" t="n">
        <v>4.2</v>
      </c>
      <c r="D13" s="307" t="inlineStr">
        <is>
          <t>1/8</t>
        </is>
      </c>
      <c r="E13" s="325" t="n">
        <v>664</v>
      </c>
      <c r="F13" s="307" t="n"/>
      <c r="G13" s="326" t="n">
        <v>11.5</v>
      </c>
      <c r="H13" s="307" t="n">
        <v>13</v>
      </c>
      <c r="I13" s="325" t="n">
        <v>1464.12</v>
      </c>
      <c r="J13" s="306" t="n">
        <v>5.89420289855072</v>
      </c>
      <c r="K13" s="307" t="n">
        <v>12</v>
      </c>
      <c r="L13" s="307" t="n">
        <v>19</v>
      </c>
      <c r="M13" s="306" t="n">
        <v>1.17884057971014</v>
      </c>
      <c r="N13" s="307" t="n">
        <v>6</v>
      </c>
      <c r="O13" s="307" t="n">
        <v>20</v>
      </c>
      <c r="P13" s="325" t="n">
        <v>1394.4</v>
      </c>
      <c r="Q13" s="325" t="n">
        <v>1394.4</v>
      </c>
      <c r="R13" s="309" t="n"/>
      <c r="S13" s="307" t="n"/>
      <c r="T13" s="327" t="n">
        <v>1</v>
      </c>
    </row>
    <row r="14" ht="31.2" customHeight="1" s="140">
      <c r="A14" s="280" t="n"/>
      <c r="B14" s="316" t="inlineStr">
        <is>
          <t>L10 (x)</t>
        </is>
      </c>
      <c r="C14" s="306" t="n">
        <v>4.85</v>
      </c>
      <c r="D14" s="307" t="inlineStr">
        <is>
          <t>1/8</t>
        </is>
      </c>
      <c r="E14" s="325" t="n">
        <v>448.51371280327</v>
      </c>
      <c r="F14" s="307" t="n"/>
      <c r="G14" s="326" t="n">
        <v>10.5</v>
      </c>
      <c r="H14" s="307" t="n">
        <v>12</v>
      </c>
      <c r="I14" s="325" t="n">
        <v>1318.77047617686</v>
      </c>
      <c r="J14" s="306" t="n">
        <v>5.8146846392278</v>
      </c>
      <c r="K14" s="307" t="n">
        <v>12</v>
      </c>
      <c r="L14" s="307" t="n">
        <v>19</v>
      </c>
      <c r="M14" s="306" t="n">
        <v>1.16293692784556</v>
      </c>
      <c r="N14" s="307" t="n">
        <v>6</v>
      </c>
      <c r="O14" s="307" t="n">
        <v>20</v>
      </c>
      <c r="P14" s="325" t="n">
        <v>1087.64575354793</v>
      </c>
      <c r="Q14" s="325" t="n">
        <v>1087.64575354793</v>
      </c>
      <c r="R14" s="309" t="inlineStr">
        <is>
          <t>Losa cruzada 4,85 x 6,00 (ly/lx = 1,24). Direccion corta: toma el 70% de la carga por reparto de Marcus.</t>
        </is>
      </c>
      <c r="S14" s="307" t="n">
        <v>6</v>
      </c>
      <c r="T14" s="327" t="n">
        <v>0.7008026762551089</v>
      </c>
    </row>
    <row r="15" ht="31.2" customHeight="1" s="140">
      <c r="A15" s="319" t="n"/>
      <c r="B15" s="316" t="inlineStr">
        <is>
          <t>L10 (y)</t>
        </is>
      </c>
      <c r="C15" s="306" t="n">
        <v>6</v>
      </c>
      <c r="D15" s="307" t="inlineStr">
        <is>
          <t>1/8</t>
        </is>
      </c>
      <c r="E15" s="325" t="n">
        <v>191.48628719673</v>
      </c>
      <c r="F15" s="307" t="n"/>
      <c r="G15" s="326" t="n">
        <v>10.5</v>
      </c>
      <c r="H15" s="307" t="n">
        <v>12</v>
      </c>
      <c r="I15" s="325" t="n">
        <v>861.688292385286</v>
      </c>
      <c r="J15" s="306" t="n">
        <v>3.79933109517322</v>
      </c>
      <c r="K15" s="307" t="n">
        <v>12</v>
      </c>
      <c r="L15" s="307" t="n">
        <v>20</v>
      </c>
      <c r="M15" s="306" t="n">
        <v>0.759866219034644</v>
      </c>
      <c r="N15" s="307" t="n">
        <v>6</v>
      </c>
      <c r="O15" s="307" t="n">
        <v>20</v>
      </c>
      <c r="P15" s="325" t="n">
        <v>574.4588615901901</v>
      </c>
      <c r="Q15" s="325" t="n">
        <v>574.4588615901901</v>
      </c>
      <c r="R15" s="309" t="inlineStr">
        <is>
          <t>Misma losa, direccion larga: toma el 30% restante. La armadura va cruzada con la fila anterior.</t>
        </is>
      </c>
      <c r="S15" s="307" t="n">
        <v>4.85</v>
      </c>
      <c r="T15" s="327" t="n">
        <v>0.299197323744891</v>
      </c>
    </row>
  </sheetData>
  <mergeCells count="15">
    <mergeCell ref="A1:T1"/>
    <mergeCell ref="J2:L2"/>
    <mergeCell ref="S2:T2"/>
    <mergeCell ref="G2:H2"/>
    <mergeCell ref="E2:F2"/>
    <mergeCell ref="C2:C3"/>
    <mergeCell ref="A4:A12"/>
    <mergeCell ref="P2:Q2"/>
    <mergeCell ref="B2:B3"/>
    <mergeCell ref="A2:A3"/>
    <mergeCell ref="D2:D3"/>
    <mergeCell ref="R2:R3"/>
    <mergeCell ref="M2:O2"/>
    <mergeCell ref="I2:I3"/>
    <mergeCell ref="A13:A15"/>
  </mergeCells>
  <dataValidations count="2">
    <dataValidation sqref="D4:D15" showDropDown="0" showInputMessage="0" showErrorMessage="0" allowBlank="1" type="list">
      <formula1>"1/8,1/10,1/12,1/14,1/2"</formula1>
    </dataValidation>
    <dataValidation sqref="K4:K15 N4:N15" showDropDown="0" showInputMessage="0" showErrorMessage="0" allowBlank="1" type="list">
      <formula1>"6,8,10,12,16"</formula1>
    </dataValidation>
  </dataValidations>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R16"/>
  <sheetViews>
    <sheetView showGridLines="0" workbookViewId="0">
      <pane xSplit="2" ySplit="6" topLeftCell="C7" activePane="bottomRight" state="frozen"/>
      <selection pane="topRight"/>
      <selection pane="bottomLeft"/>
      <selection pane="bottomRight" activeCell="A1" sqref="A1"/>
    </sheetView>
  </sheetViews>
  <sheetFormatPr baseColWidth="8" defaultColWidth="8.54296875" defaultRowHeight="15" customHeight="0" zeroHeight="0" outlineLevelRow="0"/>
  <cols>
    <col width="7.66" customWidth="1" style="140" min="1" max="1"/>
    <col width="7.66" customWidth="1" style="140" min="2" max="2"/>
    <col width="8.67" customWidth="1" style="140" min="3" max="3"/>
    <col width="7.66" customWidth="1" style="140" min="4" max="4"/>
    <col width="7.66" customWidth="1" style="140" min="5" max="5"/>
    <col width="7.66" customWidth="1" style="140" min="6" max="6"/>
    <col width="7.66" customWidth="1" style="140" min="7" max="7"/>
    <col width="7.66" customWidth="1" style="140" min="8" max="8"/>
    <col width="7.66" customWidth="1" style="140" min="9" max="9"/>
    <col width="7.66" customWidth="1" style="140" min="10" max="10"/>
    <col width="7.66" customWidth="1" style="140" min="11" max="11"/>
    <col width="7.66" customWidth="1" style="140" min="12" max="12"/>
    <col width="18.9" customWidth="1" style="140" min="13" max="13"/>
    <col width="56.7" customWidth="1" style="140" min="14" max="14"/>
    <col width="12.2" customWidth="1" style="140" min="15" max="15"/>
    <col width="13.5" customWidth="1" style="140" min="16" max="16"/>
    <col width="12.2" customWidth="1" style="140" min="17" max="17"/>
    <col width="16.2" customWidth="1" style="140" min="18" max="18"/>
  </cols>
  <sheetData>
    <row r="1" ht="39" customHeight="1" s="140">
      <c r="A1" s="328" t="inlineStr">
        <is>
          <t>COLUMNAS  H°A°        H-21        ACERO 42/50</t>
        </is>
      </c>
    </row>
    <row r="2" ht="31.2" customHeight="1" s="140">
      <c r="A2" s="301" t="inlineStr">
        <is>
          <t>NIVEL</t>
        </is>
      </c>
      <c r="B2" s="301" t="inlineStr">
        <is>
          <t>POSICION</t>
        </is>
      </c>
      <c r="C2" s="301" t="inlineStr">
        <is>
          <t>ALTURA (m)</t>
        </is>
      </c>
      <c r="D2" s="301" t="inlineStr">
        <is>
          <t>CARGA (t)</t>
        </is>
      </c>
      <c r="E2" s="301" t="inlineStr">
        <is>
          <t>DIMENSIONES (cm)</t>
        </is>
      </c>
      <c r="F2" s="214" t="n"/>
      <c r="G2" s="232" t="n"/>
      <c r="H2" s="301" t="inlineStr">
        <is>
          <t>ARMADURA</t>
        </is>
      </c>
      <c r="I2" s="214" t="n"/>
      <c r="J2" s="232" t="n"/>
      <c r="K2" s="301" t="inlineStr">
        <is>
          <t>ESTRIBOS</t>
        </is>
      </c>
      <c r="L2" s="232" t="n"/>
      <c r="M2" s="301" t="inlineStr">
        <is>
          <t>VERIFICACION</t>
        </is>
      </c>
      <c r="N2" s="301" t="inlineStr">
        <is>
          <t>OBSERVACIONES</t>
        </is>
      </c>
      <c r="O2" s="301" t="inlineStr">
        <is>
          <t>DATOS AUXILIARES</t>
        </is>
      </c>
      <c r="P2" s="214" t="n"/>
      <c r="Q2" s="214" t="n"/>
      <c r="R2" s="232" t="n"/>
    </row>
    <row r="3" ht="31.2" customHeight="1" s="140">
      <c r="A3" s="302" t="n"/>
      <c r="B3" s="302" t="n"/>
      <c r="C3" s="302" t="n"/>
      <c r="D3" s="302" t="n"/>
      <c r="E3" s="303" t="inlineStr">
        <is>
          <t>A</t>
        </is>
      </c>
      <c r="F3" s="303" t="inlineStr">
        <is>
          <t>B</t>
        </is>
      </c>
      <c r="G3" s="303" t="inlineStr">
        <is>
          <t>area</t>
        </is>
      </c>
      <c r="H3" s="303" t="inlineStr">
        <is>
          <t>cm2</t>
        </is>
      </c>
      <c r="I3" s="303" t="inlineStr">
        <is>
          <t>n</t>
        </is>
      </c>
      <c r="J3" s="303" t="inlineStr">
        <is>
          <t>o</t>
        </is>
      </c>
      <c r="K3" s="303" t="inlineStr">
        <is>
          <t>o</t>
        </is>
      </c>
      <c r="L3" s="303" t="inlineStr">
        <is>
          <t>SEPAR</t>
        </is>
      </c>
      <c r="M3" s="302" t="n"/>
      <c r="N3" s="302" t="n"/>
      <c r="O3" s="303" t="inlineStr">
        <is>
          <t>As prov</t>
        </is>
      </c>
      <c r="P3" s="303" t="inlineStr">
        <is>
          <t>fi Pn (t)</t>
        </is>
      </c>
      <c r="Q3" s="303" t="inlineStr">
        <is>
          <t>esbeltez</t>
        </is>
      </c>
      <c r="R3" s="303" t="inlineStr">
        <is>
          <t>carga estim.</t>
        </is>
      </c>
    </row>
    <row r="4" ht="31.2" customHeight="1" s="140">
      <c r="A4" s="324" t="inlineStr">
        <is>
          <t>PA</t>
        </is>
      </c>
      <c r="B4" s="316" t="inlineStr">
        <is>
          <t>C6</t>
        </is>
      </c>
      <c r="C4" s="306" t="n">
        <v>3.22</v>
      </c>
      <c r="D4" s="307" t="n">
        <v>12.71</v>
      </c>
      <c r="E4" s="307" t="n">
        <v>20</v>
      </c>
      <c r="F4" s="307" t="n">
        <v>20</v>
      </c>
      <c r="G4" s="307" t="n">
        <v>400</v>
      </c>
      <c r="H4" s="306" t="n">
        <v>3.2</v>
      </c>
      <c r="I4" s="307" t="n">
        <v>4</v>
      </c>
      <c r="J4" s="307" t="n">
        <v>12</v>
      </c>
      <c r="K4" s="307" t="n">
        <v>6</v>
      </c>
      <c r="L4" s="307" t="n">
        <v>10</v>
      </c>
      <c r="M4" s="307" t="inlineStr">
        <is>
          <t>VERIF. ESBELTEZ</t>
        </is>
      </c>
      <c r="N4" s="309" t="inlineStr">
        <is>
          <t>COL 07 del plano. Carga PROVISORIA por bajada automatica; es un piso, la real es mayor (ver Memoria, punto 5).</t>
        </is>
      </c>
      <c r="O4" s="306" t="n">
        <v>4.5238934211693</v>
      </c>
      <c r="P4" s="306" t="n">
        <v>46.5882754444808</v>
      </c>
      <c r="Q4" s="325" t="n">
        <v>53.6666666666667</v>
      </c>
      <c r="R4" s="306" t="n">
        <v>12.71</v>
      </c>
    </row>
    <row r="5" ht="31.2" customHeight="1" s="140">
      <c r="A5" s="280" t="n"/>
      <c r="B5" s="316" t="inlineStr">
        <is>
          <t>C7</t>
        </is>
      </c>
      <c r="C5" s="306" t="n">
        <v>3.22</v>
      </c>
      <c r="D5" s="307" t="n">
        <v>22.55</v>
      </c>
      <c r="E5" s="307" t="n">
        <v>30</v>
      </c>
      <c r="F5" s="307" t="n">
        <v>15</v>
      </c>
      <c r="G5" s="307" t="n">
        <v>450</v>
      </c>
      <c r="H5" s="306" t="n">
        <v>3.6</v>
      </c>
      <c r="I5" s="307" t="n">
        <v>4</v>
      </c>
      <c r="J5" s="307" t="n">
        <v>12</v>
      </c>
      <c r="K5" s="307" t="n">
        <v>6</v>
      </c>
      <c r="L5" s="307" t="n">
        <v>10</v>
      </c>
      <c r="M5" s="307" t="inlineStr">
        <is>
          <t>VERIF. ESBELTEZ</t>
        </is>
      </c>
      <c r="N5" s="309" t="inlineStr">
        <is>
          <t>COL 06 del plano. Carga PROVISORIA por bajada automatica; es un piso, la real es mayor (ver Memoria, punto 5).</t>
        </is>
      </c>
      <c r="O5" s="306" t="n">
        <v>4.5238934211693</v>
      </c>
      <c r="P5" s="306" t="n">
        <v>51.2292754444808</v>
      </c>
      <c r="Q5" s="325" t="n">
        <v>71.5555555555556</v>
      </c>
      <c r="R5" s="306" t="n">
        <v>22.55</v>
      </c>
    </row>
    <row r="6" ht="31.2" customHeight="1" s="140">
      <c r="A6" s="280" t="n"/>
      <c r="B6" s="316" t="inlineStr">
        <is>
          <t>C8</t>
        </is>
      </c>
      <c r="C6" s="306" t="n">
        <v>3.22</v>
      </c>
      <c r="D6" s="307" t="n">
        <v>15.12</v>
      </c>
      <c r="E6" s="307" t="n">
        <v>15</v>
      </c>
      <c r="F6" s="307" t="n">
        <v>30</v>
      </c>
      <c r="G6" s="307" t="n">
        <v>450</v>
      </c>
      <c r="H6" s="306" t="n">
        <v>3.6</v>
      </c>
      <c r="I6" s="307" t="n">
        <v>4</v>
      </c>
      <c r="J6" s="307" t="n">
        <v>12</v>
      </c>
      <c r="K6" s="307" t="n">
        <v>6</v>
      </c>
      <c r="L6" s="307" t="n">
        <v>10</v>
      </c>
      <c r="M6" s="307" t="inlineStr">
        <is>
          <t>VERIF. ESBELTEZ</t>
        </is>
      </c>
      <c r="N6" s="309" t="inlineStr">
        <is>
          <t>COL 05 del plano. Carga PROVISORIA por bajada automatica; es un piso, la real es mayor (ver Memoria, punto 5).</t>
        </is>
      </c>
      <c r="O6" s="306" t="n">
        <v>4.5238934211693</v>
      </c>
      <c r="P6" s="306" t="n">
        <v>51.2292754444808</v>
      </c>
      <c r="Q6" s="325" t="n">
        <v>71.5555555555556</v>
      </c>
      <c r="R6" s="306" t="n">
        <v>15.12</v>
      </c>
    </row>
    <row r="7" ht="31.2" customHeight="1" s="140">
      <c r="A7" s="319" t="n"/>
      <c r="B7" s="316" t="inlineStr">
        <is>
          <t>C9</t>
        </is>
      </c>
      <c r="C7" s="306" t="n">
        <v>3.22</v>
      </c>
      <c r="D7" s="307" t="n">
        <v>20.35</v>
      </c>
      <c r="E7" s="307" t="n">
        <v>15</v>
      </c>
      <c r="F7" s="307" t="n">
        <v>30</v>
      </c>
      <c r="G7" s="307" t="n">
        <v>450</v>
      </c>
      <c r="H7" s="306" t="n">
        <v>3.6</v>
      </c>
      <c r="I7" s="307" t="n">
        <v>4</v>
      </c>
      <c r="J7" s="307" t="n">
        <v>12</v>
      </c>
      <c r="K7" s="307" t="n">
        <v>6</v>
      </c>
      <c r="L7" s="307" t="n">
        <v>10</v>
      </c>
      <c r="M7" s="307" t="inlineStr">
        <is>
          <t>VERIF. ESBELTEZ</t>
        </is>
      </c>
      <c r="N7" s="309" t="inlineStr">
        <is>
          <t>COL 05 del plano. Carga PROVISORIA por bajada automatica; es un piso, la real es mayor (ver Memoria, punto 5).</t>
        </is>
      </c>
      <c r="O7" s="306" t="n">
        <v>4.5238934211693</v>
      </c>
      <c r="P7" s="306" t="n">
        <v>51.2292754444808</v>
      </c>
      <c r="Q7" s="325" t="n">
        <v>71.5555555555556</v>
      </c>
      <c r="R7" s="306" t="n">
        <v>20.35</v>
      </c>
    </row>
    <row r="8" ht="31.2" customHeight="1" s="140">
      <c r="A8" s="324" t="inlineStr">
        <is>
          <t>PB</t>
        </is>
      </c>
      <c r="B8" s="316" t="inlineStr">
        <is>
          <t>C1</t>
        </is>
      </c>
      <c r="C8" s="306" t="n">
        <v>3.15</v>
      </c>
      <c r="D8" s="307" t="n">
        <v>2.49</v>
      </c>
      <c r="E8" s="307" t="n">
        <v>15</v>
      </c>
      <c r="F8" s="307" t="n">
        <v>30</v>
      </c>
      <c r="G8" s="307" t="n">
        <v>450</v>
      </c>
      <c r="H8" s="306" t="n">
        <v>3.6</v>
      </c>
      <c r="I8" s="307" t="n">
        <v>4</v>
      </c>
      <c r="J8" s="307" t="n">
        <v>12</v>
      </c>
      <c r="K8" s="307" t="n">
        <v>6</v>
      </c>
      <c r="L8" s="307" t="n">
        <v>10</v>
      </c>
      <c r="M8" s="307" t="inlineStr">
        <is>
          <t>VERIF. ESBELTEZ</t>
        </is>
      </c>
      <c r="N8" s="309" t="inlineStr">
        <is>
          <t>COL 02 del plano. Carga PROVISORIA por bajada automatica; es un piso, la real es mayor (ver Memoria, punto 5).</t>
        </is>
      </c>
      <c r="O8" s="306" t="n">
        <v>4.5238934211693</v>
      </c>
      <c r="P8" s="306" t="n">
        <v>51.2292754444808</v>
      </c>
      <c r="Q8" s="325" t="n">
        <v>70</v>
      </c>
      <c r="R8" s="306" t="n">
        <v>2.49</v>
      </c>
    </row>
    <row r="9" ht="31.2" customHeight="1" s="140">
      <c r="A9" s="280" t="n"/>
      <c r="B9" s="316" t="inlineStr">
        <is>
          <t>C2</t>
        </is>
      </c>
      <c r="C9" s="306" t="n">
        <v>3.15</v>
      </c>
      <c r="D9" s="307" t="n">
        <v>29.46</v>
      </c>
      <c r="E9" s="307" t="n">
        <v>15</v>
      </c>
      <c r="F9" s="307" t="n">
        <v>30</v>
      </c>
      <c r="G9" s="307" t="n">
        <v>450</v>
      </c>
      <c r="H9" s="306" t="n">
        <v>3.6</v>
      </c>
      <c r="I9" s="307" t="n">
        <v>4</v>
      </c>
      <c r="J9" s="307" t="n">
        <v>12</v>
      </c>
      <c r="K9" s="307" t="n">
        <v>6</v>
      </c>
      <c r="L9" s="307" t="n">
        <v>10</v>
      </c>
      <c r="M9" s="307" t="inlineStr">
        <is>
          <t>VERIF. ESBELTEZ</t>
        </is>
      </c>
      <c r="N9" s="309" t="inlineStr">
        <is>
          <t>COL 02 del plano. Carga PROVISORIA por bajada automatica; es un piso, la real es mayor (ver Memoria, punto 5).</t>
        </is>
      </c>
      <c r="O9" s="306" t="n">
        <v>4.5238934211693</v>
      </c>
      <c r="P9" s="306" t="n">
        <v>51.2292754444808</v>
      </c>
      <c r="Q9" s="325" t="n">
        <v>70</v>
      </c>
      <c r="R9" s="306" t="n">
        <v>29.46</v>
      </c>
    </row>
    <row r="10" ht="31.2" customHeight="1" s="140">
      <c r="A10" s="280" t="n"/>
      <c r="B10" s="316" t="inlineStr">
        <is>
          <t>C3</t>
        </is>
      </c>
      <c r="C10" s="306" t="n">
        <v>3.15</v>
      </c>
      <c r="D10" s="307" t="n">
        <v>13.89</v>
      </c>
      <c r="E10" s="307" t="n">
        <v>30</v>
      </c>
      <c r="F10" s="307" t="n">
        <v>15</v>
      </c>
      <c r="G10" s="307" t="n">
        <v>450</v>
      </c>
      <c r="H10" s="306" t="n">
        <v>3.6</v>
      </c>
      <c r="I10" s="307" t="n">
        <v>4</v>
      </c>
      <c r="J10" s="307" t="n">
        <v>12</v>
      </c>
      <c r="K10" s="307" t="n">
        <v>6</v>
      </c>
      <c r="L10" s="307" t="n">
        <v>10</v>
      </c>
      <c r="M10" s="307" t="inlineStr">
        <is>
          <t>VERIF. ESBELTEZ</t>
        </is>
      </c>
      <c r="N10" s="309" t="inlineStr">
        <is>
          <t>COL 03 del plano. Carga PROVISORIA por bajada automatica; es un piso, la real es mayor (ver Memoria, punto 5).</t>
        </is>
      </c>
      <c r="O10" s="306" t="n">
        <v>4.5238934211693</v>
      </c>
      <c r="P10" s="306" t="n">
        <v>51.2292754444808</v>
      </c>
      <c r="Q10" s="325" t="n">
        <v>70</v>
      </c>
      <c r="R10" s="306" t="n">
        <v>13.89</v>
      </c>
    </row>
    <row r="11" ht="31.2" customHeight="1" s="140">
      <c r="A11" s="280" t="n"/>
      <c r="B11" s="316" t="inlineStr">
        <is>
          <t>C4</t>
        </is>
      </c>
      <c r="C11" s="306" t="n">
        <v>3.15</v>
      </c>
      <c r="D11" s="307" t="n">
        <v>10.28</v>
      </c>
      <c r="E11" s="307" t="n">
        <v>10</v>
      </c>
      <c r="F11" s="307" t="n">
        <v>10</v>
      </c>
      <c r="G11" s="307" t="n">
        <v>100</v>
      </c>
      <c r="H11" s="306" t="n">
        <v>0.8</v>
      </c>
      <c r="I11" s="307" t="n">
        <v>4</v>
      </c>
      <c r="J11" s="307" t="n">
        <v>12</v>
      </c>
      <c r="K11" s="307" t="n">
        <v>6</v>
      </c>
      <c r="L11" s="307" t="n">
        <v>10</v>
      </c>
      <c r="M11" s="307" t="inlineStr">
        <is>
          <t>VERIF. ESBELTEZ</t>
        </is>
      </c>
      <c r="N11" s="309" t="inlineStr">
        <is>
          <t>COL 01 del plano. Carga PROVISORIA por bajada automatica; es un piso, la real es mayor (ver Memoria, punto 5). Columna de 10x10, confirmada por el proyectista. El computo metrico la omite: ese computo esta incompleto en el item 4.1.3. Esbeltez muy alta (k lu / r = 105) y capacidad de solo 18,7 t: es la columna mas comprometida del conjunto.</t>
        </is>
      </c>
      <c r="O11" s="306" t="n">
        <v>4.5238934211693</v>
      </c>
      <c r="P11" s="306" t="n">
        <v>18.7422754444808</v>
      </c>
      <c r="Q11" s="325" t="n">
        <v>105</v>
      </c>
      <c r="R11" s="306" t="n">
        <v>10.28</v>
      </c>
    </row>
    <row r="12" ht="31.2" customHeight="1" s="140">
      <c r="A12" s="280" t="n"/>
      <c r="B12" s="316" t="inlineStr">
        <is>
          <t>C5</t>
        </is>
      </c>
      <c r="C12" s="306" t="n">
        <v>3.15</v>
      </c>
      <c r="D12" s="307" t="n">
        <v>15.96</v>
      </c>
      <c r="E12" s="307" t="n">
        <v>15</v>
      </c>
      <c r="F12" s="307" t="n">
        <v>30</v>
      </c>
      <c r="G12" s="307" t="n">
        <v>450</v>
      </c>
      <c r="H12" s="306" t="n">
        <v>3.6</v>
      </c>
      <c r="I12" s="307" t="n">
        <v>4</v>
      </c>
      <c r="J12" s="307" t="n">
        <v>12</v>
      </c>
      <c r="K12" s="307" t="n">
        <v>6</v>
      </c>
      <c r="L12" s="307" t="n">
        <v>10</v>
      </c>
      <c r="M12" s="307" t="inlineStr">
        <is>
          <t>VERIF. ESBELTEZ</t>
        </is>
      </c>
      <c r="N12" s="309" t="inlineStr">
        <is>
          <t>COL 02 del plano. Carga PROVISORIA por bajada automatica; es un piso, la real es mayor (ver Memoria, punto 5).</t>
        </is>
      </c>
      <c r="O12" s="306" t="n">
        <v>4.5238934211693</v>
      </c>
      <c r="P12" s="306" t="n">
        <v>51.2292754444808</v>
      </c>
      <c r="Q12" s="325" t="n">
        <v>70</v>
      </c>
      <c r="R12" s="306" t="n">
        <v>15.96</v>
      </c>
    </row>
    <row r="13" ht="31.2" customHeight="1" s="140">
      <c r="A13" s="280" t="n"/>
      <c r="B13" s="316" t="inlineStr">
        <is>
          <t>C6</t>
        </is>
      </c>
      <c r="C13" s="306" t="n">
        <v>3.15</v>
      </c>
      <c r="D13" s="307" t="n">
        <v>35.39</v>
      </c>
      <c r="E13" s="307" t="n">
        <v>20</v>
      </c>
      <c r="F13" s="307" t="n">
        <v>20</v>
      </c>
      <c r="G13" s="307" t="n">
        <v>400</v>
      </c>
      <c r="H13" s="306" t="n">
        <v>3.2</v>
      </c>
      <c r="I13" s="307" t="n">
        <v>4</v>
      </c>
      <c r="J13" s="307" t="n">
        <v>12</v>
      </c>
      <c r="K13" s="307" t="n">
        <v>6</v>
      </c>
      <c r="L13" s="307" t="n">
        <v>10</v>
      </c>
      <c r="M13" s="307" t="inlineStr">
        <is>
          <t>VERIF. ESBELTEZ</t>
        </is>
      </c>
      <c r="N13" s="309" t="inlineStr">
        <is>
          <t>COL 04 del plano. Carga PROVISORIA por bajada automatica; es un piso, la real es mayor (ver Memoria, punto 5).</t>
        </is>
      </c>
      <c r="O13" s="306" t="n">
        <v>4.5238934211693</v>
      </c>
      <c r="P13" s="306" t="n">
        <v>46.5882754444808</v>
      </c>
      <c r="Q13" s="325" t="n">
        <v>52.5</v>
      </c>
      <c r="R13" s="306" t="n">
        <v>35.39</v>
      </c>
    </row>
    <row r="14" ht="31.2" customHeight="1" s="140">
      <c r="A14" s="280" t="n"/>
      <c r="B14" s="316" t="inlineStr">
        <is>
          <t>C7</t>
        </is>
      </c>
      <c r="C14" s="306" t="n">
        <v>3.15</v>
      </c>
      <c r="D14" s="307" t="n">
        <v>37.78</v>
      </c>
      <c r="E14" s="307" t="n">
        <v>30</v>
      </c>
      <c r="F14" s="307" t="n">
        <v>15</v>
      </c>
      <c r="G14" s="307" t="n">
        <v>450</v>
      </c>
      <c r="H14" s="306" t="n">
        <v>3.6</v>
      </c>
      <c r="I14" s="307" t="n">
        <v>4</v>
      </c>
      <c r="J14" s="307" t="n">
        <v>12</v>
      </c>
      <c r="K14" s="307" t="n">
        <v>6</v>
      </c>
      <c r="L14" s="307" t="n">
        <v>10</v>
      </c>
      <c r="M14" s="307" t="inlineStr">
        <is>
          <t>VERIF. ESBELTEZ</t>
        </is>
      </c>
      <c r="N14" s="309" t="inlineStr">
        <is>
          <t>COL 03 del plano. Carga PROVISORIA por bajada automatica; es un piso, la real es mayor (ver Memoria, punto 5).</t>
        </is>
      </c>
      <c r="O14" s="306" t="n">
        <v>4.5238934211693</v>
      </c>
      <c r="P14" s="306" t="n">
        <v>51.2292754444808</v>
      </c>
      <c r="Q14" s="325" t="n">
        <v>70</v>
      </c>
      <c r="R14" s="306" t="n">
        <v>37.78</v>
      </c>
    </row>
    <row r="15" ht="31.2" customHeight="1" s="140">
      <c r="A15" s="280" t="n"/>
      <c r="B15" s="316" t="inlineStr">
        <is>
          <t>C8</t>
        </is>
      </c>
      <c r="C15" s="306" t="n">
        <v>3.15</v>
      </c>
      <c r="D15" s="307" t="n">
        <v>42.67</v>
      </c>
      <c r="E15" s="307" t="n">
        <v>15</v>
      </c>
      <c r="F15" s="307" t="n">
        <v>30</v>
      </c>
      <c r="G15" s="307" t="n">
        <v>450</v>
      </c>
      <c r="H15" s="306" t="n">
        <v>3.6</v>
      </c>
      <c r="I15" s="307" t="n">
        <v>4</v>
      </c>
      <c r="J15" s="307" t="n">
        <v>12</v>
      </c>
      <c r="K15" s="307" t="n">
        <v>6</v>
      </c>
      <c r="L15" s="307" t="n">
        <v>10</v>
      </c>
      <c r="M15" s="307" t="inlineStr">
        <is>
          <t>VERIF. ESBELTEZ</t>
        </is>
      </c>
      <c r="N15" s="309" t="inlineStr">
        <is>
          <t>COL 02 del plano. Carga PROVISORIA por bajada automatica; es un piso, la real es mayor (ver Memoria, punto 5).</t>
        </is>
      </c>
      <c r="O15" s="306" t="n">
        <v>4.5238934211693</v>
      </c>
      <c r="P15" s="306" t="n">
        <v>51.2292754444808</v>
      </c>
      <c r="Q15" s="325" t="n">
        <v>70</v>
      </c>
      <c r="R15" s="306" t="n">
        <v>42.67</v>
      </c>
    </row>
    <row r="16" ht="31.2" customHeight="1" s="140">
      <c r="A16" s="319" t="n"/>
      <c r="B16" s="316" t="inlineStr">
        <is>
          <t>C9</t>
        </is>
      </c>
      <c r="C16" s="306" t="n">
        <v>3.15</v>
      </c>
      <c r="D16" s="307" t="n">
        <v>55.94</v>
      </c>
      <c r="E16" s="307" t="n">
        <v>15</v>
      </c>
      <c r="F16" s="307" t="n">
        <v>30</v>
      </c>
      <c r="G16" s="307" t="n">
        <v>450</v>
      </c>
      <c r="H16" s="306" t="n">
        <v>3.6</v>
      </c>
      <c r="I16" s="307" t="n">
        <v>4</v>
      </c>
      <c r="J16" s="307" t="n">
        <v>12</v>
      </c>
      <c r="K16" s="307" t="n">
        <v>6</v>
      </c>
      <c r="L16" s="307" t="n">
        <v>10</v>
      </c>
      <c r="M16" s="307" t="inlineStr">
        <is>
          <t>NO VERIFICA</t>
        </is>
      </c>
      <c r="N16" s="309" t="inlineStr">
        <is>
          <t>COL 02 del plano. Carga PROVISORIA por bajada automatica; es un piso, la real es mayor (ver Memoria, punto 5).</t>
        </is>
      </c>
      <c r="O16" s="306" t="n">
        <v>4.5238934211693</v>
      </c>
      <c r="P16" s="306" t="n">
        <v>51.2292754444808</v>
      </c>
      <c r="Q16" s="325" t="n">
        <v>70</v>
      </c>
      <c r="R16" s="306" t="n">
        <v>55.94</v>
      </c>
    </row>
  </sheetData>
  <mergeCells count="13">
    <mergeCell ref="A4:A7"/>
    <mergeCell ref="E2:G2"/>
    <mergeCell ref="A8:A16"/>
    <mergeCell ref="N2:N3"/>
    <mergeCell ref="K2:L2"/>
    <mergeCell ref="D2:D3"/>
    <mergeCell ref="M2:M3"/>
    <mergeCell ref="B2:B3"/>
    <mergeCell ref="A2:A3"/>
    <mergeCell ref="H2:J2"/>
    <mergeCell ref="C2:C3"/>
    <mergeCell ref="A1:R1"/>
    <mergeCell ref="O2:R2"/>
  </mergeCells>
  <conditionalFormatting sqref="M4:M16">
    <cfRule type="cellIs" rank="0" priority="2" equalAverage="0" operator="equal" aboveAverage="0" dxfId="0" text="" percent="0" bottom="0">
      <formula>"VERIFICA"</formula>
    </cfRule>
    <cfRule type="cellIs" rank="0" priority="3" equalAverage="0" operator="equal" aboveAverage="0" dxfId="1" text="" percent="0" bottom="0">
      <formula>"NO VERIFICA"</formula>
    </cfRule>
    <cfRule type="cellIs" rank="0" priority="4" equalAverage="0" operator="equal" aboveAverage="0" dxfId="1" text="" percent="0" bottom="0">
      <formula>"ARM. INSUFIC."</formula>
    </cfRule>
    <cfRule type="cellIs" rank="0" priority="5" equalAverage="0" operator="equal" aboveAverage="0" dxfId="1" text="" percent="0" bottom="0">
      <formula>"VERIF. ESBELTEZ"</formula>
    </cfRule>
    <cfRule type="cellIs" rank="0" priority="6" equalAverage="0" operator="equal" aboveAverage="0" dxfId="1" text="" percent="0" bottom="0">
      <formula>"FALTA CARGA"</formula>
    </cfRule>
    <cfRule type="cellIs" rank="0" priority="7" equalAverage="0" operator="equal" aboveAverage="0" dxfId="1" text="" percent="0" bottom="0">
      <formula>"AL LIMITE"</formula>
    </cfRule>
  </conditionalFormatting>
  <dataValidations count="1">
    <dataValidation sqref="J4:K16" showDropDown="0" showInputMessage="0" showErrorMessage="0" allowBlank="1" type="list">
      <formula1>"6,8,10,12,16,20,25"</formula1>
    </dataValidation>
  </dataValidations>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fitToPage="1"/>
  </sheetPr>
  <dimension ref="A1:Z34"/>
  <sheetViews>
    <sheetView showGridLines="0" workbookViewId="0">
      <pane xSplit="2" ySplit="9" topLeftCell="C10" activePane="bottomRight" state="frozen"/>
      <selection pane="topRight"/>
      <selection pane="bottomLeft"/>
      <selection pane="bottomRight" activeCell="A1" sqref="A1"/>
    </sheetView>
  </sheetViews>
  <sheetFormatPr baseColWidth="8" defaultColWidth="8.54296875" defaultRowHeight="15" customHeight="0" zeroHeight="0" outlineLevelRow="0"/>
  <cols>
    <col width="7.66" customWidth="1" style="140" min="1" max="1"/>
    <col width="7.66" customWidth="1" style="140" min="2" max="2"/>
    <col width="7.66" customWidth="1" style="140" min="3" max="3"/>
    <col width="7.66" customWidth="1" style="140" min="4" max="4"/>
    <col width="18.39" customWidth="1" style="140" min="5" max="5"/>
    <col width="7.66" customWidth="1" style="140" min="6" max="6"/>
    <col width="7.66" customWidth="1" style="140" min="7" max="7"/>
    <col width="7.66" customWidth="1" style="140" min="8" max="8"/>
    <col width="7.66" customWidth="1" style="140" min="9" max="9"/>
    <col width="7.66" customWidth="1" style="140" min="10" max="10"/>
    <col width="7.66" customWidth="1" style="140" min="11" max="11"/>
    <col width="7.66" customWidth="1" style="140" min="12" max="12"/>
    <col width="7.66" customWidth="1" style="140" min="13" max="13"/>
    <col width="7.66" customWidth="1" style="140" min="14" max="14"/>
    <col width="7.66" customWidth="1" style="140" min="15" max="15"/>
    <col width="7.66" customWidth="1" style="140" min="16" max="16"/>
    <col width="7.66" customWidth="1" style="140" min="17" max="17"/>
    <col width="7.66" customWidth="1" style="140" min="18" max="18"/>
    <col width="7.66" customWidth="1" style="140" min="19" max="19"/>
    <col width="7.66" customWidth="1" style="140" min="20" max="20"/>
    <col width="7.66" customWidth="1" style="140" min="21" max="21"/>
    <col width="7.66" customWidth="1" style="140" min="22" max="22"/>
    <col width="20.2" customWidth="1" style="140" min="23" max="23"/>
    <col width="54" customWidth="1" style="140" min="24" max="24"/>
    <col width="10.8" customWidth="1" style="140" min="25" max="25"/>
    <col width="9.52" customWidth="1" style="140" min="26" max="26"/>
  </cols>
  <sheetData>
    <row r="1" ht="39" customHeight="1" s="140">
      <c r="A1" s="323" t="inlineStr">
        <is>
          <t>VIGAS DE FUNDACION  H°A°        H-21        ACERO 42/50</t>
        </is>
      </c>
    </row>
    <row r="2" ht="31.2" customHeight="1" s="140">
      <c r="A2" s="301" t="inlineStr">
        <is>
          <t>POSICION</t>
        </is>
      </c>
      <c r="B2" s="301" t="inlineStr">
        <is>
          <t>LUZ (m)</t>
        </is>
      </c>
      <c r="C2" s="301" t="inlineStr">
        <is>
          <t>CARGAS (kg/m)</t>
        </is>
      </c>
      <c r="D2" s="214" t="n"/>
      <c r="E2" s="232" t="n"/>
      <c r="F2" s="301" t="inlineStr">
        <is>
          <t>REACCIONES</t>
        </is>
      </c>
      <c r="G2" s="232" t="n"/>
      <c r="H2" s="301" t="inlineStr">
        <is>
          <t>MOMENTO TRAMO (kgm)</t>
        </is>
      </c>
      <c r="I2" s="301" t="inlineStr">
        <is>
          <t>MOMENTO APOYO (kgm)</t>
        </is>
      </c>
      <c r="J2" s="301" t="inlineStr">
        <is>
          <t>DIMENSIONES</t>
        </is>
      </c>
      <c r="K2" s="214" t="n"/>
      <c r="L2" s="232" t="n"/>
      <c r="M2" s="301" t="inlineStr">
        <is>
          <t>ARMADURA TRAMO</t>
        </is>
      </c>
      <c r="N2" s="214" t="n"/>
      <c r="O2" s="232" t="n"/>
      <c r="P2" s="301" t="inlineStr">
        <is>
          <t>ARMADURA APOYO</t>
        </is>
      </c>
      <c r="Q2" s="214" t="n"/>
      <c r="R2" s="232" t="n"/>
      <c r="S2" s="301" t="inlineStr">
        <is>
          <t>T (kg/cm2)</t>
        </is>
      </c>
      <c r="T2" s="214" t="n"/>
      <c r="U2" s="232" t="n"/>
      <c r="V2" s="301" t="inlineStr">
        <is>
          <t>ESTRIBOS</t>
        </is>
      </c>
      <c r="W2" s="301" t="inlineStr">
        <is>
          <t>VERIFICACION</t>
        </is>
      </c>
      <c r="X2" s="301" t="inlineStr">
        <is>
          <t>OBSERVACIONES</t>
        </is>
      </c>
      <c r="Y2" s="301" t="inlineStr">
        <is>
          <t>DATOS AUXILIARES</t>
        </is>
      </c>
      <c r="Z2" s="232" t="n"/>
    </row>
    <row r="3" ht="31.2" customHeight="1" s="140">
      <c r="A3" s="302" t="n"/>
      <c r="B3" s="302" t="n"/>
      <c r="C3" s="303" t="inlineStr">
        <is>
          <t>esquema</t>
        </is>
      </c>
      <c r="D3" s="303" t="inlineStr">
        <is>
          <t>p</t>
        </is>
      </c>
      <c r="E3" s="303" t="inlineStr">
        <is>
          <t>diagrama</t>
        </is>
      </c>
      <c r="F3" s="303" t="inlineStr">
        <is>
          <t>RA</t>
        </is>
      </c>
      <c r="G3" s="303" t="inlineStr">
        <is>
          <t>RB</t>
        </is>
      </c>
      <c r="H3" s="302" t="n"/>
      <c r="I3" s="302" t="n"/>
      <c r="J3" s="303" t="inlineStr">
        <is>
          <t>b</t>
        </is>
      </c>
      <c r="K3" s="303" t="inlineStr">
        <is>
          <t>h</t>
        </is>
      </c>
      <c r="L3" s="303" t="inlineStr">
        <is>
          <t>d</t>
        </is>
      </c>
      <c r="M3" s="303" t="inlineStr">
        <is>
          <t>cm2</t>
        </is>
      </c>
      <c r="N3" s="303" t="inlineStr">
        <is>
          <t>n</t>
        </is>
      </c>
      <c r="O3" s="303" t="inlineStr">
        <is>
          <t>o</t>
        </is>
      </c>
      <c r="P3" s="303" t="inlineStr">
        <is>
          <t>cm2</t>
        </is>
      </c>
      <c r="Q3" s="303" t="inlineStr">
        <is>
          <t>n</t>
        </is>
      </c>
      <c r="R3" s="303" t="inlineStr">
        <is>
          <t>o</t>
        </is>
      </c>
      <c r="S3" s="303" t="inlineStr">
        <is>
          <t>A</t>
        </is>
      </c>
      <c r="T3" s="303" t="inlineStr">
        <is>
          <t>B</t>
        </is>
      </c>
      <c r="U3" s="303" t="inlineStr">
        <is>
          <t>o</t>
        </is>
      </c>
      <c r="V3" s="303" t="inlineStr">
        <is>
          <t>SEPAR</t>
        </is>
      </c>
      <c r="W3" s="302" t="n"/>
      <c r="X3" s="302" t="n"/>
      <c r="Y3" s="303" t="inlineStr">
        <is>
          <t>h muro</t>
        </is>
      </c>
      <c r="Z3" s="303" t="inlineStr">
        <is>
          <t>rec.</t>
        </is>
      </c>
    </row>
    <row r="4" ht="31.2" customHeight="1" s="140">
      <c r="A4" s="316" t="inlineStr">
        <is>
          <t>VF01 (1)</t>
        </is>
      </c>
      <c r="B4" s="306" t="n">
        <v>0.77</v>
      </c>
      <c r="C4" s="307" t="inlineStr">
        <is>
          <t>Continua</t>
        </is>
      </c>
      <c r="D4" s="325" t="n">
        <v>1146.6</v>
      </c>
      <c r="E4" s="307" t="n"/>
      <c r="F4" s="325" t="n">
        <v>507.65715</v>
      </c>
      <c r="G4" s="325" t="n">
        <v>507.65715</v>
      </c>
      <c r="H4" s="325" t="n">
        <v>48.5594811702</v>
      </c>
      <c r="I4" s="325" t="n">
        <v>67.981914</v>
      </c>
      <c r="J4" s="307" t="n">
        <v>20</v>
      </c>
      <c r="K4" s="307" t="n">
        <v>31</v>
      </c>
      <c r="L4" s="307" t="n">
        <v>35</v>
      </c>
      <c r="M4" s="306" t="n">
        <v>2.046</v>
      </c>
      <c r="N4" s="307" t="n">
        <v>2</v>
      </c>
      <c r="O4" s="307" t="n">
        <v>12</v>
      </c>
      <c r="P4" s="306" t="n">
        <v>2.046</v>
      </c>
      <c r="Q4" s="307" t="n">
        <v>2</v>
      </c>
      <c r="R4" s="307" t="n">
        <v>12</v>
      </c>
      <c r="S4" s="306" t="n">
        <v>0.963296299810246</v>
      </c>
      <c r="T4" s="306" t="n">
        <v>0.963296299810246</v>
      </c>
      <c r="U4" s="307" t="n">
        <v>6</v>
      </c>
      <c r="V4" s="307" t="n">
        <v>15</v>
      </c>
      <c r="W4" s="307" t="inlineStr">
        <is>
          <t>VERIFICA</t>
        </is>
      </c>
      <c r="X4" s="307" t="n"/>
      <c r="Y4" s="307" t="n">
        <v>3.15</v>
      </c>
      <c r="Z4" s="307" t="n">
        <v>4</v>
      </c>
    </row>
    <row r="5" ht="31.2" customHeight="1" s="140">
      <c r="A5" s="316" t="inlineStr">
        <is>
          <t>VF01 (2)</t>
        </is>
      </c>
      <c r="B5" s="306" t="n">
        <v>0.77</v>
      </c>
      <c r="C5" s="307" t="inlineStr">
        <is>
          <t>Continua</t>
        </is>
      </c>
      <c r="D5" s="325" t="n">
        <v>1146.6</v>
      </c>
      <c r="E5" s="307" t="n"/>
      <c r="F5" s="325" t="n">
        <v>507.65715</v>
      </c>
      <c r="G5" s="325" t="n">
        <v>507.65715</v>
      </c>
      <c r="H5" s="325" t="n">
        <v>48.5594811702</v>
      </c>
      <c r="I5" s="325" t="n">
        <v>67.981914</v>
      </c>
      <c r="J5" s="307" t="n">
        <v>20</v>
      </c>
      <c r="K5" s="307" t="n">
        <v>31</v>
      </c>
      <c r="L5" s="307" t="n">
        <v>35</v>
      </c>
      <c r="M5" s="306" t="n">
        <v>2.046</v>
      </c>
      <c r="N5" s="307" t="n">
        <v>2</v>
      </c>
      <c r="O5" s="307" t="n">
        <v>12</v>
      </c>
      <c r="P5" s="306" t="n">
        <v>2.046</v>
      </c>
      <c r="Q5" s="307" t="n">
        <v>2</v>
      </c>
      <c r="R5" s="307" t="n">
        <v>12</v>
      </c>
      <c r="S5" s="306" t="n">
        <v>0.963296299810246</v>
      </c>
      <c r="T5" s="306" t="n">
        <v>0.963296299810246</v>
      </c>
      <c r="U5" s="307" t="n">
        <v>6</v>
      </c>
      <c r="V5" s="307" t="n">
        <v>15</v>
      </c>
      <c r="W5" s="307" t="inlineStr">
        <is>
          <t>VERIFICA</t>
        </is>
      </c>
      <c r="X5" s="307" t="n"/>
      <c r="Y5" s="307" t="n">
        <v>3.15</v>
      </c>
      <c r="Z5" s="307" t="n">
        <v>4</v>
      </c>
    </row>
    <row r="6" ht="31.2" customHeight="1" s="140">
      <c r="A6" s="316" t="inlineStr">
        <is>
          <t>VF01 (3)</t>
        </is>
      </c>
      <c r="B6" s="306" t="n">
        <v>0.77</v>
      </c>
      <c r="C6" s="307" t="inlineStr">
        <is>
          <t>Continua</t>
        </is>
      </c>
      <c r="D6" s="325" t="n">
        <v>1146.6</v>
      </c>
      <c r="E6" s="307" t="n"/>
      <c r="F6" s="325" t="n">
        <v>507.65715</v>
      </c>
      <c r="G6" s="325" t="n">
        <v>507.65715</v>
      </c>
      <c r="H6" s="325" t="n">
        <v>48.5594811702</v>
      </c>
      <c r="I6" s="325" t="n">
        <v>67.981914</v>
      </c>
      <c r="J6" s="307" t="n">
        <v>20</v>
      </c>
      <c r="K6" s="307" t="n">
        <v>31</v>
      </c>
      <c r="L6" s="307" t="n">
        <v>35</v>
      </c>
      <c r="M6" s="306" t="n">
        <v>2.046</v>
      </c>
      <c r="N6" s="307" t="n">
        <v>2</v>
      </c>
      <c r="O6" s="307" t="n">
        <v>12</v>
      </c>
      <c r="P6" s="306" t="n">
        <v>2.046</v>
      </c>
      <c r="Q6" s="307" t="n">
        <v>2</v>
      </c>
      <c r="R6" s="307" t="n">
        <v>12</v>
      </c>
      <c r="S6" s="306" t="n">
        <v>0.963296299810246</v>
      </c>
      <c r="T6" s="306" t="n">
        <v>0.963296299810246</v>
      </c>
      <c r="U6" s="307" t="n">
        <v>6</v>
      </c>
      <c r="V6" s="307" t="n">
        <v>15</v>
      </c>
      <c r="W6" s="307" t="inlineStr">
        <is>
          <t>VERIFICA</t>
        </is>
      </c>
      <c r="X6" s="307" t="n"/>
      <c r="Y6" s="307" t="n">
        <v>3.15</v>
      </c>
      <c r="Z6" s="307" t="n">
        <v>4</v>
      </c>
    </row>
    <row r="7" ht="31.2" customHeight="1" s="140">
      <c r="A7" s="316" t="inlineStr">
        <is>
          <t>VF02</t>
        </is>
      </c>
      <c r="B7" s="306" t="n">
        <v>2.94</v>
      </c>
      <c r="C7" s="307" t="inlineStr">
        <is>
          <t>Simplemente apoyada</t>
        </is>
      </c>
      <c r="D7" s="325" t="n">
        <v>1197</v>
      </c>
      <c r="E7" s="307" t="n"/>
      <c r="F7" s="325" t="n">
        <v>1759.59</v>
      </c>
      <c r="G7" s="325" t="n">
        <v>1759.59</v>
      </c>
      <c r="H7" s="325" t="n">
        <v>1293.29865</v>
      </c>
      <c r="I7" s="325" t="inlineStr">
        <is>
          <t>---</t>
        </is>
      </c>
      <c r="J7" s="307" t="n">
        <v>25</v>
      </c>
      <c r="K7" s="307" t="n">
        <v>31</v>
      </c>
      <c r="L7" s="307" t="n">
        <v>35</v>
      </c>
      <c r="M7" s="306" t="n">
        <v>2.5575</v>
      </c>
      <c r="N7" s="307" t="n">
        <v>6</v>
      </c>
      <c r="O7" s="307" t="n">
        <v>8</v>
      </c>
      <c r="P7" s="306" t="inlineStr">
        <is>
          <t>---</t>
        </is>
      </c>
      <c r="Q7" s="307" t="inlineStr">
        <is>
          <t>---</t>
        </is>
      </c>
      <c r="R7" s="307" t="inlineStr">
        <is>
          <t>---</t>
        </is>
      </c>
      <c r="S7" s="306" t="n">
        <v>2.67110436432638</v>
      </c>
      <c r="T7" s="306" t="n">
        <v>2.67110436432638</v>
      </c>
      <c r="U7" s="307" t="n">
        <v>6</v>
      </c>
      <c r="V7" s="307" t="n">
        <v>15</v>
      </c>
      <c r="W7" s="307" t="inlineStr">
        <is>
          <t>VERIFICA</t>
        </is>
      </c>
      <c r="X7" s="309" t="inlineStr">
        <is>
          <t>Longitud total 3.28 m. La luz de calculo es la mayor entre pilotes, deducida de la posicion de los pilotes dibujados en el plano.</t>
        </is>
      </c>
      <c r="Y7" s="307" t="n">
        <v>3.15</v>
      </c>
      <c r="Z7" s="307" t="n">
        <v>4</v>
      </c>
    </row>
    <row r="8" ht="31.2" customHeight="1" s="140">
      <c r="A8" s="316" t="inlineStr">
        <is>
          <t>VF03</t>
        </is>
      </c>
      <c r="B8" s="306" t="n">
        <v>9.01</v>
      </c>
      <c r="C8" s="307" t="inlineStr">
        <is>
          <t>Continua</t>
        </is>
      </c>
      <c r="D8" s="325" t="n">
        <v>1103.4</v>
      </c>
      <c r="E8" s="307" t="n"/>
      <c r="F8" s="325" t="n">
        <v>5716.43955</v>
      </c>
      <c r="G8" s="325" t="n">
        <v>5716.43955</v>
      </c>
      <c r="H8" s="325" t="n">
        <v>6398.2795587462</v>
      </c>
      <c r="I8" s="325" t="n">
        <v>8957.412233999999</v>
      </c>
      <c r="J8" s="307" t="n">
        <v>22</v>
      </c>
      <c r="K8" s="307" t="n">
        <v>18</v>
      </c>
      <c r="L8" s="307" t="n">
        <v>25</v>
      </c>
      <c r="M8" s="306" t="n">
        <v>15.3667890852373</v>
      </c>
      <c r="N8" s="307" t="n">
        <v>2</v>
      </c>
      <c r="O8" s="307" t="n">
        <v>25</v>
      </c>
      <c r="P8" s="306" t="inlineStr">
        <is>
          <t>REVISAR</t>
        </is>
      </c>
      <c r="Q8" s="307" t="n">
        <v>5</v>
      </c>
      <c r="R8" s="307" t="n">
        <v>6</v>
      </c>
      <c r="S8" s="306" t="n">
        <v>16.9828863636364</v>
      </c>
      <c r="T8" s="306" t="n">
        <v>16.9828863636364</v>
      </c>
      <c r="U8" s="307" t="n">
        <v>12</v>
      </c>
      <c r="V8" s="307" t="n">
        <v>5</v>
      </c>
      <c r="W8" s="307" t="inlineStr">
        <is>
          <t>SECCION INSUF.</t>
        </is>
      </c>
      <c r="X8" s="309" t="inlineStr">
        <is>
          <t>Longitud total 9.28 m. La luz de calculo es la mayor entre pilotes, deducida de la posicion de los pilotes dibujados en el plano. No se detectaron pilotes intermedios en este tramo. Verificar: puede estar apoyada directamente sobre el terreno, en cuyo caso no flexiona como viga de luz libre. Relacion luz/altura alta. En una viga de fundacion enterrada la flecha no suele gobernar, por eso no se la incluye en la verificacion.</t>
        </is>
      </c>
      <c r="Y8" s="307" t="n">
        <v>3.15</v>
      </c>
      <c r="Z8" s="307" t="n">
        <v>7</v>
      </c>
    </row>
    <row r="9" ht="31.2" customHeight="1" s="140">
      <c r="A9" s="316" t="inlineStr">
        <is>
          <t>VF04a</t>
        </is>
      </c>
      <c r="B9" s="306" t="n">
        <v>3.8</v>
      </c>
      <c r="C9" s="307" t="inlineStr">
        <is>
          <t>Continua</t>
        </is>
      </c>
      <c r="D9" s="325" t="n">
        <v>1166.76</v>
      </c>
      <c r="E9" s="307" t="n"/>
      <c r="F9" s="325" t="n">
        <v>2549.3706</v>
      </c>
      <c r="G9" s="325" t="n">
        <v>2549.3706</v>
      </c>
      <c r="H9" s="325" t="n">
        <v>1203.453668592</v>
      </c>
      <c r="I9" s="325" t="n">
        <v>1684.80144</v>
      </c>
      <c r="J9" s="307" t="n">
        <v>22</v>
      </c>
      <c r="K9" s="307" t="n">
        <v>31</v>
      </c>
      <c r="L9" s="307" t="n">
        <v>35</v>
      </c>
      <c r="M9" s="306" t="n">
        <v>2.2506</v>
      </c>
      <c r="N9" s="307" t="n">
        <v>2</v>
      </c>
      <c r="O9" s="307" t="n">
        <v>12</v>
      </c>
      <c r="P9" s="306" t="n">
        <v>2.2506</v>
      </c>
      <c r="Q9" s="307" t="n">
        <v>2</v>
      </c>
      <c r="R9" s="307" t="n">
        <v>12</v>
      </c>
      <c r="S9" s="306" t="n">
        <v>4.3977412454718</v>
      </c>
      <c r="T9" s="306" t="n">
        <v>4.3977412454718</v>
      </c>
      <c r="U9" s="307" t="n">
        <v>6</v>
      </c>
      <c r="V9" s="307" t="n">
        <v>15</v>
      </c>
      <c r="W9" s="307" t="inlineStr">
        <is>
          <t>VERIFICA</t>
        </is>
      </c>
      <c r="X9" s="309" t="inlineStr">
        <is>
          <t>El ancho quedo cortado en el PDF: se adopta 20 cm. Confirmar si es 20 o 22. Longitud total 5.33 m. La luz de calculo es la mayor entre pilotes, deducida de la posicion de los pilotes dibujados en el plano.</t>
        </is>
      </c>
      <c r="Y9" s="307" t="n">
        <v>3.15</v>
      </c>
      <c r="Z9" s="307" t="n">
        <v>4</v>
      </c>
    </row>
    <row r="10" ht="31.2" customHeight="1" s="140">
      <c r="A10" s="316" t="inlineStr">
        <is>
          <t>VF04b</t>
        </is>
      </c>
      <c r="B10" s="306" t="n">
        <v>3.3</v>
      </c>
      <c r="C10" s="307" t="inlineStr">
        <is>
          <t>Continua</t>
        </is>
      </c>
      <c r="D10" s="325" t="n">
        <v>1089</v>
      </c>
      <c r="E10" s="307" t="n"/>
      <c r="F10" s="325" t="n">
        <v>2066.3775</v>
      </c>
      <c r="G10" s="325" t="n">
        <v>2066.3775</v>
      </c>
      <c r="H10" s="325" t="n">
        <v>847.1033703000001</v>
      </c>
      <c r="I10" s="325" t="n">
        <v>1185.921</v>
      </c>
      <c r="J10" s="307" t="n">
        <v>20</v>
      </c>
      <c r="K10" s="307" t="n">
        <v>21</v>
      </c>
      <c r="L10" s="307" t="n">
        <v>25</v>
      </c>
      <c r="M10" s="306" t="n">
        <v>1.386</v>
      </c>
      <c r="N10" s="307" t="n">
        <v>5</v>
      </c>
      <c r="O10" s="307" t="n">
        <v>6</v>
      </c>
      <c r="P10" s="306" t="n">
        <v>1.55127620786245</v>
      </c>
      <c r="Q10" s="307" t="n">
        <v>2</v>
      </c>
      <c r="R10" s="307" t="n">
        <v>10</v>
      </c>
      <c r="S10" s="306" t="n">
        <v>5.78817226890756</v>
      </c>
      <c r="T10" s="306" t="n">
        <v>5.78817226890756</v>
      </c>
      <c r="U10" s="307" t="n">
        <v>6</v>
      </c>
      <c r="V10" s="307" t="n">
        <v>10</v>
      </c>
      <c r="W10" s="307" t="inlineStr">
        <is>
          <t>VERIFICA</t>
        </is>
      </c>
      <c r="X10" s="307" t="n"/>
      <c r="Y10" s="307" t="n">
        <v>3.15</v>
      </c>
      <c r="Z10" s="307" t="n">
        <v>4</v>
      </c>
    </row>
    <row r="11" ht="31.2" customHeight="1" s="140">
      <c r="A11" s="316" t="inlineStr">
        <is>
          <t>VF04c</t>
        </is>
      </c>
      <c r="B11" s="306" t="n">
        <v>3.08</v>
      </c>
      <c r="C11" s="307" t="inlineStr">
        <is>
          <t>Continua</t>
        </is>
      </c>
      <c r="D11" s="325" t="n">
        <v>1089</v>
      </c>
      <c r="E11" s="307" t="n"/>
      <c r="F11" s="325" t="n">
        <v>1928.619</v>
      </c>
      <c r="G11" s="325" t="n">
        <v>1928.619</v>
      </c>
      <c r="H11" s="325" t="n">
        <v>737.921158128</v>
      </c>
      <c r="I11" s="325" t="n">
        <v>1033.06896</v>
      </c>
      <c r="J11" s="307" t="n">
        <v>20</v>
      </c>
      <c r="K11" s="307" t="n">
        <v>21</v>
      </c>
      <c r="L11" s="307" t="n">
        <v>25</v>
      </c>
      <c r="M11" s="306" t="n">
        <v>1.386</v>
      </c>
      <c r="N11" s="307" t="n">
        <v>5</v>
      </c>
      <c r="O11" s="307" t="n">
        <v>6</v>
      </c>
      <c r="P11" s="306" t="n">
        <v>1.386</v>
      </c>
      <c r="Q11" s="307" t="n">
        <v>5</v>
      </c>
      <c r="R11" s="307" t="n">
        <v>6</v>
      </c>
      <c r="S11" s="306" t="n">
        <v>5.40229411764706</v>
      </c>
      <c r="T11" s="306" t="n">
        <v>5.40229411764706</v>
      </c>
      <c r="U11" s="307" t="n">
        <v>6</v>
      </c>
      <c r="V11" s="307" t="n">
        <v>10</v>
      </c>
      <c r="W11" s="307" t="inlineStr">
        <is>
          <t>VERIFICA</t>
        </is>
      </c>
      <c r="X11" s="307" t="n"/>
      <c r="Y11" s="307" t="n">
        <v>3.15</v>
      </c>
      <c r="Z11" s="307" t="n">
        <v>4</v>
      </c>
    </row>
    <row r="12" ht="31.2" customHeight="1" s="140">
      <c r="A12" s="316" t="inlineStr">
        <is>
          <t>VF05</t>
        </is>
      </c>
      <c r="B12" s="306" t="n">
        <v>2.26</v>
      </c>
      <c r="C12" s="307" t="inlineStr">
        <is>
          <t>Simplemente apoyada</t>
        </is>
      </c>
      <c r="D12" s="325" t="n">
        <v>1053</v>
      </c>
      <c r="E12" s="307" t="n"/>
      <c r="F12" s="325" t="n">
        <v>1189.89</v>
      </c>
      <c r="G12" s="325" t="n">
        <v>1189.89</v>
      </c>
      <c r="H12" s="325" t="n">
        <v>672.28785</v>
      </c>
      <c r="I12" s="325" t="inlineStr">
        <is>
          <t>---</t>
        </is>
      </c>
      <c r="J12" s="307" t="n">
        <v>15</v>
      </c>
      <c r="K12" s="307" t="n">
        <v>21</v>
      </c>
      <c r="L12" s="307" t="n">
        <v>25</v>
      </c>
      <c r="M12" s="306" t="n">
        <v>1.0395</v>
      </c>
      <c r="N12" s="307" t="n">
        <v>3</v>
      </c>
      <c r="O12" s="307" t="n">
        <v>8</v>
      </c>
      <c r="P12" s="306" t="inlineStr">
        <is>
          <t>---</t>
        </is>
      </c>
      <c r="Q12" s="307" t="inlineStr">
        <is>
          <t>---</t>
        </is>
      </c>
      <c r="R12" s="307" t="inlineStr">
        <is>
          <t>---</t>
        </is>
      </c>
      <c r="S12" s="306" t="n">
        <v>4.44403361344538</v>
      </c>
      <c r="T12" s="306" t="n">
        <v>4.44403361344538</v>
      </c>
      <c r="U12" s="307" t="n">
        <v>6</v>
      </c>
      <c r="V12" s="307" t="n">
        <v>10</v>
      </c>
      <c r="W12" s="307" t="inlineStr">
        <is>
          <t>VERIFICA</t>
        </is>
      </c>
      <c r="X12" s="307" t="n"/>
      <c r="Y12" s="307" t="n">
        <v>3.15</v>
      </c>
      <c r="Z12" s="307" t="n">
        <v>4</v>
      </c>
    </row>
    <row r="13" ht="31.2" customHeight="1" s="140">
      <c r="A13" s="316" t="inlineStr">
        <is>
          <t>VF06a</t>
        </is>
      </c>
      <c r="B13" s="306" t="n">
        <v>0.23</v>
      </c>
      <c r="C13" s="307" t="inlineStr">
        <is>
          <t>Continua</t>
        </is>
      </c>
      <c r="D13" s="325" t="n">
        <v>1053</v>
      </c>
      <c r="E13" s="307" t="n"/>
      <c r="F13" s="325" t="n">
        <v>139.25925</v>
      </c>
      <c r="G13" s="325" t="n">
        <v>139.25925</v>
      </c>
      <c r="H13" s="325" t="n">
        <v>3.978915291</v>
      </c>
      <c r="I13" s="325" t="n">
        <v>5.57037</v>
      </c>
      <c r="J13" s="307" t="n">
        <v>15</v>
      </c>
      <c r="K13" s="307" t="n">
        <v>21</v>
      </c>
      <c r="L13" s="307" t="n">
        <v>25</v>
      </c>
      <c r="M13" s="306" t="n">
        <v>1.0395</v>
      </c>
      <c r="N13" s="307" t="n">
        <v>3</v>
      </c>
      <c r="O13" s="307" t="n">
        <v>8</v>
      </c>
      <c r="P13" s="306" t="n">
        <v>1.0395</v>
      </c>
      <c r="Q13" s="307" t="n">
        <v>3</v>
      </c>
      <c r="R13" s="307" t="n">
        <v>8</v>
      </c>
      <c r="S13" s="306" t="n">
        <v>0.520109243697479</v>
      </c>
      <c r="T13" s="306" t="n">
        <v>0.520109243697479</v>
      </c>
      <c r="U13" s="307" t="n">
        <v>6</v>
      </c>
      <c r="V13" s="307" t="n">
        <v>10</v>
      </c>
      <c r="W13" s="307" t="inlineStr">
        <is>
          <t>VERIFICA</t>
        </is>
      </c>
      <c r="X13" s="307" t="n"/>
      <c r="Y13" s="307" t="n">
        <v>3.15</v>
      </c>
      <c r="Z13" s="307" t="n">
        <v>4</v>
      </c>
    </row>
    <row r="14" ht="31.2" customHeight="1" s="140">
      <c r="A14" s="316" t="inlineStr">
        <is>
          <t>VF06b</t>
        </is>
      </c>
      <c r="B14" s="306" t="n">
        <v>1.83</v>
      </c>
      <c r="C14" s="307" t="inlineStr">
        <is>
          <t>Continua</t>
        </is>
      </c>
      <c r="D14" s="325" t="n">
        <v>1089</v>
      </c>
      <c r="E14" s="307" t="n"/>
      <c r="F14" s="325" t="n">
        <v>1145.90025</v>
      </c>
      <c r="G14" s="325" t="n">
        <v>1145.90025</v>
      </c>
      <c r="H14" s="325" t="n">
        <v>260.501788503</v>
      </c>
      <c r="I14" s="325" t="n">
        <v>364.69521</v>
      </c>
      <c r="J14" s="307" t="n">
        <v>20</v>
      </c>
      <c r="K14" s="307" t="n">
        <v>21</v>
      </c>
      <c r="L14" s="307" t="n">
        <v>25</v>
      </c>
      <c r="M14" s="306" t="n">
        <v>1.386</v>
      </c>
      <c r="N14" s="307" t="n">
        <v>5</v>
      </c>
      <c r="O14" s="307" t="n">
        <v>6</v>
      </c>
      <c r="P14" s="306" t="n">
        <v>1.386</v>
      </c>
      <c r="Q14" s="307" t="n">
        <v>5</v>
      </c>
      <c r="R14" s="307" t="n">
        <v>6</v>
      </c>
      <c r="S14" s="306" t="n">
        <v>3.20980462184874</v>
      </c>
      <c r="T14" s="306" t="n">
        <v>3.20980462184874</v>
      </c>
      <c r="U14" s="307" t="n">
        <v>6</v>
      </c>
      <c r="V14" s="307" t="n">
        <v>10</v>
      </c>
      <c r="W14" s="307" t="inlineStr">
        <is>
          <t>VERIFICA</t>
        </is>
      </c>
      <c r="X14" s="307" t="n"/>
      <c r="Y14" s="307" t="n">
        <v>3.15</v>
      </c>
      <c r="Z14" s="307" t="n">
        <v>4</v>
      </c>
    </row>
    <row r="15" ht="31.2" customHeight="1" s="140">
      <c r="A15" s="316" t="inlineStr">
        <is>
          <t>VF06c</t>
        </is>
      </c>
      <c r="B15" s="306" t="n">
        <v>3.3</v>
      </c>
      <c r="C15" s="307" t="inlineStr">
        <is>
          <t>Continua</t>
        </is>
      </c>
      <c r="D15" s="325" t="n">
        <v>1089</v>
      </c>
      <c r="E15" s="307" t="n"/>
      <c r="F15" s="325" t="n">
        <v>2066.3775</v>
      </c>
      <c r="G15" s="325" t="n">
        <v>2066.3775</v>
      </c>
      <c r="H15" s="325" t="n">
        <v>847.1033703000001</v>
      </c>
      <c r="I15" s="325" t="n">
        <v>1185.921</v>
      </c>
      <c r="J15" s="307" t="n">
        <v>20</v>
      </c>
      <c r="K15" s="307" t="n">
        <v>21</v>
      </c>
      <c r="L15" s="307" t="n">
        <v>25</v>
      </c>
      <c r="M15" s="306" t="n">
        <v>1.386</v>
      </c>
      <c r="N15" s="307" t="n">
        <v>5</v>
      </c>
      <c r="O15" s="307" t="n">
        <v>6</v>
      </c>
      <c r="P15" s="306" t="n">
        <v>1.55127620786245</v>
      </c>
      <c r="Q15" s="307" t="n">
        <v>2</v>
      </c>
      <c r="R15" s="307" t="n">
        <v>10</v>
      </c>
      <c r="S15" s="306" t="n">
        <v>5.78817226890756</v>
      </c>
      <c r="T15" s="306" t="n">
        <v>5.78817226890756</v>
      </c>
      <c r="U15" s="307" t="n">
        <v>6</v>
      </c>
      <c r="V15" s="307" t="n">
        <v>10</v>
      </c>
      <c r="W15" s="307" t="inlineStr">
        <is>
          <t>VERIFICA</t>
        </is>
      </c>
      <c r="X15" s="307" t="n"/>
      <c r="Y15" s="307" t="n">
        <v>3.15</v>
      </c>
      <c r="Z15" s="307" t="n">
        <v>4</v>
      </c>
    </row>
    <row r="16" ht="31.2" customHeight="1" s="140">
      <c r="A16" s="316" t="inlineStr">
        <is>
          <t>VF06d</t>
        </is>
      </c>
      <c r="B16" s="306" t="n">
        <v>3.03</v>
      </c>
      <c r="C16" s="307" t="inlineStr">
        <is>
          <t>Continua</t>
        </is>
      </c>
      <c r="D16" s="325" t="n">
        <v>1103.4</v>
      </c>
      <c r="E16" s="307" t="n"/>
      <c r="F16" s="325" t="n">
        <v>1922.39865</v>
      </c>
      <c r="G16" s="325" t="n">
        <v>1922.39865</v>
      </c>
      <c r="H16" s="325" t="n">
        <v>723.6005474358</v>
      </c>
      <c r="I16" s="325" t="n">
        <v>1013.020506</v>
      </c>
      <c r="J16" s="307" t="n">
        <v>22</v>
      </c>
      <c r="K16" s="307" t="n">
        <v>21</v>
      </c>
      <c r="L16" s="307" t="n">
        <v>25</v>
      </c>
      <c r="M16" s="306" t="n">
        <v>1.5246</v>
      </c>
      <c r="N16" s="307" t="n">
        <v>2</v>
      </c>
      <c r="O16" s="307" t="n">
        <v>10</v>
      </c>
      <c r="P16" s="306" t="n">
        <v>1.5246</v>
      </c>
      <c r="Q16" s="307" t="n">
        <v>2</v>
      </c>
      <c r="R16" s="307" t="n">
        <v>10</v>
      </c>
      <c r="S16" s="306" t="n">
        <v>4.89533651642475</v>
      </c>
      <c r="T16" s="306" t="n">
        <v>4.89533651642475</v>
      </c>
      <c r="U16" s="307" t="n">
        <v>6</v>
      </c>
      <c r="V16" s="307" t="n">
        <v>10</v>
      </c>
      <c r="W16" s="307" t="inlineStr">
        <is>
          <t>VERIFICA</t>
        </is>
      </c>
      <c r="X16" s="307" t="n"/>
      <c r="Y16" s="307" t="n">
        <v>3.15</v>
      </c>
      <c r="Z16" s="307" t="n">
        <v>4</v>
      </c>
    </row>
    <row r="17" ht="31.2" customHeight="1" s="140">
      <c r="A17" s="316" t="inlineStr">
        <is>
          <t>VF07</t>
        </is>
      </c>
      <c r="B17" s="306" t="n">
        <v>3.5</v>
      </c>
      <c r="C17" s="307" t="inlineStr">
        <is>
          <t>Simplemente apoyada</t>
        </is>
      </c>
      <c r="D17" s="325" t="n">
        <v>1089</v>
      </c>
      <c r="E17" s="307" t="n"/>
      <c r="F17" s="325" t="n">
        <v>1905.75</v>
      </c>
      <c r="G17" s="325" t="n">
        <v>1905.75</v>
      </c>
      <c r="H17" s="325" t="n">
        <v>1667.53125</v>
      </c>
      <c r="I17" s="325" t="inlineStr">
        <is>
          <t>---</t>
        </is>
      </c>
      <c r="J17" s="307" t="n">
        <v>20</v>
      </c>
      <c r="K17" s="307" t="n">
        <v>21</v>
      </c>
      <c r="L17" s="307" t="n">
        <v>25</v>
      </c>
      <c r="M17" s="306" t="n">
        <v>2.2178054175415</v>
      </c>
      <c r="N17" s="307" t="n">
        <v>2</v>
      </c>
      <c r="O17" s="307" t="n">
        <v>12</v>
      </c>
      <c r="P17" s="306" t="inlineStr">
        <is>
          <t>---</t>
        </is>
      </c>
      <c r="Q17" s="307" t="inlineStr">
        <is>
          <t>---</t>
        </is>
      </c>
      <c r="R17" s="307" t="inlineStr">
        <is>
          <t>---</t>
        </is>
      </c>
      <c r="S17" s="306" t="n">
        <v>5.33823529411765</v>
      </c>
      <c r="T17" s="306" t="n">
        <v>5.33823529411765</v>
      </c>
      <c r="U17" s="307" t="n">
        <v>6</v>
      </c>
      <c r="V17" s="307" t="n">
        <v>10</v>
      </c>
      <c r="W17" s="307" t="inlineStr">
        <is>
          <t>VERIFICA</t>
        </is>
      </c>
      <c r="X17" s="307" t="n"/>
      <c r="Y17" s="307" t="n">
        <v>3.15</v>
      </c>
      <c r="Z17" s="307" t="n">
        <v>4</v>
      </c>
    </row>
    <row r="18" ht="31.2" customHeight="1" s="140">
      <c r="A18" s="316" t="inlineStr">
        <is>
          <t>VF08</t>
        </is>
      </c>
      <c r="B18" s="306" t="n">
        <v>2.04</v>
      </c>
      <c r="C18" s="307" t="inlineStr">
        <is>
          <t>Simplemente apoyada</t>
        </is>
      </c>
      <c r="D18" s="325" t="n">
        <v>1197</v>
      </c>
      <c r="E18" s="307" t="n"/>
      <c r="F18" s="325" t="n">
        <v>1220.94</v>
      </c>
      <c r="G18" s="325" t="n">
        <v>1220.94</v>
      </c>
      <c r="H18" s="325" t="n">
        <v>622.6794</v>
      </c>
      <c r="I18" s="325" t="inlineStr">
        <is>
          <t>---</t>
        </is>
      </c>
      <c r="J18" s="307" t="n">
        <v>25</v>
      </c>
      <c r="K18" s="307" t="n">
        <v>31</v>
      </c>
      <c r="L18" s="307" t="n">
        <v>35</v>
      </c>
      <c r="M18" s="306" t="n">
        <v>2.5575</v>
      </c>
      <c r="N18" s="307" t="n">
        <v>6</v>
      </c>
      <c r="O18" s="307" t="n">
        <v>8</v>
      </c>
      <c r="P18" s="306" t="inlineStr">
        <is>
          <t>---</t>
        </is>
      </c>
      <c r="Q18" s="307" t="inlineStr">
        <is>
          <t>---</t>
        </is>
      </c>
      <c r="R18" s="307" t="inlineStr">
        <is>
          <t>---</t>
        </is>
      </c>
      <c r="S18" s="306" t="n">
        <v>1.85341935483871</v>
      </c>
      <c r="T18" s="306" t="n">
        <v>1.85341935483871</v>
      </c>
      <c r="U18" s="307" t="n">
        <v>6</v>
      </c>
      <c r="V18" s="307" t="n">
        <v>15</v>
      </c>
      <c r="W18" s="307" t="inlineStr">
        <is>
          <t>VERIFICA</t>
        </is>
      </c>
      <c r="X18" s="309" t="inlineStr">
        <is>
          <t>Longitud total 3.50 m. La luz de calculo es la mayor entre pilotes, deducida de la posicion de los pilotes dibujados en el plano.</t>
        </is>
      </c>
      <c r="Y18" s="307" t="n">
        <v>3.15</v>
      </c>
      <c r="Z18" s="307" t="n">
        <v>4</v>
      </c>
    </row>
    <row r="19" ht="31.2" customHeight="1" s="140">
      <c r="A19" s="316" t="inlineStr">
        <is>
          <t>VF09 (1)</t>
        </is>
      </c>
      <c r="B19" s="306" t="n">
        <v>0.7</v>
      </c>
      <c r="C19" s="307" t="inlineStr">
        <is>
          <t>Continua</t>
        </is>
      </c>
      <c r="D19" s="325" t="n">
        <v>1197</v>
      </c>
      <c r="E19" s="307" t="n"/>
      <c r="F19" s="325" t="n">
        <v>481.7925</v>
      </c>
      <c r="G19" s="325" t="n">
        <v>481.7925</v>
      </c>
      <c r="H19" s="325" t="n">
        <v>41.8958379</v>
      </c>
      <c r="I19" s="325" t="n">
        <v>58.653</v>
      </c>
      <c r="J19" s="307" t="n">
        <v>25</v>
      </c>
      <c r="K19" s="307" t="n">
        <v>31</v>
      </c>
      <c r="L19" s="307" t="n">
        <v>35</v>
      </c>
      <c r="M19" s="306" t="n">
        <v>2.5575</v>
      </c>
      <c r="N19" s="307" t="n">
        <v>6</v>
      </c>
      <c r="O19" s="307" t="n">
        <v>8</v>
      </c>
      <c r="P19" s="306" t="n">
        <v>2.5575</v>
      </c>
      <c r="Q19" s="307" t="n">
        <v>6</v>
      </c>
      <c r="R19" s="307" t="n">
        <v>8</v>
      </c>
      <c r="S19" s="306" t="n">
        <v>0.731373814041746</v>
      </c>
      <c r="T19" s="306" t="n">
        <v>0.731373814041746</v>
      </c>
      <c r="U19" s="307" t="n">
        <v>6</v>
      </c>
      <c r="V19" s="307" t="n">
        <v>15</v>
      </c>
      <c r="W19" s="307" t="inlineStr">
        <is>
          <t>VERIFICA</t>
        </is>
      </c>
      <c r="X19" s="307" t="n"/>
      <c r="Y19" s="307" t="n">
        <v>3.15</v>
      </c>
      <c r="Z19" s="307" t="n">
        <v>4</v>
      </c>
    </row>
    <row r="20" ht="31.2" customHeight="1" s="140">
      <c r="A20" s="316" t="inlineStr">
        <is>
          <t>VF09 (2)</t>
        </is>
      </c>
      <c r="B20" s="306" t="n">
        <v>0.7</v>
      </c>
      <c r="C20" s="307" t="inlineStr">
        <is>
          <t>Continua</t>
        </is>
      </c>
      <c r="D20" s="325" t="n">
        <v>1197</v>
      </c>
      <c r="E20" s="307" t="n"/>
      <c r="F20" s="325" t="n">
        <v>481.7925</v>
      </c>
      <c r="G20" s="325" t="n">
        <v>481.7925</v>
      </c>
      <c r="H20" s="325" t="n">
        <v>41.8958379</v>
      </c>
      <c r="I20" s="325" t="n">
        <v>58.653</v>
      </c>
      <c r="J20" s="307" t="n">
        <v>25</v>
      </c>
      <c r="K20" s="307" t="n">
        <v>31</v>
      </c>
      <c r="L20" s="307" t="n">
        <v>35</v>
      </c>
      <c r="M20" s="306" t="n">
        <v>2.5575</v>
      </c>
      <c r="N20" s="307" t="n">
        <v>6</v>
      </c>
      <c r="O20" s="307" t="n">
        <v>8</v>
      </c>
      <c r="P20" s="306" t="n">
        <v>2.5575</v>
      </c>
      <c r="Q20" s="307" t="n">
        <v>6</v>
      </c>
      <c r="R20" s="307" t="n">
        <v>8</v>
      </c>
      <c r="S20" s="306" t="n">
        <v>0.731373814041746</v>
      </c>
      <c r="T20" s="306" t="n">
        <v>0.731373814041746</v>
      </c>
      <c r="U20" s="307" t="n">
        <v>6</v>
      </c>
      <c r="V20" s="307" t="n">
        <v>15</v>
      </c>
      <c r="W20" s="307" t="inlineStr">
        <is>
          <t>VERIFICA</t>
        </is>
      </c>
      <c r="X20" s="307" t="n"/>
      <c r="Y20" s="307" t="n">
        <v>3.15</v>
      </c>
      <c r="Z20" s="307" t="n">
        <v>4</v>
      </c>
    </row>
    <row r="21" ht="31.2" customHeight="1" s="140">
      <c r="A21" s="316" t="inlineStr">
        <is>
          <t>VF10a</t>
        </is>
      </c>
      <c r="B21" s="306" t="n">
        <v>2.74</v>
      </c>
      <c r="C21" s="307" t="inlineStr">
        <is>
          <t>Continua</t>
        </is>
      </c>
      <c r="D21" s="325" t="n">
        <v>1146.6</v>
      </c>
      <c r="E21" s="307" t="n"/>
      <c r="F21" s="325" t="n">
        <v>1806.4683</v>
      </c>
      <c r="G21" s="325" t="n">
        <v>1806.4683</v>
      </c>
      <c r="H21" s="325" t="n">
        <v>614.8847374488</v>
      </c>
      <c r="I21" s="325" t="n">
        <v>860.821416</v>
      </c>
      <c r="J21" s="307" t="n">
        <v>20</v>
      </c>
      <c r="K21" s="307" t="n">
        <v>31</v>
      </c>
      <c r="L21" s="307" t="n">
        <v>35</v>
      </c>
      <c r="M21" s="306" t="n">
        <v>2.046</v>
      </c>
      <c r="N21" s="307" t="n">
        <v>2</v>
      </c>
      <c r="O21" s="307" t="n">
        <v>12</v>
      </c>
      <c r="P21" s="306" t="n">
        <v>2.046</v>
      </c>
      <c r="Q21" s="307" t="n">
        <v>2</v>
      </c>
      <c r="R21" s="307" t="n">
        <v>12</v>
      </c>
      <c r="S21" s="306" t="n">
        <v>3.42783358633776</v>
      </c>
      <c r="T21" s="306" t="n">
        <v>3.42783358633776</v>
      </c>
      <c r="U21" s="307" t="n">
        <v>6</v>
      </c>
      <c r="V21" s="307" t="n">
        <v>15</v>
      </c>
      <c r="W21" s="307" t="inlineStr">
        <is>
          <t>VERIFICA</t>
        </is>
      </c>
      <c r="X21" s="309" t="inlineStr">
        <is>
          <t>Longitud total 3.36 m. La luz de calculo es la mayor entre pilotes, deducida de la posicion de los pilotes dibujados en el plano.</t>
        </is>
      </c>
      <c r="Y21" s="307" t="n">
        <v>3.15</v>
      </c>
      <c r="Z21" s="307" t="n">
        <v>4</v>
      </c>
    </row>
    <row r="22" ht="31.2" customHeight="1" s="140">
      <c r="A22" s="316" t="inlineStr">
        <is>
          <t>VF10b</t>
        </is>
      </c>
      <c r="B22" s="306" t="n">
        <v>2.36</v>
      </c>
      <c r="C22" s="307" t="inlineStr">
        <is>
          <t>Continua</t>
        </is>
      </c>
      <c r="D22" s="325" t="n">
        <v>1166.76</v>
      </c>
      <c r="E22" s="307" t="n"/>
      <c r="F22" s="325" t="n">
        <v>1583.29332</v>
      </c>
      <c r="G22" s="325" t="n">
        <v>1583.29332</v>
      </c>
      <c r="H22" s="325" t="n">
        <v>464.17974740928</v>
      </c>
      <c r="I22" s="325" t="n">
        <v>649.8386496000001</v>
      </c>
      <c r="J22" s="307" t="n">
        <v>22</v>
      </c>
      <c r="K22" s="307" t="n">
        <v>31</v>
      </c>
      <c r="L22" s="307" t="n">
        <v>35</v>
      </c>
      <c r="M22" s="306" t="n">
        <v>2.2506</v>
      </c>
      <c r="N22" s="307" t="n">
        <v>2</v>
      </c>
      <c r="O22" s="307" t="n">
        <v>12</v>
      </c>
      <c r="P22" s="306" t="n">
        <v>2.2506</v>
      </c>
      <c r="Q22" s="307" t="n">
        <v>2</v>
      </c>
      <c r="R22" s="307" t="n">
        <v>12</v>
      </c>
      <c r="S22" s="306" t="n">
        <v>2.73122877350354</v>
      </c>
      <c r="T22" s="306" t="n">
        <v>2.73122877350354</v>
      </c>
      <c r="U22" s="307" t="n">
        <v>6</v>
      </c>
      <c r="V22" s="307" t="n">
        <v>15</v>
      </c>
      <c r="W22" s="307" t="inlineStr">
        <is>
          <t>VERIFICA</t>
        </is>
      </c>
      <c r="X22" s="309" t="inlineStr">
        <is>
          <t>Longitud total 3.26 m. La luz de calculo es la mayor entre pilotes, deducida de la posicion de los pilotes dibujados en el plano.</t>
        </is>
      </c>
      <c r="Y22" s="307" t="n">
        <v>3.15</v>
      </c>
      <c r="Z22" s="307" t="n">
        <v>4</v>
      </c>
    </row>
    <row r="23" ht="31.2" customHeight="1" s="140">
      <c r="A23" s="316" t="inlineStr">
        <is>
          <t>VF10c</t>
        </is>
      </c>
      <c r="B23" s="306" t="n">
        <v>5.1</v>
      </c>
      <c r="C23" s="307" t="inlineStr">
        <is>
          <t>Continua</t>
        </is>
      </c>
      <c r="D23" s="325" t="n">
        <v>1197</v>
      </c>
      <c r="E23" s="307" t="n"/>
      <c r="F23" s="325" t="n">
        <v>3510.2025</v>
      </c>
      <c r="G23" s="325" t="n">
        <v>3510.2025</v>
      </c>
      <c r="H23" s="325" t="n">
        <v>2223.8994771</v>
      </c>
      <c r="I23" s="325" t="n">
        <v>3113.397</v>
      </c>
      <c r="J23" s="307" t="n">
        <v>25</v>
      </c>
      <c r="K23" s="307" t="n">
        <v>31</v>
      </c>
      <c r="L23" s="307" t="n">
        <v>35</v>
      </c>
      <c r="M23" s="306" t="n">
        <v>2.5575</v>
      </c>
      <c r="N23" s="307" t="n">
        <v>6</v>
      </c>
      <c r="O23" s="307" t="n">
        <v>8</v>
      </c>
      <c r="P23" s="306" t="n">
        <v>2.75486143935546</v>
      </c>
      <c r="Q23" s="307" t="n">
        <v>6</v>
      </c>
      <c r="R23" s="307" t="n">
        <v>8</v>
      </c>
      <c r="S23" s="306" t="n">
        <v>5.32858064516129</v>
      </c>
      <c r="T23" s="306" t="n">
        <v>5.32858064516129</v>
      </c>
      <c r="U23" s="307" t="n">
        <v>6</v>
      </c>
      <c r="V23" s="307" t="n">
        <v>15</v>
      </c>
      <c r="W23" s="307" t="inlineStr">
        <is>
          <t>VERIFICA</t>
        </is>
      </c>
      <c r="X23" s="309" t="inlineStr">
        <is>
          <t>Longitud total 8.03 m. La luz de calculo es la mayor entre pilotes, deducida de la posicion de los pilotes dibujados en el plano.</t>
        </is>
      </c>
      <c r="Y23" s="307" t="n">
        <v>3.15</v>
      </c>
      <c r="Z23" s="307" t="n">
        <v>4</v>
      </c>
    </row>
    <row r="24" ht="31.2" customHeight="1" s="140">
      <c r="A24" s="316" t="inlineStr">
        <is>
          <t>VF11</t>
        </is>
      </c>
      <c r="B24" s="306" t="n">
        <v>4.03</v>
      </c>
      <c r="C24" s="307" t="inlineStr">
        <is>
          <t>Simplemente apoyada</t>
        </is>
      </c>
      <c r="D24" s="325" t="n">
        <v>1089</v>
      </c>
      <c r="E24" s="307" t="n"/>
      <c r="F24" s="325" t="n">
        <v>2194.335</v>
      </c>
      <c r="G24" s="325" t="n">
        <v>2194.335</v>
      </c>
      <c r="H24" s="325" t="n">
        <v>2210.7925125</v>
      </c>
      <c r="I24" s="325" t="inlineStr">
        <is>
          <t>---</t>
        </is>
      </c>
      <c r="J24" s="307" t="n">
        <v>20</v>
      </c>
      <c r="K24" s="307" t="n">
        <v>21</v>
      </c>
      <c r="L24" s="307" t="n">
        <v>25</v>
      </c>
      <c r="M24" s="306" t="n">
        <v>2.99925414905049</v>
      </c>
      <c r="N24" s="307" t="n">
        <v>4</v>
      </c>
      <c r="O24" s="307" t="n">
        <v>10</v>
      </c>
      <c r="P24" s="306" t="inlineStr">
        <is>
          <t>---</t>
        </is>
      </c>
      <c r="Q24" s="307" t="inlineStr">
        <is>
          <t>---</t>
        </is>
      </c>
      <c r="R24" s="307" t="inlineStr">
        <is>
          <t>---</t>
        </is>
      </c>
      <c r="S24" s="306" t="n">
        <v>6.14659663865546</v>
      </c>
      <c r="T24" s="306" t="n">
        <v>6.14659663865546</v>
      </c>
      <c r="U24" s="307" t="n">
        <v>6</v>
      </c>
      <c r="V24" s="307" t="n">
        <v>10</v>
      </c>
      <c r="W24" s="307" t="inlineStr">
        <is>
          <t>VERIFICA</t>
        </is>
      </c>
      <c r="X24" s="309" t="inlineStr">
        <is>
          <t>Relacion luz/altura alta. En una viga de fundacion enterrada la flecha no suele gobernar, por eso no se la incluye en la verificacion.</t>
        </is>
      </c>
      <c r="Y24" s="307" t="n">
        <v>3.15</v>
      </c>
      <c r="Z24" s="307" t="n">
        <v>4</v>
      </c>
    </row>
    <row r="25" ht="31.2" customHeight="1" s="140">
      <c r="A25" s="316" t="inlineStr">
        <is>
          <t>VF12</t>
        </is>
      </c>
      <c r="B25" s="306" t="n">
        <v>1.49</v>
      </c>
      <c r="C25" s="307" t="inlineStr">
        <is>
          <t>Simplemente apoyada</t>
        </is>
      </c>
      <c r="D25" s="325" t="n">
        <v>1053</v>
      </c>
      <c r="E25" s="307" t="n"/>
      <c r="F25" s="325" t="n">
        <v>784.485</v>
      </c>
      <c r="G25" s="325" t="n">
        <v>784.485</v>
      </c>
      <c r="H25" s="325" t="n">
        <v>292.2206625</v>
      </c>
      <c r="I25" s="325" t="inlineStr">
        <is>
          <t>---</t>
        </is>
      </c>
      <c r="J25" s="307" t="n">
        <v>15</v>
      </c>
      <c r="K25" s="307" t="n">
        <v>21</v>
      </c>
      <c r="L25" s="307" t="n">
        <v>25</v>
      </c>
      <c r="M25" s="306" t="n">
        <v>1.0395</v>
      </c>
      <c r="N25" s="307" t="n">
        <v>3</v>
      </c>
      <c r="O25" s="307" t="n">
        <v>8</v>
      </c>
      <c r="P25" s="306" t="inlineStr">
        <is>
          <t>---</t>
        </is>
      </c>
      <c r="Q25" s="307" t="inlineStr">
        <is>
          <t>---</t>
        </is>
      </c>
      <c r="R25" s="307" t="inlineStr">
        <is>
          <t>---</t>
        </is>
      </c>
      <c r="S25" s="306" t="n">
        <v>2.92991596638655</v>
      </c>
      <c r="T25" s="306" t="n">
        <v>2.92991596638655</v>
      </c>
      <c r="U25" s="307" t="n">
        <v>6</v>
      </c>
      <c r="V25" s="307" t="n">
        <v>10</v>
      </c>
      <c r="W25" s="307" t="inlineStr">
        <is>
          <t>VERIFICA</t>
        </is>
      </c>
      <c r="X25" s="307" t="n"/>
      <c r="Y25" s="307" t="n">
        <v>3.15</v>
      </c>
      <c r="Z25" s="307" t="n">
        <v>4</v>
      </c>
    </row>
    <row r="26" ht="31.2" customHeight="1" s="140">
      <c r="A26" s="316" t="inlineStr">
        <is>
          <t>VF13</t>
        </is>
      </c>
      <c r="B26" s="306" t="n">
        <v>2.28</v>
      </c>
      <c r="C26" s="307" t="inlineStr">
        <is>
          <t>Simplemente apoyada</t>
        </is>
      </c>
      <c r="D26" s="325" t="n">
        <v>1053</v>
      </c>
      <c r="E26" s="307" t="n"/>
      <c r="F26" s="325" t="n">
        <v>1200.42</v>
      </c>
      <c r="G26" s="325" t="n">
        <v>1200.42</v>
      </c>
      <c r="H26" s="325" t="n">
        <v>684.2394</v>
      </c>
      <c r="I26" s="325" t="inlineStr">
        <is>
          <t>---</t>
        </is>
      </c>
      <c r="J26" s="307" t="n">
        <v>15</v>
      </c>
      <c r="K26" s="307" t="n">
        <v>21</v>
      </c>
      <c r="L26" s="307" t="n">
        <v>25</v>
      </c>
      <c r="M26" s="306" t="n">
        <v>1.0395</v>
      </c>
      <c r="N26" s="307" t="n">
        <v>3</v>
      </c>
      <c r="O26" s="307" t="n">
        <v>8</v>
      </c>
      <c r="P26" s="306" t="inlineStr">
        <is>
          <t>---</t>
        </is>
      </c>
      <c r="Q26" s="307" t="inlineStr">
        <is>
          <t>---</t>
        </is>
      </c>
      <c r="R26" s="307" t="inlineStr">
        <is>
          <t>---</t>
        </is>
      </c>
      <c r="S26" s="306" t="n">
        <v>4.48336134453782</v>
      </c>
      <c r="T26" s="306" t="n">
        <v>4.48336134453782</v>
      </c>
      <c r="U26" s="307" t="n">
        <v>6</v>
      </c>
      <c r="V26" s="307" t="n">
        <v>10</v>
      </c>
      <c r="W26" s="307" t="inlineStr">
        <is>
          <t>VERIFICA</t>
        </is>
      </c>
      <c r="X26" s="307" t="n"/>
      <c r="Y26" s="307" t="n">
        <v>3.15</v>
      </c>
      <c r="Z26" s="307" t="n">
        <v>4</v>
      </c>
    </row>
    <row r="27" ht="31.2" customHeight="1" s="140">
      <c r="A27" s="316" t="inlineStr">
        <is>
          <t>VF14</t>
        </is>
      </c>
      <c r="B27" s="306" t="n">
        <v>3.09</v>
      </c>
      <c r="C27" s="307" t="inlineStr">
        <is>
          <t>Simplemente apoyada</t>
        </is>
      </c>
      <c r="D27" s="325" t="n">
        <v>1233</v>
      </c>
      <c r="E27" s="307" t="n"/>
      <c r="F27" s="325" t="n">
        <v>1904.985</v>
      </c>
      <c r="G27" s="325" t="n">
        <v>1904.985</v>
      </c>
      <c r="H27" s="325" t="n">
        <v>1471.6009125</v>
      </c>
      <c r="I27" s="325" t="inlineStr">
        <is>
          <t>---</t>
        </is>
      </c>
      <c r="J27" s="307" t="n">
        <v>25</v>
      </c>
      <c r="K27" s="307" t="n">
        <v>36</v>
      </c>
      <c r="L27" s="307" t="n">
        <v>40</v>
      </c>
      <c r="M27" s="306" t="n">
        <v>2.97</v>
      </c>
      <c r="N27" s="307" t="n">
        <v>6</v>
      </c>
      <c r="O27" s="307" t="n">
        <v>8</v>
      </c>
      <c r="P27" s="306" t="inlineStr">
        <is>
          <t>---</t>
        </is>
      </c>
      <c r="Q27" s="307" t="inlineStr">
        <is>
          <t>---</t>
        </is>
      </c>
      <c r="R27" s="307" t="inlineStr">
        <is>
          <t>---</t>
        </is>
      </c>
      <c r="S27" s="306" t="n">
        <v>2.49017647058824</v>
      </c>
      <c r="T27" s="306" t="n">
        <v>2.49017647058824</v>
      </c>
      <c r="U27" s="307" t="n">
        <v>6</v>
      </c>
      <c r="V27" s="307" t="n">
        <v>15</v>
      </c>
      <c r="W27" s="307" t="inlineStr">
        <is>
          <t>VERIFICA</t>
        </is>
      </c>
      <c r="X27" s="309" t="inlineStr">
        <is>
          <t>Longitud total 8.75 m. La luz de calculo es la mayor entre pilotes, deducida de la posicion de los pilotes dibujados en el plano.</t>
        </is>
      </c>
      <c r="Y27" s="307" t="n">
        <v>3.15</v>
      </c>
      <c r="Z27" s="307" t="n">
        <v>4</v>
      </c>
    </row>
    <row r="28" ht="31.2" customHeight="1" s="140">
      <c r="A28" s="316" t="inlineStr">
        <is>
          <t>VF15</t>
        </is>
      </c>
      <c r="B28" s="306" t="n">
        <v>2.39</v>
      </c>
      <c r="C28" s="307" t="inlineStr">
        <is>
          <t>Simplemente apoyada</t>
        </is>
      </c>
      <c r="D28" s="325" t="n">
        <v>1089</v>
      </c>
      <c r="E28" s="307" t="n"/>
      <c r="F28" s="325" t="n">
        <v>1301.355</v>
      </c>
      <c r="G28" s="325" t="n">
        <v>1301.355</v>
      </c>
      <c r="H28" s="325" t="n">
        <v>777.5596125</v>
      </c>
      <c r="I28" s="325" t="inlineStr">
        <is>
          <t>---</t>
        </is>
      </c>
      <c r="J28" s="307" t="n">
        <v>20</v>
      </c>
      <c r="K28" s="307" t="n">
        <v>21</v>
      </c>
      <c r="L28" s="307" t="n">
        <v>25</v>
      </c>
      <c r="M28" s="306" t="n">
        <v>1.386</v>
      </c>
      <c r="N28" s="307" t="n">
        <v>5</v>
      </c>
      <c r="O28" s="307" t="n">
        <v>6</v>
      </c>
      <c r="P28" s="306" t="inlineStr">
        <is>
          <t>---</t>
        </is>
      </c>
      <c r="Q28" s="307" t="inlineStr">
        <is>
          <t>---</t>
        </is>
      </c>
      <c r="R28" s="307" t="inlineStr">
        <is>
          <t>---</t>
        </is>
      </c>
      <c r="S28" s="306" t="n">
        <v>3.64525210084034</v>
      </c>
      <c r="T28" s="306" t="n">
        <v>3.64525210084034</v>
      </c>
      <c r="U28" s="307" t="n">
        <v>6</v>
      </c>
      <c r="V28" s="307" t="n">
        <v>10</v>
      </c>
      <c r="W28" s="307" t="inlineStr">
        <is>
          <t>VERIFICA</t>
        </is>
      </c>
      <c r="X28" s="307" t="n"/>
      <c r="Y28" s="307" t="n">
        <v>3.15</v>
      </c>
      <c r="Z28" s="307" t="n">
        <v>4</v>
      </c>
    </row>
    <row r="29" ht="31.2" customHeight="1" s="140">
      <c r="A29" s="316" t="inlineStr">
        <is>
          <t>VF16a</t>
        </is>
      </c>
      <c r="B29" s="306" t="n">
        <v>4.47</v>
      </c>
      <c r="C29" s="307" t="inlineStr">
        <is>
          <t>Continua</t>
        </is>
      </c>
      <c r="D29" s="325" t="n">
        <v>1089</v>
      </c>
      <c r="E29" s="307" t="n"/>
      <c r="F29" s="325" t="n">
        <v>2799.00225</v>
      </c>
      <c r="G29" s="325" t="n">
        <v>2799.00225</v>
      </c>
      <c r="H29" s="325" t="n">
        <v>1554.259663143</v>
      </c>
      <c r="I29" s="325" t="n">
        <v>2175.92001</v>
      </c>
      <c r="J29" s="307" t="n">
        <v>20</v>
      </c>
      <c r="K29" s="307" t="n">
        <v>21</v>
      </c>
      <c r="L29" s="307" t="n">
        <v>25</v>
      </c>
      <c r="M29" s="306" t="n">
        <v>2.05893247498592</v>
      </c>
      <c r="N29" s="307" t="n">
        <v>4</v>
      </c>
      <c r="O29" s="307" t="n">
        <v>8</v>
      </c>
      <c r="P29" s="306" t="n">
        <v>2.94807608195578</v>
      </c>
      <c r="Q29" s="307" t="n">
        <v>4</v>
      </c>
      <c r="R29" s="307" t="n">
        <v>10</v>
      </c>
      <c r="S29" s="306" t="n">
        <v>7.84034243697479</v>
      </c>
      <c r="T29" s="306" t="n">
        <v>7.84034243697479</v>
      </c>
      <c r="U29" s="307" t="n">
        <v>6</v>
      </c>
      <c r="V29" s="307" t="n">
        <v>10</v>
      </c>
      <c r="W29" s="307" t="inlineStr">
        <is>
          <t>NO VERIFICA FLEX.</t>
        </is>
      </c>
      <c r="X29" s="309" t="inlineStr">
        <is>
          <t>Longitud total 6.96 m. La luz de calculo es la mayor entre pilotes, deducida de la posicion de los pilotes dibujados en el plano.</t>
        </is>
      </c>
      <c r="Y29" s="307" t="n">
        <v>3.15</v>
      </c>
      <c r="Z29" s="307" t="n">
        <v>4</v>
      </c>
    </row>
    <row r="30" ht="31.2" customHeight="1" s="140">
      <c r="A30" s="316" t="inlineStr">
        <is>
          <t>VF16b</t>
        </is>
      </c>
      <c r="B30" s="306" t="n">
        <v>3.13</v>
      </c>
      <c r="C30" s="307" t="inlineStr">
        <is>
          <t>Continua</t>
        </is>
      </c>
      <c r="D30" s="325" t="n">
        <v>1146.6</v>
      </c>
      <c r="E30" s="307" t="n"/>
      <c r="F30" s="325" t="n">
        <v>2063.59335</v>
      </c>
      <c r="G30" s="325" t="n">
        <v>2063.59335</v>
      </c>
      <c r="H30" s="325" t="n">
        <v>802.3821573222</v>
      </c>
      <c r="I30" s="325" t="n">
        <v>1123.312554</v>
      </c>
      <c r="J30" s="307" t="n">
        <v>20</v>
      </c>
      <c r="K30" s="307" t="n">
        <v>31</v>
      </c>
      <c r="L30" s="307" t="n">
        <v>35</v>
      </c>
      <c r="M30" s="306" t="n">
        <v>2.046</v>
      </c>
      <c r="N30" s="307" t="n">
        <v>2</v>
      </c>
      <c r="O30" s="307" t="n">
        <v>12</v>
      </c>
      <c r="P30" s="306" t="n">
        <v>2.046</v>
      </c>
      <c r="Q30" s="307" t="n">
        <v>2</v>
      </c>
      <c r="R30" s="307" t="n">
        <v>12</v>
      </c>
      <c r="S30" s="306" t="n">
        <v>3.91573690702087</v>
      </c>
      <c r="T30" s="306" t="n">
        <v>3.91573690702087</v>
      </c>
      <c r="U30" s="307" t="n">
        <v>6</v>
      </c>
      <c r="V30" s="307" t="n">
        <v>15</v>
      </c>
      <c r="W30" s="307" t="inlineStr">
        <is>
          <t>VERIFICA</t>
        </is>
      </c>
      <c r="X30" s="307" t="n"/>
      <c r="Y30" s="307" t="n">
        <v>3.15</v>
      </c>
      <c r="Z30" s="307" t="n">
        <v>4</v>
      </c>
    </row>
    <row r="31" ht="31.2" customHeight="1" s="140">
      <c r="A31" s="316" t="inlineStr">
        <is>
          <t>VF17</t>
        </is>
      </c>
      <c r="B31" s="306" t="n">
        <v>3.53</v>
      </c>
      <c r="C31" s="307" t="inlineStr">
        <is>
          <t>Simplemente apoyada</t>
        </is>
      </c>
      <c r="D31" s="325" t="n">
        <v>1089</v>
      </c>
      <c r="E31" s="307" t="n"/>
      <c r="F31" s="325" t="n">
        <v>1922.085</v>
      </c>
      <c r="G31" s="325" t="n">
        <v>1922.085</v>
      </c>
      <c r="H31" s="325" t="n">
        <v>1696.2400125</v>
      </c>
      <c r="I31" s="325" t="inlineStr">
        <is>
          <t>---</t>
        </is>
      </c>
      <c r="J31" s="307" t="n">
        <v>20</v>
      </c>
      <c r="K31" s="307" t="n">
        <v>21</v>
      </c>
      <c r="L31" s="307" t="n">
        <v>25</v>
      </c>
      <c r="M31" s="306" t="n">
        <v>2.25828579903972</v>
      </c>
      <c r="N31" s="307" t="n">
        <v>2</v>
      </c>
      <c r="O31" s="307" t="n">
        <v>12</v>
      </c>
      <c r="P31" s="306" t="inlineStr">
        <is>
          <t>---</t>
        </is>
      </c>
      <c r="Q31" s="307" t="inlineStr">
        <is>
          <t>---</t>
        </is>
      </c>
      <c r="R31" s="307" t="inlineStr">
        <is>
          <t>---</t>
        </is>
      </c>
      <c r="S31" s="306" t="n">
        <v>5.38399159663866</v>
      </c>
      <c r="T31" s="306" t="n">
        <v>5.38399159663866</v>
      </c>
      <c r="U31" s="307" t="n">
        <v>6</v>
      </c>
      <c r="V31" s="307" t="n">
        <v>10</v>
      </c>
      <c r="W31" s="307" t="inlineStr">
        <is>
          <t>VERIFICA</t>
        </is>
      </c>
      <c r="X31" s="307" t="n"/>
      <c r="Y31" s="307" t="n">
        <v>3.15</v>
      </c>
      <c r="Z31" s="307" t="n">
        <v>4</v>
      </c>
    </row>
    <row r="32" ht="31.2" customHeight="1" s="140">
      <c r="A32" s="316" t="inlineStr">
        <is>
          <t>VF18a</t>
        </is>
      </c>
      <c r="B32" s="306" t="n">
        <v>5.5</v>
      </c>
      <c r="C32" s="307" t="inlineStr">
        <is>
          <t>Continua</t>
        </is>
      </c>
      <c r="D32" s="325" t="n">
        <v>1197</v>
      </c>
      <c r="E32" s="307" t="n"/>
      <c r="F32" s="325" t="n">
        <v>3785.5125</v>
      </c>
      <c r="G32" s="325" t="n">
        <v>3785.5125</v>
      </c>
      <c r="H32" s="325" t="n">
        <v>2586.4267275</v>
      </c>
      <c r="I32" s="325" t="n">
        <v>3620.925</v>
      </c>
      <c r="J32" s="307" t="n">
        <v>25</v>
      </c>
      <c r="K32" s="307" t="n">
        <v>31</v>
      </c>
      <c r="L32" s="307" t="n">
        <v>35</v>
      </c>
      <c r="M32" s="306" t="n">
        <v>2.5575</v>
      </c>
      <c r="N32" s="307" t="n">
        <v>6</v>
      </c>
      <c r="O32" s="307" t="n">
        <v>8</v>
      </c>
      <c r="P32" s="306" t="n">
        <v>3.22418778784455</v>
      </c>
      <c r="Q32" s="307" t="n">
        <v>3</v>
      </c>
      <c r="R32" s="307" t="n">
        <v>12</v>
      </c>
      <c r="S32" s="306" t="n">
        <v>5.74650853889943</v>
      </c>
      <c r="T32" s="306" t="n">
        <v>5.74650853889943</v>
      </c>
      <c r="U32" s="307" t="n">
        <v>6</v>
      </c>
      <c r="V32" s="307" t="n">
        <v>15</v>
      </c>
      <c r="W32" s="307" t="inlineStr">
        <is>
          <t>VERIFICA</t>
        </is>
      </c>
      <c r="X32" s="309" t="inlineStr">
        <is>
          <t>Longitud total 7.48 m. La luz de calculo es la mayor entre pilotes, deducida de la posicion de los pilotes dibujados en el plano.</t>
        </is>
      </c>
      <c r="Y32" s="307" t="n">
        <v>3.15</v>
      </c>
      <c r="Z32" s="307" t="n">
        <v>4</v>
      </c>
    </row>
    <row r="33" ht="31.2" customHeight="1" s="140">
      <c r="A33" s="316" t="inlineStr">
        <is>
          <t>VF18b</t>
        </is>
      </c>
      <c r="B33" s="306" t="n">
        <v>3.05</v>
      </c>
      <c r="C33" s="307" t="inlineStr">
        <is>
          <t>Continua</t>
        </is>
      </c>
      <c r="D33" s="325" t="n">
        <v>1125</v>
      </c>
      <c r="E33" s="307" t="n"/>
      <c r="F33" s="325" t="n">
        <v>1972.96875</v>
      </c>
      <c r="G33" s="325" t="n">
        <v>1972.96875</v>
      </c>
      <c r="H33" s="325" t="n">
        <v>747.537271875</v>
      </c>
      <c r="I33" s="325" t="n">
        <v>1046.53125</v>
      </c>
      <c r="J33" s="307" t="n">
        <v>25</v>
      </c>
      <c r="K33" s="307" t="n">
        <v>21</v>
      </c>
      <c r="L33" s="307" t="n">
        <v>25</v>
      </c>
      <c r="M33" s="306" t="n">
        <v>1.7325</v>
      </c>
      <c r="N33" s="307" t="n">
        <v>4</v>
      </c>
      <c r="O33" s="307" t="n">
        <v>8</v>
      </c>
      <c r="P33" s="306" t="n">
        <v>1.7325</v>
      </c>
      <c r="Q33" s="307" t="n">
        <v>4</v>
      </c>
      <c r="R33" s="307" t="n">
        <v>8</v>
      </c>
      <c r="S33" s="306" t="n">
        <v>4.42121848739496</v>
      </c>
      <c r="T33" s="306" t="n">
        <v>4.42121848739496</v>
      </c>
      <c r="U33" s="307" t="n">
        <v>6</v>
      </c>
      <c r="V33" s="307" t="n">
        <v>10</v>
      </c>
      <c r="W33" s="307" t="inlineStr">
        <is>
          <t>VERIFICA</t>
        </is>
      </c>
      <c r="X33" s="307" t="n"/>
      <c r="Y33" s="307" t="n">
        <v>3.15</v>
      </c>
      <c r="Z33" s="307" t="n">
        <v>4</v>
      </c>
    </row>
    <row r="34" ht="31.2" customHeight="1" s="140">
      <c r="A34" s="316" t="inlineStr">
        <is>
          <t>VF18c</t>
        </is>
      </c>
      <c r="B34" s="306" t="n">
        <v>4.26</v>
      </c>
      <c r="C34" s="307" t="inlineStr">
        <is>
          <t>Continua</t>
        </is>
      </c>
      <c r="D34" s="325" t="n">
        <v>1146.6</v>
      </c>
      <c r="E34" s="307" t="n"/>
      <c r="F34" s="325" t="n">
        <v>2808.5967</v>
      </c>
      <c r="G34" s="325" t="n">
        <v>2808.5967</v>
      </c>
      <c r="H34" s="325" t="n">
        <v>1486.3181657688</v>
      </c>
      <c r="I34" s="325" t="n">
        <v>2080.803816</v>
      </c>
      <c r="J34" s="307" t="n">
        <v>20</v>
      </c>
      <c r="K34" s="307" t="n">
        <v>31</v>
      </c>
      <c r="L34" s="307" t="n">
        <v>35</v>
      </c>
      <c r="M34" s="306" t="n">
        <v>2.046</v>
      </c>
      <c r="N34" s="307" t="n">
        <v>2</v>
      </c>
      <c r="O34" s="307" t="n">
        <v>12</v>
      </c>
      <c r="P34" s="306" t="n">
        <v>2.046</v>
      </c>
      <c r="Q34" s="307" t="n">
        <v>2</v>
      </c>
      <c r="R34" s="307" t="n">
        <v>12</v>
      </c>
      <c r="S34" s="306" t="n">
        <v>5.3294055028463</v>
      </c>
      <c r="T34" s="306" t="n">
        <v>5.3294055028463</v>
      </c>
      <c r="U34" s="307" t="n">
        <v>6</v>
      </c>
      <c r="V34" s="307" t="n">
        <v>15</v>
      </c>
      <c r="W34" s="307" t="inlineStr">
        <is>
          <t>VERIFICA</t>
        </is>
      </c>
      <c r="X34" s="309" t="inlineStr">
        <is>
          <t>Longitud total 4.82 m. La luz de calculo es la mayor entre pilotes, deducida de la posicion de los pilotes dibujados en el plano.</t>
        </is>
      </c>
      <c r="Y34" s="307" t="n">
        <v>3.15</v>
      </c>
      <c r="Z34" s="307" t="n">
        <v>4</v>
      </c>
    </row>
  </sheetData>
  <mergeCells count="14">
    <mergeCell ref="C2:E2"/>
    <mergeCell ref="F2:G2"/>
    <mergeCell ref="J2:L2"/>
    <mergeCell ref="A1:Z1"/>
    <mergeCell ref="P2:R2"/>
    <mergeCell ref="S2:U2"/>
    <mergeCell ref="Y2:Z2"/>
    <mergeCell ref="I2:I3"/>
    <mergeCell ref="B2:B3"/>
    <mergeCell ref="A2:A3"/>
    <mergeCell ref="X2:X3"/>
    <mergeCell ref="M2:O2"/>
    <mergeCell ref="H2:H3"/>
    <mergeCell ref="W2:W3"/>
  </mergeCells>
  <conditionalFormatting sqref="W4:W34">
    <cfRule type="cellIs" rank="0" priority="2" equalAverage="0" operator="equal" aboveAverage="0" dxfId="0" text="" percent="0" bottom="0">
      <formula>"VERIFICA"</formula>
    </cfRule>
    <cfRule type="cellIs" rank="0" priority="3" equalAverage="0" operator="equal" aboveAverage="0" dxfId="1" text="" percent="0" bottom="0">
      <formula>"NO VERIFICA FLEX."</formula>
    </cfRule>
    <cfRule type="cellIs" rank="0" priority="4" equalAverage="0" operator="equal" aboveAverage="0" dxfId="1" text="" percent="0" bottom="0">
      <formula>"NO VERIF. CORTE"</formula>
    </cfRule>
    <cfRule type="cellIs" rank="0" priority="5" equalAverage="0" operator="equal" aboveAverage="0" dxfId="1" text="" percent="0" bottom="0">
      <formula>"SECCION INSUF."</formula>
    </cfRule>
    <cfRule type="cellIs" rank="0" priority="6" equalAverage="0" operator="equal" aboveAverage="0" dxfId="1" text="" percent="0" bottom="0">
      <formula>"FALTA SECCION"</formula>
    </cfRule>
  </conditionalFormatting>
  <dataValidations count="2">
    <dataValidation sqref="C4:C34" showDropDown="0" showInputMessage="0" showErrorMessage="0" allowBlank="1" type="list">
      <formula1>"Simplemente apoyada,Continua,Empotrada-apoyada,Biempotrada,Voladizo"</formula1>
    </dataValidation>
    <dataValidation sqref="O4:O34 R4:R34 U4:U34" showDropDown="0" showInputMessage="0" showErrorMessage="0" allowBlank="1" type="list">
      <formula1>"6,8,10,12,16,20,25"</formula1>
    </dataValidation>
  </dataValidations>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O14"/>
  <sheetViews>
    <sheetView showGridLines="0" workbookViewId="0">
      <pane xSplit="3" ySplit="3" topLeftCell="D4" activePane="bottomRight" state="frozen"/>
      <selection pane="topRight"/>
      <selection pane="bottomLeft"/>
      <selection pane="bottomRight" activeCell="A1" sqref="A1"/>
    </sheetView>
  </sheetViews>
  <sheetFormatPr baseColWidth="8" defaultColWidth="8.54296875" defaultRowHeight="15" customHeight="0" zeroHeight="0" outlineLevelRow="0"/>
  <cols>
    <col width="7.66" customWidth="1" style="140" min="1" max="1"/>
    <col width="10.2" customWidth="1" style="140" min="2" max="2"/>
    <col width="7.66" customWidth="1" style="140" min="3" max="3"/>
    <col width="7.66" customWidth="1" style="140" min="4" max="4"/>
    <col width="7.66" customWidth="1" style="140" min="5" max="5"/>
    <col width="7.66" customWidth="1" style="140" min="6" max="6"/>
    <col width="7.66" customWidth="1" style="140" min="7" max="7"/>
    <col width="7.66" customWidth="1" style="140" min="8" max="8"/>
    <col width="7.66" customWidth="1" style="140" min="9" max="9"/>
    <col width="7.66" customWidth="1" style="140" min="10" max="10"/>
    <col width="7.66" customWidth="1" style="140" min="11" max="11"/>
    <col width="7.66" customWidth="1" style="140" min="12" max="12"/>
    <col width="7.66" customWidth="1" style="140" min="13" max="13"/>
    <col width="18.9" customWidth="1" style="140" min="14" max="14"/>
    <col width="59.39" customWidth="1" style="140" min="15" max="15"/>
  </cols>
  <sheetData>
    <row r="1" ht="39" customHeight="1" s="140">
      <c r="A1" s="323" t="inlineStr">
        <is>
          <t>PILOTES Y CABEZALES  H°A°        H-21        ACERO 42/50        TODOS LOS PILOTES Ø30  h = -4,50 m</t>
        </is>
      </c>
    </row>
    <row r="2" ht="31.2" customHeight="1" s="140">
      <c r="A2" s="301" t="inlineStr">
        <is>
          <t>POSICION</t>
        </is>
      </c>
      <c r="B2" s="301" t="inlineStr">
        <is>
          <t>COLUMNA</t>
        </is>
      </c>
      <c r="C2" s="301" t="inlineStr">
        <is>
          <t>TIPO</t>
        </is>
      </c>
      <c r="D2" s="301" t="inlineStr">
        <is>
          <t>CABEZAL (cm)</t>
        </is>
      </c>
      <c r="E2" s="214" t="n"/>
      <c r="F2" s="232" t="n"/>
      <c r="G2" s="301" t="inlineStr">
        <is>
          <t>CARGA</t>
        </is>
      </c>
      <c r="H2" s="232" t="n"/>
      <c r="I2" s="301" t="inlineStr">
        <is>
          <t>PILOTES</t>
        </is>
      </c>
      <c r="J2" s="214" t="n"/>
      <c r="K2" s="214" t="n"/>
      <c r="L2" s="214" t="n"/>
      <c r="M2" s="232" t="n"/>
      <c r="N2" s="301" t="inlineStr">
        <is>
          <t>VERIFICACION</t>
        </is>
      </c>
      <c r="O2" s="301" t="inlineStr">
        <is>
          <t>OBSERVACIONES</t>
        </is>
      </c>
    </row>
    <row r="3" ht="31.2" customHeight="1" s="140">
      <c r="A3" s="302" t="n"/>
      <c r="B3" s="302" t="n"/>
      <c r="C3" s="302" t="n"/>
      <c r="D3" s="303" t="inlineStr">
        <is>
          <t>A</t>
        </is>
      </c>
      <c r="E3" s="303" t="inlineStr">
        <is>
          <t>B</t>
        </is>
      </c>
      <c r="F3" s="303" t="inlineStr">
        <is>
          <t>h</t>
        </is>
      </c>
      <c r="G3" s="303" t="inlineStr">
        <is>
          <t>mayorada (t)</t>
        </is>
      </c>
      <c r="H3" s="303" t="inlineStr">
        <is>
          <t>servicio (t)</t>
        </is>
      </c>
      <c r="I3" s="303" t="inlineStr">
        <is>
          <t>cantidad</t>
        </is>
      </c>
      <c r="J3" s="303" t="inlineStr">
        <is>
          <t>o (cm)</t>
        </is>
      </c>
      <c r="K3" s="303" t="inlineStr">
        <is>
          <t>long. (m)</t>
        </is>
      </c>
      <c r="L3" s="303" t="inlineStr">
        <is>
          <t>carga c/u (t)</t>
        </is>
      </c>
      <c r="M3" s="303" t="inlineStr">
        <is>
          <t>admisible (t)</t>
        </is>
      </c>
      <c r="N3" s="302" t="n"/>
      <c r="O3" s="302" t="n"/>
    </row>
    <row r="4" ht="31.2" customHeight="1" s="140">
      <c r="A4" s="316" t="inlineStr">
        <is>
          <t>CB1</t>
        </is>
      </c>
      <c r="B4" s="307" t="inlineStr">
        <is>
          <t>C1 (15x30)</t>
        </is>
      </c>
      <c r="C4" s="307" t="inlineStr">
        <is>
          <t>CBZ 01</t>
        </is>
      </c>
      <c r="D4" s="307" t="n">
        <v>70</v>
      </c>
      <c r="E4" s="307" t="n">
        <v>70</v>
      </c>
      <c r="F4" s="307" t="n">
        <v>65</v>
      </c>
      <c r="G4" s="306" t="n">
        <v>2.49</v>
      </c>
      <c r="H4" s="306" t="n">
        <v>1.77857142857143</v>
      </c>
      <c r="I4" s="307" t="n">
        <v>1</v>
      </c>
      <c r="J4" s="307" t="n">
        <v>30</v>
      </c>
      <c r="K4" s="306" t="n">
        <v>4.5</v>
      </c>
      <c r="L4" s="306" t="n">
        <v>1.77857142857143</v>
      </c>
      <c r="M4" s="306" t="n">
        <v>22</v>
      </c>
      <c r="N4" s="307" t="inlineStr">
        <is>
          <t>VERIFICA</t>
        </is>
      </c>
      <c r="O4" s="309" t="inlineStr">
        <is>
          <t>Cantidad de pilotes deducida de la dimension del cabezal: 70x70 cm. Carga tomada de la bajada de la planilla de columnas, que esta incompleta: el valor real es mayor.</t>
        </is>
      </c>
    </row>
    <row r="5" ht="31.2" customHeight="1" s="140">
      <c r="A5" s="316" t="inlineStr">
        <is>
          <t>CB2</t>
        </is>
      </c>
      <c r="B5" s="307" t="inlineStr">
        <is>
          <t>C2 (15x30)</t>
        </is>
      </c>
      <c r="C5" s="307" t="inlineStr">
        <is>
          <t>CBZ 01</t>
        </is>
      </c>
      <c r="D5" s="307" t="n">
        <v>70</v>
      </c>
      <c r="E5" s="307" t="n">
        <v>70</v>
      </c>
      <c r="F5" s="307" t="n">
        <v>65</v>
      </c>
      <c r="G5" s="306" t="n">
        <v>29.46</v>
      </c>
      <c r="H5" s="306" t="n">
        <v>21.0428571428571</v>
      </c>
      <c r="I5" s="307" t="n">
        <v>1</v>
      </c>
      <c r="J5" s="307" t="n">
        <v>30</v>
      </c>
      <c r="K5" s="306" t="n">
        <v>4.5</v>
      </c>
      <c r="L5" s="306" t="n">
        <v>21.0428571428571</v>
      </c>
      <c r="M5" s="306" t="n">
        <v>22</v>
      </c>
      <c r="N5" s="307" t="inlineStr">
        <is>
          <t>VERIFICA</t>
        </is>
      </c>
      <c r="O5" s="309" t="inlineStr">
        <is>
          <t>Cantidad de pilotes deducida de la dimension del cabezal: 70x70 cm. Carga tomada de la bajada de la planilla de columnas, que esta incompleta: el valor real es mayor.</t>
        </is>
      </c>
    </row>
    <row r="6" ht="31.2" customHeight="1" s="140">
      <c r="A6" s="316" t="inlineStr">
        <is>
          <t>CB3</t>
        </is>
      </c>
      <c r="B6" s="307" t="inlineStr">
        <is>
          <t>C5 (15x30)</t>
        </is>
      </c>
      <c r="C6" s="307" t="inlineStr">
        <is>
          <t>CBZ 01</t>
        </is>
      </c>
      <c r="D6" s="307" t="n">
        <v>70</v>
      </c>
      <c r="E6" s="307" t="n">
        <v>70</v>
      </c>
      <c r="F6" s="307" t="n">
        <v>65</v>
      </c>
      <c r="G6" s="306" t="n">
        <v>15.96</v>
      </c>
      <c r="H6" s="306" t="n">
        <v>11.4</v>
      </c>
      <c r="I6" s="307" t="n">
        <v>1</v>
      </c>
      <c r="J6" s="307" t="n">
        <v>30</v>
      </c>
      <c r="K6" s="306" t="n">
        <v>4.5</v>
      </c>
      <c r="L6" s="306" t="n">
        <v>11.4</v>
      </c>
      <c r="M6" s="306" t="n">
        <v>22</v>
      </c>
      <c r="N6" s="307" t="inlineStr">
        <is>
          <t>VERIFICA</t>
        </is>
      </c>
      <c r="O6" s="309" t="inlineStr">
        <is>
          <t>Cantidad de pilotes deducida de la dimension del cabezal: 70x70 cm. Carga tomada de la bajada de la planilla de columnas, que esta incompleta: el valor real es mayor.</t>
        </is>
      </c>
    </row>
    <row r="7" ht="31.2" customHeight="1" s="140">
      <c r="A7" s="316" t="inlineStr">
        <is>
          <t>CB4</t>
        </is>
      </c>
      <c r="B7" s="307" t="inlineStr">
        <is>
          <t>C3 (30x15)</t>
        </is>
      </c>
      <c r="C7" s="307" t="inlineStr">
        <is>
          <t>CBZ 01</t>
        </is>
      </c>
      <c r="D7" s="307" t="n">
        <v>70</v>
      </c>
      <c r="E7" s="307" t="n">
        <v>70</v>
      </c>
      <c r="F7" s="307" t="n">
        <v>65</v>
      </c>
      <c r="G7" s="306" t="n">
        <v>10.6</v>
      </c>
      <c r="H7" s="306" t="n">
        <v>7.57142857142857</v>
      </c>
      <c r="I7" s="307" t="n">
        <v>1</v>
      </c>
      <c r="J7" s="307" t="n">
        <v>30</v>
      </c>
      <c r="K7" s="306" t="n">
        <v>4.5</v>
      </c>
      <c r="L7" s="306" t="n">
        <v>7.57142857142857</v>
      </c>
      <c r="M7" s="306" t="n">
        <v>22</v>
      </c>
      <c r="N7" s="307" t="inlineStr">
        <is>
          <t>VERIFICA</t>
        </is>
      </c>
      <c r="O7" s="309" t="inlineStr">
        <is>
          <t>Cantidad de pilotes deducida de la dimension del cabezal: 70x70 cm. Carga tomada de la bajada de la planilla de columnas, que esta incompleta: el valor real es mayor.</t>
        </is>
      </c>
    </row>
    <row r="8" ht="31.2" customHeight="1" s="140">
      <c r="A8" s="316" t="inlineStr">
        <is>
          <t>CB5</t>
        </is>
      </c>
      <c r="B8" s="307" t="inlineStr">
        <is>
          <t>C4 (10x10)</t>
        </is>
      </c>
      <c r="C8" s="307" t="inlineStr">
        <is>
          <t>CBZ 01</t>
        </is>
      </c>
      <c r="D8" s="307" t="n">
        <v>70</v>
      </c>
      <c r="E8" s="307" t="n">
        <v>70</v>
      </c>
      <c r="F8" s="307" t="n">
        <v>65</v>
      </c>
      <c r="G8" s="306" t="n">
        <v>10.28</v>
      </c>
      <c r="H8" s="306" t="n">
        <v>7.34285714285714</v>
      </c>
      <c r="I8" s="307" t="n">
        <v>1</v>
      </c>
      <c r="J8" s="307" t="n">
        <v>30</v>
      </c>
      <c r="K8" s="306" t="n">
        <v>4.5</v>
      </c>
      <c r="L8" s="306" t="n">
        <v>7.34285714285714</v>
      </c>
      <c r="M8" s="306" t="n">
        <v>22</v>
      </c>
      <c r="N8" s="307" t="inlineStr">
        <is>
          <t>VERIFICA</t>
        </is>
      </c>
      <c r="O8" s="309" t="inlineStr">
        <is>
          <t>Cantidad de pilotes deducida de la dimension del cabezal: 70x70 cm. Carga tomada de la bajada de la planilla de columnas, que esta incompleta: el valor real es mayor.</t>
        </is>
      </c>
    </row>
    <row r="9" ht="31.2" customHeight="1" s="140">
      <c r="A9" s="316" t="inlineStr">
        <is>
          <t>CB6</t>
        </is>
      </c>
      <c r="B9" s="307" t="inlineStr">
        <is>
          <t>C6 (20x20)</t>
        </is>
      </c>
      <c r="C9" s="307" t="inlineStr">
        <is>
          <t>CBZ 03</t>
        </is>
      </c>
      <c r="D9" s="307" t="n">
        <v>144</v>
      </c>
      <c r="E9" s="307" t="n">
        <v>70</v>
      </c>
      <c r="F9" s="307" t="n">
        <v>70</v>
      </c>
      <c r="G9" s="306" t="n">
        <v>32.1</v>
      </c>
      <c r="H9" s="306" t="n">
        <v>22.9285714285714</v>
      </c>
      <c r="I9" s="307" t="n">
        <v>3</v>
      </c>
      <c r="J9" s="307" t="n">
        <v>30</v>
      </c>
      <c r="K9" s="306" t="n">
        <v>4.5</v>
      </c>
      <c r="L9" s="306" t="n">
        <v>7.64285714285714</v>
      </c>
      <c r="M9" s="306" t="n">
        <v>22</v>
      </c>
      <c r="N9" s="307" t="inlineStr">
        <is>
          <t>VERIFICA</t>
        </is>
      </c>
      <c r="O9" s="309" t="inlineStr">
        <is>
          <t>Cantidad de pilotes deducida de la dimension del cabezal: 144x70 cm. Tres pilotes, no dos: la planilla de armadura declara 8 pilotes bajo cabezales de 70 cm, que son un CBZ02 y dos CBZ03. Carga tomada de la bajada de la planilla de columnas, que esta incompleta: el valor real es mayor.</t>
        </is>
      </c>
    </row>
    <row r="10" ht="31.2" customHeight="1" s="140">
      <c r="A10" s="316" t="inlineStr">
        <is>
          <t>CB7</t>
        </is>
      </c>
      <c r="B10" s="307" t="inlineStr">
        <is>
          <t>C7 (30x15)</t>
        </is>
      </c>
      <c r="C10" s="307" t="inlineStr">
        <is>
          <t>CBZ 02</t>
        </is>
      </c>
      <c r="D10" s="307" t="n">
        <v>129</v>
      </c>
      <c r="E10" s="307" t="n">
        <v>70</v>
      </c>
      <c r="F10" s="307" t="n">
        <v>70</v>
      </c>
      <c r="G10" s="306" t="n">
        <v>37.78</v>
      </c>
      <c r="H10" s="306" t="n">
        <v>26.9857142857143</v>
      </c>
      <c r="I10" s="307" t="n">
        <v>2</v>
      </c>
      <c r="J10" s="307" t="n">
        <v>30</v>
      </c>
      <c r="K10" s="306" t="n">
        <v>4.5</v>
      </c>
      <c r="L10" s="306" t="n">
        <v>13.4928571428571</v>
      </c>
      <c r="M10" s="306" t="n">
        <v>22</v>
      </c>
      <c r="N10" s="307" t="inlineStr">
        <is>
          <t>VERIFICA</t>
        </is>
      </c>
      <c r="O10" s="309" t="inlineStr">
        <is>
          <t>Cantidad de pilotes deducida de la dimension del cabezal: 129x70 cm. El computo metrico declara un solo CBZ02 y en el plano aparecen dos rotulos. Verificar cual corresponde. Carga tomada de la bajada de la planilla de columnas, que esta incompleta: el valor real es mayor.</t>
        </is>
      </c>
    </row>
    <row r="11" ht="31.2" customHeight="1" s="140">
      <c r="A11" s="316" t="inlineStr">
        <is>
          <t>CB8</t>
        </is>
      </c>
      <c r="B11" s="307" t="inlineStr">
        <is>
          <t>C9 (15x30)</t>
        </is>
      </c>
      <c r="C11" s="307" t="inlineStr">
        <is>
          <t>CBZ 03</t>
        </is>
      </c>
      <c r="D11" s="307" t="n">
        <v>144</v>
      </c>
      <c r="E11" s="307" t="n">
        <v>70</v>
      </c>
      <c r="F11" s="307" t="n">
        <v>70</v>
      </c>
      <c r="G11" s="306" t="n">
        <v>54.93</v>
      </c>
      <c r="H11" s="306" t="n">
        <v>39.2357142857143</v>
      </c>
      <c r="I11" s="307" t="n">
        <v>3</v>
      </c>
      <c r="J11" s="307" t="n">
        <v>30</v>
      </c>
      <c r="K11" s="306" t="n">
        <v>4.5</v>
      </c>
      <c r="L11" s="306" t="n">
        <v>13.0785714285714</v>
      </c>
      <c r="M11" s="306" t="n">
        <v>22</v>
      </c>
      <c r="N11" s="307" t="inlineStr">
        <is>
          <t>VERIFICA</t>
        </is>
      </c>
      <c r="O11" s="309" t="inlineStr">
        <is>
          <t>Cantidad de pilotes deducida de la dimension del cabezal: 144x70 cm. Tres pilotes, no dos: la planilla de armadura declara 8 pilotes bajo cabezales de 70 cm, que son un CBZ02 y dos CBZ03. Carga tomada de la bajada de la planilla de columnas, que esta incompleta: el valor real es mayor.</t>
        </is>
      </c>
    </row>
    <row r="12" ht="31.2" customHeight="1" s="140">
      <c r="A12" s="316" t="inlineStr">
        <is>
          <t>CB9</t>
        </is>
      </c>
      <c r="B12" s="307" t="inlineStr">
        <is>
          <t>C8 (15x30)</t>
        </is>
      </c>
      <c r="C12" s="307" t="inlineStr">
        <is>
          <t>CBZ 02</t>
        </is>
      </c>
      <c r="D12" s="307" t="n">
        <v>129</v>
      </c>
      <c r="E12" s="307" t="n">
        <v>70</v>
      </c>
      <c r="F12" s="307" t="n">
        <v>70</v>
      </c>
      <c r="G12" s="306" t="n">
        <v>42.67</v>
      </c>
      <c r="H12" s="306" t="n">
        <v>30.4785714285714</v>
      </c>
      <c r="I12" s="307" t="n">
        <v>2</v>
      </c>
      <c r="J12" s="307" t="n">
        <v>30</v>
      </c>
      <c r="K12" s="306" t="n">
        <v>4.5</v>
      </c>
      <c r="L12" s="306" t="n">
        <v>15.2392857142857</v>
      </c>
      <c r="M12" s="306" t="n">
        <v>22</v>
      </c>
      <c r="N12" s="307" t="inlineStr">
        <is>
          <t>VERIFICA</t>
        </is>
      </c>
      <c r="O12" s="309" t="inlineStr">
        <is>
          <t>Cantidad de pilotes deducida de la dimension del cabezal: 129x70 cm. El computo metrico declara un solo CBZ02 y en el plano aparecen dos rotulos. Verificar cual corresponde. Carga tomada de la bajada de la planilla de columnas, que esta incompleta: el valor real es mayor.</t>
        </is>
      </c>
    </row>
    <row r="13" ht="15" customHeight="1" s="140">
      <c r="A13" s="320" t="n"/>
      <c r="B13" s="320" t="n"/>
      <c r="C13" s="320" t="n"/>
      <c r="D13" s="320" t="n"/>
      <c r="E13" s="320" t="n"/>
      <c r="F13" s="320" t="n"/>
      <c r="G13" s="320" t="n"/>
      <c r="H13" s="320" t="n"/>
      <c r="I13" s="320" t="n"/>
      <c r="J13" s="320" t="n"/>
      <c r="K13" s="320" t="n"/>
      <c r="L13" s="320" t="n"/>
      <c r="M13" s="320" t="n"/>
      <c r="N13" s="320" t="n"/>
      <c r="O13" s="320" t="n"/>
    </row>
    <row r="14" ht="39" customHeight="1" s="140">
      <c r="A14" s="321" t="inlineStr">
        <is>
          <t>Los 33 pilotes del plano: 13 bajo cabezales de columna (los de esta tabla) y 20 repartidos bajo las vigas de fundacion.</t>
        </is>
      </c>
      <c r="B14" s="320" t="n"/>
      <c r="C14" s="320" t="n"/>
      <c r="D14" s="320" t="n"/>
      <c r="E14" s="320" t="n"/>
      <c r="F14" s="320" t="n"/>
      <c r="G14" s="320" t="n"/>
      <c r="H14" s="320" t="n"/>
      <c r="I14" s="320" t="n"/>
      <c r="J14" s="320" t="n"/>
      <c r="K14" s="320" t="n"/>
      <c r="L14" s="320" t="n"/>
      <c r="M14" s="320" t="n"/>
      <c r="N14" s="320" t="n"/>
      <c r="O14" s="320" t="n"/>
    </row>
  </sheetData>
  <mergeCells count="9">
    <mergeCell ref="D2:F2"/>
    <mergeCell ref="G2:H2"/>
    <mergeCell ref="I2:M2"/>
    <mergeCell ref="A1:O1"/>
    <mergeCell ref="O2:O3"/>
    <mergeCell ref="B2:B3"/>
    <mergeCell ref="A2:A3"/>
    <mergeCell ref="N2:N3"/>
    <mergeCell ref="C2:C3"/>
  </mergeCells>
  <conditionalFormatting sqref="N4:N12">
    <cfRule type="cellIs" rank="0" priority="2" equalAverage="0" operator="equal" aboveAverage="0" dxfId="0" text="" percent="0" bottom="0">
      <formula>"VERIFICA"</formula>
    </cfRule>
    <cfRule type="cellIs" rank="0" priority="3" equalAverage="0" operator="equal" aboveAverage="0" dxfId="1" text="" percent="0" bottom="0">
      <formula>"NO VERIFICA"</formula>
    </cfRule>
    <cfRule type="cellIs" rank="0" priority="4" equalAverage="0" operator="equal" aboveAverage="0" dxfId="1" text="" percent="0" bottom="0">
      <formula>"FALTA CARGA"</formula>
    </cfRule>
  </conditionalFormatting>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fitToPage="1"/>
  </sheetPr>
  <dimension ref="A1:Q24"/>
  <sheetViews>
    <sheetView showGridLines="0" workbookViewId="0">
      <pane xSplit="2" ySplit="10" topLeftCell="C11" activePane="bottomRight" state="frozen"/>
      <selection pane="topRight"/>
      <selection pane="bottomLeft"/>
      <selection pane="bottomRight" activeCell="A1" sqref="A1"/>
    </sheetView>
  </sheetViews>
  <sheetFormatPr baseColWidth="8" defaultColWidth="8.54296875" defaultRowHeight="15" customHeight="0" zeroHeight="0" outlineLevelRow="0"/>
  <cols>
    <col width="7.66" customWidth="1" style="140" min="1" max="1"/>
    <col width="7.66" customWidth="1" style="140" min="2" max="2"/>
    <col width="7.66" customWidth="1" style="140" min="3" max="3"/>
    <col width="7.66" customWidth="1" style="140" min="4" max="4"/>
    <col width="7.66" customWidth="1" style="140" min="5" max="5"/>
    <col width="7.66" customWidth="1" style="140" min="6" max="6"/>
    <col width="7.66" customWidth="1" style="140" min="7" max="7"/>
    <col width="7.66" customWidth="1" style="140" min="8" max="8"/>
    <col width="9.19" customWidth="1" style="140" min="9" max="9"/>
    <col width="7.66" customWidth="1" style="140" min="10" max="10"/>
    <col width="7.66" customWidth="1" style="140" min="11" max="11"/>
    <col width="9.19" customWidth="1" style="140" min="12" max="12"/>
    <col width="13.5" customWidth="1" style="140" min="13" max="13"/>
    <col width="16.2" customWidth="1" style="140" min="14" max="14"/>
    <col width="13.5" customWidth="1" style="140" min="15" max="15"/>
    <col width="17.61" customWidth="1" style="140" min="16" max="16"/>
    <col width="59.39" customWidth="1" style="140" min="17" max="17"/>
  </cols>
  <sheetData>
    <row r="1" ht="39" customHeight="1" s="140">
      <c r="A1" s="300" t="inlineStr">
        <is>
          <t>TABIQUES  H°A°        H-21        ACERO III        espesor 12 cm</t>
        </is>
      </c>
    </row>
    <row r="2" ht="31.2" customHeight="1" s="140">
      <c r="A2" s="301" t="inlineStr">
        <is>
          <t>NIVEL</t>
        </is>
      </c>
      <c r="B2" s="301" t="inlineStr">
        <is>
          <t>POSICION</t>
        </is>
      </c>
      <c r="C2" s="301" t="inlineStr">
        <is>
          <t>CARGA (t)</t>
        </is>
      </c>
      <c r="D2" s="301" t="inlineStr">
        <is>
          <t>ALTURA (m)</t>
        </is>
      </c>
      <c r="E2" s="301" t="inlineStr">
        <is>
          <t>DIMENSIONES (cm)</t>
        </is>
      </c>
      <c r="F2" s="232" t="n"/>
      <c r="G2" s="301" t="inlineStr">
        <is>
          <t>ARMADURA VERTICAL</t>
        </is>
      </c>
      <c r="H2" s="214" t="n"/>
      <c r="I2" s="232" t="n"/>
      <c r="J2" s="301" t="inlineStr">
        <is>
          <t>ARMADURA HORIZONTAL</t>
        </is>
      </c>
      <c r="K2" s="214" t="n"/>
      <c r="L2" s="232" t="n"/>
      <c r="M2" s="301" t="inlineStr">
        <is>
          <t>VERIFICACIÓN</t>
        </is>
      </c>
      <c r="N2" s="214" t="n"/>
      <c r="O2" s="214" t="n"/>
      <c r="P2" s="232" t="n"/>
      <c r="Q2" s="301" t="inlineStr">
        <is>
          <t>OBSERVACIONES</t>
        </is>
      </c>
    </row>
    <row r="3" ht="31.2" customHeight="1" s="140">
      <c r="A3" s="302" t="n"/>
      <c r="B3" s="302" t="n"/>
      <c r="C3" s="302" t="n"/>
      <c r="D3" s="302" t="n"/>
      <c r="E3" s="303" t="inlineStr">
        <is>
          <t>A</t>
        </is>
      </c>
      <c r="F3" s="303" t="inlineStr">
        <is>
          <t>B</t>
        </is>
      </c>
      <c r="G3" s="303" t="inlineStr">
        <is>
          <t>cm2</t>
        </is>
      </c>
      <c r="H3" s="303" t="inlineStr">
        <is>
          <t>o</t>
        </is>
      </c>
      <c r="I3" s="303" t="inlineStr">
        <is>
          <t>separación</t>
        </is>
      </c>
      <c r="J3" s="303" t="inlineStr">
        <is>
          <t>cm2</t>
        </is>
      </c>
      <c r="K3" s="303" t="inlineStr">
        <is>
          <t>o</t>
        </is>
      </c>
      <c r="L3" s="303" t="inlineStr">
        <is>
          <t>separación</t>
        </is>
      </c>
      <c r="M3" s="303" t="inlineStr">
        <is>
          <t>area (cm2)</t>
        </is>
      </c>
      <c r="N3" s="303" t="inlineStr">
        <is>
          <t>sigma (kg/cm2)</t>
        </is>
      </c>
      <c r="O3" s="303" t="inlineStr">
        <is>
          <t>fi Pn (t)</t>
        </is>
      </c>
      <c r="P3" s="303" t="inlineStr">
        <is>
          <t>resultado</t>
        </is>
      </c>
      <c r="Q3" s="302" t="n"/>
    </row>
    <row r="4" ht="31.2" customHeight="1" s="140">
      <c r="A4" s="324" t="inlineStr">
        <is>
          <t>PB</t>
        </is>
      </c>
      <c r="B4" s="316" t="inlineStr">
        <is>
          <t>T1</t>
        </is>
      </c>
      <c r="C4" s="306" t="n">
        <v>18.74</v>
      </c>
      <c r="D4" s="306" t="n">
        <v>3.15</v>
      </c>
      <c r="E4" s="307" t="n">
        <v>365</v>
      </c>
      <c r="F4" s="307" t="n">
        <v>87</v>
      </c>
      <c r="G4" s="306" t="n">
        <v>5.02654824574367</v>
      </c>
      <c r="H4" s="307" t="n">
        <v>8</v>
      </c>
      <c r="I4" s="307" t="n">
        <v>20</v>
      </c>
      <c r="J4" s="306" t="n">
        <v>2.51327412287184</v>
      </c>
      <c r="K4" s="307" t="n">
        <v>8</v>
      </c>
      <c r="L4" s="307" t="n">
        <v>20</v>
      </c>
      <c r="M4" s="325" t="n">
        <v>5280</v>
      </c>
      <c r="N4" s="306" t="n">
        <v>3.54924242424242</v>
      </c>
      <c r="O4" s="306" t="n">
        <v>129.656137939453</v>
      </c>
      <c r="P4" s="307" t="inlineStr">
        <is>
          <t>VERIFICA</t>
        </is>
      </c>
      <c r="Q4" s="309" t="inlineStr">
        <is>
          <t>9,00 t de la planilla de la catedra mas las reacciones de VI 01a (6,16 t) y VI 07a (3,58 t), que apoyan aqui. Se suman por la misma razon que en T6.</t>
        </is>
      </c>
    </row>
    <row r="5" ht="31.2" customHeight="1" s="140">
      <c r="A5" s="280" t="n"/>
      <c r="B5" s="316" t="inlineStr">
        <is>
          <t>T2</t>
        </is>
      </c>
      <c r="C5" s="306" t="n">
        <v>8.5</v>
      </c>
      <c r="D5" s="306" t="n">
        <v>3.15</v>
      </c>
      <c r="E5" s="307" t="n">
        <v>420</v>
      </c>
      <c r="F5" s="307" t="n">
        <v>85</v>
      </c>
      <c r="G5" s="306" t="n">
        <v>5.02654824574367</v>
      </c>
      <c r="H5" s="307" t="n">
        <v>8</v>
      </c>
      <c r="I5" s="307" t="n">
        <v>20</v>
      </c>
      <c r="J5" s="306" t="n">
        <v>2.51327412287184</v>
      </c>
      <c r="K5" s="307" t="n">
        <v>8</v>
      </c>
      <c r="L5" s="307" t="n">
        <v>20</v>
      </c>
      <c r="M5" s="325" t="n">
        <v>5916</v>
      </c>
      <c r="N5" s="306" t="n">
        <v>1.4367816091954</v>
      </c>
      <c r="O5" s="306" t="n">
        <v>145.273809100342</v>
      </c>
      <c r="P5" s="307" t="inlineStr">
        <is>
          <t>VERIFICA</t>
        </is>
      </c>
      <c r="Q5" s="309" t="inlineStr">
        <is>
          <t>6,00 t de la planilla de la catedra mas la reaccion de VI 01b (2,5 t), que apoya aqui y en la COL 01 de 10x10. Se suman por la misma razon que en T6.</t>
        </is>
      </c>
    </row>
    <row r="6" ht="31.2" customHeight="1" s="140">
      <c r="A6" s="280" t="n"/>
      <c r="B6" s="316" t="inlineStr">
        <is>
          <t>T3</t>
        </is>
      </c>
      <c r="C6" s="306" t="n">
        <v>5</v>
      </c>
      <c r="D6" s="306" t="n">
        <v>3.15</v>
      </c>
      <c r="E6" s="307" t="n">
        <v>80</v>
      </c>
      <c r="F6" s="307" t="n">
        <v>12</v>
      </c>
      <c r="G6" s="306" t="n">
        <v>5.02654824574367</v>
      </c>
      <c r="H6" s="307" t="n">
        <v>8</v>
      </c>
      <c r="I6" s="307" t="n">
        <v>20</v>
      </c>
      <c r="J6" s="306" t="n">
        <v>2.51327412287184</v>
      </c>
      <c r="K6" s="307" t="n">
        <v>8</v>
      </c>
      <c r="L6" s="307" t="n">
        <v>20</v>
      </c>
      <c r="M6" s="325" t="n">
        <v>960</v>
      </c>
      <c r="N6" s="306" t="n">
        <v>5.20833333333333</v>
      </c>
      <c r="O6" s="306" t="n">
        <v>23.5738432617188</v>
      </c>
      <c r="P6" s="307" t="inlineStr">
        <is>
          <t>VERIFICA</t>
        </is>
      </c>
      <c r="Q6" s="309" t="inlineStr">
        <is>
          <t>Tabique recto: B = 12 cm es el espesor.</t>
        </is>
      </c>
    </row>
    <row r="7" ht="31.2" customHeight="1" s="140">
      <c r="A7" s="280" t="n"/>
      <c r="B7" s="316" t="inlineStr">
        <is>
          <t>T4</t>
        </is>
      </c>
      <c r="C7" s="306" t="n">
        <v>12.52</v>
      </c>
      <c r="D7" s="306" t="n">
        <v>3.15</v>
      </c>
      <c r="E7" s="307" t="n">
        <v>355</v>
      </c>
      <c r="F7" s="307" t="n">
        <v>12</v>
      </c>
      <c r="G7" s="306" t="n">
        <v>5.02654824574367</v>
      </c>
      <c r="H7" s="307" t="n">
        <v>8</v>
      </c>
      <c r="I7" s="307" t="n">
        <v>20</v>
      </c>
      <c r="J7" s="306" t="n">
        <v>2.51327412287184</v>
      </c>
      <c r="K7" s="307" t="n">
        <v>8</v>
      </c>
      <c r="L7" s="307" t="n">
        <v>20</v>
      </c>
      <c r="M7" s="325" t="n">
        <v>4260</v>
      </c>
      <c r="N7" s="306" t="n">
        <v>2.93896713615023</v>
      </c>
      <c r="O7" s="306" t="n">
        <v>104.608929473877</v>
      </c>
      <c r="P7" s="307" t="inlineStr">
        <is>
          <t>VERIFICA</t>
        </is>
      </c>
      <c r="Q7" s="309" t="inlineStr">
        <is>
          <t>Tabique recto: B = 12 cm es el espesor. 5,00 t de la planilla de la catedra mas la reaccion de VI 11c (7,52 t), que apoya en el T04b del plano y en una COL 02 de 15x30. OJO: el plano distingue T04a y T04b, de 0,73 m cada uno segun el computo, mientras que la catedra tiene un solo T4 de 3,55 m: las dos numeraciones no se corresponden una a una.</t>
        </is>
      </c>
    </row>
    <row r="8" ht="31.2" customHeight="1" s="140">
      <c r="A8" s="280" t="n"/>
      <c r="B8" s="316" t="inlineStr">
        <is>
          <t>T5</t>
        </is>
      </c>
      <c r="C8" s="306" t="n">
        <v>11</v>
      </c>
      <c r="D8" s="306" t="n">
        <v>3.15</v>
      </c>
      <c r="E8" s="307" t="n">
        <v>400</v>
      </c>
      <c r="F8" s="307" t="n">
        <v>300</v>
      </c>
      <c r="G8" s="306" t="n">
        <v>5.02654824574367</v>
      </c>
      <c r="H8" s="307" t="n">
        <v>8</v>
      </c>
      <c r="I8" s="307" t="n">
        <v>20</v>
      </c>
      <c r="J8" s="306" t="n">
        <v>2.51327412287184</v>
      </c>
      <c r="K8" s="307" t="n">
        <v>8</v>
      </c>
      <c r="L8" s="307" t="n">
        <v>20</v>
      </c>
      <c r="M8" s="325" t="n">
        <v>8256</v>
      </c>
      <c r="N8" s="306" t="n">
        <v>1.33236434108527</v>
      </c>
      <c r="O8" s="306" t="n">
        <v>202.735052050781</v>
      </c>
      <c r="P8" s="307" t="inlineStr">
        <is>
          <t>VERIFICA</t>
        </is>
      </c>
      <c r="Q8" s="309" t="inlineStr">
        <is>
          <t>Si corresponde al T05b del plano, recibe el extremo de VI 07c, cuya reaccion da 18,1 t de servicio en mi bajada contra los 11 t de la catedra. Verificar.</t>
        </is>
      </c>
    </row>
    <row r="9" ht="31.2" customHeight="1" s="140">
      <c r="A9" s="280" t="n"/>
      <c r="B9" s="316" t="inlineStr">
        <is>
          <t>T6</t>
        </is>
      </c>
      <c r="C9" s="306" t="n">
        <v>14.1</v>
      </c>
      <c r="D9" s="306" t="n">
        <v>3.15</v>
      </c>
      <c r="E9" s="307" t="n">
        <v>270</v>
      </c>
      <c r="F9" s="307" t="n">
        <v>90</v>
      </c>
      <c r="G9" s="306" t="n">
        <v>5.02654824574367</v>
      </c>
      <c r="H9" s="307" t="n">
        <v>8</v>
      </c>
      <c r="I9" s="307" t="n">
        <v>20</v>
      </c>
      <c r="J9" s="306" t="n">
        <v>2.51327412287184</v>
      </c>
      <c r="K9" s="307" t="n">
        <v>8</v>
      </c>
      <c r="L9" s="307" t="n">
        <v>20</v>
      </c>
      <c r="M9" s="325" t="n">
        <v>4176</v>
      </c>
      <c r="N9" s="306" t="n">
        <v>3.3764367816092</v>
      </c>
      <c r="O9" s="306" t="n">
        <v>102.546218188477</v>
      </c>
      <c r="P9" s="307" t="inlineStr">
        <is>
          <t>VERIFICA</t>
        </is>
      </c>
      <c r="Q9" s="309" t="inlineStr">
        <is>
          <t>6,00 t de la planilla de la catedra mas las reacciones de VCH 03a (6,4 t) y VCH 05 (1,7 t), que apoyan en el perpendicularmente. No consta si los 6,00 t ya las incluian; se suman por ser la hipotesis conservadora. Con cualquiera de las dos lecturas el tabique usa entre el 6 y el 14 por ciento de su capacidad.</t>
        </is>
      </c>
    </row>
    <row r="10" ht="31.2" customHeight="1" s="140">
      <c r="A10" s="280" t="n"/>
      <c r="B10" s="316" t="inlineStr">
        <is>
          <t>T7</t>
        </is>
      </c>
      <c r="C10" s="306" t="n">
        <v>30.62</v>
      </c>
      <c r="D10" s="306" t="n">
        <v>3.15</v>
      </c>
      <c r="E10" s="307" t="n">
        <v>98</v>
      </c>
      <c r="F10" s="307" t="n">
        <v>12</v>
      </c>
      <c r="G10" s="306" t="n">
        <v>5.02654824574367</v>
      </c>
      <c r="H10" s="307" t="n">
        <v>8</v>
      </c>
      <c r="I10" s="307" t="n">
        <v>20</v>
      </c>
      <c r="J10" s="306" t="n">
        <v>2.51327412287184</v>
      </c>
      <c r="K10" s="307" t="n">
        <v>8</v>
      </c>
      <c r="L10" s="307" t="n">
        <v>20</v>
      </c>
      <c r="M10" s="325" t="n">
        <v>1176</v>
      </c>
      <c r="N10" s="306" t="n">
        <v>26.0374149659864</v>
      </c>
      <c r="O10" s="306" t="n">
        <v>28.8779579956055</v>
      </c>
      <c r="P10" s="307" t="inlineStr">
        <is>
          <t>NO VERIFICA</t>
        </is>
      </c>
      <c r="Q10" s="309" t="inlineStr">
        <is>
          <t>NO VERIFICA por poco, al 106 por ciento. Recibe VI 02 (21,12 t), VI 10b (6,60 t), VI 10a (1,59 t) y VI 17 (1,31 t): 98 cm de tabique tomando 30,6 t. La capacidad sale de la formula simplificada de muro portante, cuya reduccion por esbeltez se come dos tercios: con 12 cm y 3,15 m el coeficiente vale 0,327. Un analisis mas fino del arriostramiento real daria mas capacidad. Con 104 cm de largo verificaria.</t>
        </is>
      </c>
    </row>
    <row r="11" ht="31.2" customHeight="1" s="140">
      <c r="A11" s="319" t="n"/>
      <c r="B11" s="316" t="inlineStr">
        <is>
          <t>T8</t>
        </is>
      </c>
      <c r="C11" s="306" t="n">
        <v>13.78</v>
      </c>
      <c r="D11" s="306" t="n">
        <v>3.15</v>
      </c>
      <c r="E11" s="307" t="n">
        <v>290</v>
      </c>
      <c r="F11" s="307" t="n">
        <v>12</v>
      </c>
      <c r="G11" s="306" t="n">
        <v>5.02654824574367</v>
      </c>
      <c r="H11" s="307" t="n">
        <v>8</v>
      </c>
      <c r="I11" s="307" t="n">
        <v>20</v>
      </c>
      <c r="J11" s="306" t="n">
        <v>2.51327412287184</v>
      </c>
      <c r="K11" s="307" t="n">
        <v>8</v>
      </c>
      <c r="L11" s="307" t="n">
        <v>20</v>
      </c>
      <c r="M11" s="325" t="n">
        <v>3480</v>
      </c>
      <c r="N11" s="306" t="n">
        <v>3.95977011494253</v>
      </c>
      <c r="O11" s="306" t="n">
        <v>85.4551818237305</v>
      </c>
      <c r="P11" s="307" t="inlineStr">
        <is>
          <t>VERIFICA</t>
        </is>
      </c>
      <c r="Q11" s="309" t="inlineStr">
        <is>
          <t>Carga tomada de la reaccion de VI 11a en la planilla de vigas, MAYORADA.</t>
        </is>
      </c>
    </row>
    <row r="12" ht="31.2" customHeight="1" s="140">
      <c r="A12" s="324" t="inlineStr">
        <is>
          <t>PA</t>
        </is>
      </c>
      <c r="B12" s="316" t="inlineStr">
        <is>
          <t>T9</t>
        </is>
      </c>
      <c r="C12" s="306" t="n">
        <v>6.96</v>
      </c>
      <c r="D12" s="306" t="n">
        <v>3.2</v>
      </c>
      <c r="E12" s="307" t="n">
        <v>375</v>
      </c>
      <c r="F12" s="307" t="n">
        <v>12</v>
      </c>
      <c r="G12" s="306" t="n">
        <v>5.02654824574367</v>
      </c>
      <c r="H12" s="307" t="n">
        <v>8</v>
      </c>
      <c r="I12" s="307" t="n">
        <v>20</v>
      </c>
      <c r="J12" s="306" t="n">
        <v>2.51327412287184</v>
      </c>
      <c r="K12" s="307" t="n">
        <v>8</v>
      </c>
      <c r="L12" s="307" t="n">
        <v>20</v>
      </c>
      <c r="M12" s="325" t="n">
        <v>4500</v>
      </c>
      <c r="N12" s="306" t="n">
        <v>1.54666666666667</v>
      </c>
      <c r="O12" s="306" t="n">
        <v>103.228125</v>
      </c>
      <c r="P12" s="307" t="inlineStr">
        <is>
          <t>VERIFICA</t>
        </is>
      </c>
      <c r="Q12" s="309" t="inlineStr">
        <is>
          <t>Recibe el extremo de VI 14. Carga mayorada.</t>
        </is>
      </c>
    </row>
    <row r="13" ht="31.2" customHeight="1" s="140">
      <c r="A13" s="280" t="n"/>
      <c r="B13" s="316" t="inlineStr">
        <is>
          <t>T10</t>
        </is>
      </c>
      <c r="C13" s="306" t="n">
        <v>13.38</v>
      </c>
      <c r="D13" s="306" t="n">
        <v>2.6</v>
      </c>
      <c r="E13" s="307" t="n">
        <v>170</v>
      </c>
      <c r="F13" s="307" t="n">
        <v>12</v>
      </c>
      <c r="G13" s="306" t="n">
        <v>5.02654824574367</v>
      </c>
      <c r="H13" s="307" t="n">
        <v>8</v>
      </c>
      <c r="I13" s="307" t="n">
        <v>20</v>
      </c>
      <c r="J13" s="306" t="n">
        <v>2.51327412287184</v>
      </c>
      <c r="K13" s="307" t="n">
        <v>8</v>
      </c>
      <c r="L13" s="307" t="n">
        <v>20</v>
      </c>
      <c r="M13" s="325" t="n">
        <v>2040</v>
      </c>
      <c r="N13" s="306" t="n">
        <v>6.55882352941176</v>
      </c>
      <c r="O13" s="306" t="n">
        <v>82.94125683593749</v>
      </c>
      <c r="P13" s="307" t="inlineStr">
        <is>
          <t>VERIFICA</t>
        </is>
      </c>
      <c r="Q13" s="309" t="inlineStr">
        <is>
          <t>Recibe el extremo de VI 12. Carga mayorada.</t>
        </is>
      </c>
    </row>
    <row r="14" ht="31.2" customHeight="1" s="140">
      <c r="A14" s="280" t="n"/>
      <c r="B14" s="316" t="inlineStr">
        <is>
          <t>T11</t>
        </is>
      </c>
      <c r="C14" s="306" t="n">
        <v>5.07</v>
      </c>
      <c r="D14" s="306" t="n">
        <v>2.6</v>
      </c>
      <c r="E14" s="307" t="n">
        <v>28</v>
      </c>
      <c r="F14" s="307" t="n">
        <v>12</v>
      </c>
      <c r="G14" s="306" t="n">
        <v>5.02654824574367</v>
      </c>
      <c r="H14" s="307" t="n">
        <v>8</v>
      </c>
      <c r="I14" s="307" t="n">
        <v>20</v>
      </c>
      <c r="J14" s="306" t="n">
        <v>2.51327412287184</v>
      </c>
      <c r="K14" s="307" t="n">
        <v>8</v>
      </c>
      <c r="L14" s="307" t="n">
        <v>20</v>
      </c>
      <c r="M14" s="325" t="n">
        <v>336</v>
      </c>
      <c r="N14" s="306" t="n">
        <v>15.0892857142857</v>
      </c>
      <c r="O14" s="306" t="n">
        <v>13.660912890625</v>
      </c>
      <c r="P14" s="307" t="inlineStr">
        <is>
          <t>VERIFICA</t>
        </is>
      </c>
      <c r="Q14" s="309" t="inlineStr">
        <is>
          <t>Recibe el extremo de VI 13b sobre solo 28 cm de largo: es el tabique con mayor tension del conjunto.</t>
        </is>
      </c>
    </row>
    <row r="15" ht="31.2" customHeight="1" s="140">
      <c r="A15" s="280" t="n"/>
      <c r="B15" s="316" t="inlineStr">
        <is>
          <t>T12</t>
        </is>
      </c>
      <c r="C15" s="306" t="n">
        <v>5.62</v>
      </c>
      <c r="D15" s="306" t="n">
        <v>2.6</v>
      </c>
      <c r="E15" s="307" t="n">
        <v>32</v>
      </c>
      <c r="F15" s="307" t="n">
        <v>12</v>
      </c>
      <c r="G15" s="306" t="n">
        <v>5.02654824574367</v>
      </c>
      <c r="H15" s="307" t="n">
        <v>8</v>
      </c>
      <c r="I15" s="307" t="n">
        <v>20</v>
      </c>
      <c r="J15" s="306" t="n">
        <v>2.51327412287184</v>
      </c>
      <c r="K15" s="307" t="n">
        <v>8</v>
      </c>
      <c r="L15" s="307" t="n">
        <v>20</v>
      </c>
      <c r="M15" s="325" t="n">
        <v>384</v>
      </c>
      <c r="N15" s="306" t="n">
        <v>14.6354166666667</v>
      </c>
      <c r="O15" s="306" t="n">
        <v>15.612471875</v>
      </c>
      <c r="P15" s="307" t="inlineStr">
        <is>
          <t>VERIFICA</t>
        </is>
      </c>
      <c r="Q15" s="309" t="inlineStr">
        <is>
          <t>Recibe el extremo de VI 15b. VI 17 no descarga aqui sino en T07. T12 acompana a VI 17 en toda su longitud por debajo, de modo que esa viga esta mas sostenida de lo que supone el calculo: queda del lado seguro.</t>
        </is>
      </c>
    </row>
    <row r="16" ht="31.2" customHeight="1" s="140">
      <c r="A16" s="319" t="n"/>
      <c r="B16" s="316" t="inlineStr">
        <is>
          <t>T13</t>
        </is>
      </c>
      <c r="C16" s="306" t="n">
        <v>1.22</v>
      </c>
      <c r="D16" s="306" t="n">
        <v>3.2</v>
      </c>
      <c r="E16" s="307" t="n">
        <v>132</v>
      </c>
      <c r="F16" s="307" t="n">
        <v>12</v>
      </c>
      <c r="G16" s="306" t="n">
        <v>5.02654824574367</v>
      </c>
      <c r="H16" s="307" t="n">
        <v>8</v>
      </c>
      <c r="I16" s="307" t="n">
        <v>20</v>
      </c>
      <c r="J16" s="306" t="n">
        <v>2.51327412287184</v>
      </c>
      <c r="K16" s="307" t="n">
        <v>8</v>
      </c>
      <c r="L16" s="307" t="n">
        <v>20</v>
      </c>
      <c r="M16" s="325" t="n">
        <v>1584</v>
      </c>
      <c r="N16" s="306" t="n">
        <v>0.77020202020202</v>
      </c>
      <c r="O16" s="306" t="n">
        <v>36.3363</v>
      </c>
      <c r="P16" s="307" t="inlineStr">
        <is>
          <t>VERIFICA</t>
        </is>
      </c>
      <c r="Q16" s="309" t="inlineStr">
        <is>
          <t>No recibe vigas: es la continuidad del tabique T06c de planta baja. La carga indicada es solo su peso propio; lo que baje de arriba se suma a T06c.</t>
        </is>
      </c>
    </row>
    <row r="17" ht="15" customHeight="1" s="140">
      <c r="A17" s="320" t="n"/>
      <c r="B17" s="320" t="n"/>
      <c r="C17" s="320" t="n"/>
      <c r="D17" s="320" t="n"/>
      <c r="E17" s="320" t="n"/>
      <c r="F17" s="320" t="n"/>
      <c r="G17" s="320" t="n"/>
      <c r="H17" s="320" t="n"/>
      <c r="I17" s="320" t="n"/>
      <c r="J17" s="320" t="n"/>
      <c r="K17" s="320" t="n"/>
      <c r="L17" s="320" t="n"/>
      <c r="M17" s="320" t="n"/>
      <c r="N17" s="320" t="n"/>
      <c r="O17" s="320" t="n"/>
      <c r="P17" s="320" t="n"/>
      <c r="Q17" s="320" t="n"/>
    </row>
    <row r="18" ht="39" customHeight="1" s="140">
      <c r="A18" s="322" t="inlineStr">
        <is>
          <t>T1 a T6: cargas y dimensiones tomadas de la planilla de la catedra. Probablemente sean cargas de servicio; compararlas contra fi Pn, que es resistencia ultima, queda del lado inseguro en torno a un 40 por ciento. Con utilizaciones del 10 al 20 por ciento no cambia ningun veredicto, pero conviene saberlo.</t>
        </is>
      </c>
      <c r="B18" s="320" t="n"/>
      <c r="C18" s="320" t="n"/>
      <c r="D18" s="320" t="n"/>
      <c r="E18" s="320" t="n"/>
      <c r="F18" s="320" t="n"/>
      <c r="G18" s="320" t="n"/>
      <c r="H18" s="320" t="n"/>
      <c r="I18" s="320" t="n"/>
      <c r="J18" s="320" t="n"/>
      <c r="K18" s="320" t="n"/>
      <c r="L18" s="320" t="n"/>
      <c r="M18" s="320" t="n"/>
      <c r="N18" s="320" t="n"/>
      <c r="O18" s="320" t="n"/>
      <c r="P18" s="320" t="n"/>
      <c r="Q18" s="320" t="n"/>
    </row>
    <row r="19" ht="39" customHeight="1" s="140">
      <c r="A19" s="322" t="inlineStr">
        <is>
          <t>T7 y T8: carga tomada de la reaccion de VI 02 y VI 11a en la planilla de vigas, que son MAYORADAS. El criterio no es el mismo que en T1 a T6.</t>
        </is>
      </c>
      <c r="B19" s="320" t="n"/>
      <c r="C19" s="320" t="n"/>
      <c r="D19" s="320" t="n"/>
      <c r="E19" s="320" t="n"/>
      <c r="F19" s="320" t="n"/>
      <c r="G19" s="320" t="n"/>
      <c r="H19" s="320" t="n"/>
      <c r="I19" s="320" t="n"/>
      <c r="J19" s="320" t="n"/>
      <c r="K19" s="320" t="n"/>
      <c r="L19" s="320" t="n"/>
      <c r="M19" s="320" t="n"/>
      <c r="N19" s="320" t="n"/>
      <c r="O19" s="320" t="n"/>
      <c r="P19" s="320" t="n"/>
      <c r="Q19" s="320" t="n"/>
    </row>
    <row r="20" ht="39" customHeight="1" s="140">
      <c r="A20" s="322" t="inlineStr">
        <is>
          <t>Direccion de la carga: como todas las vigas son invertidas, sobresalen 70 cm por encima del fondo de losa, mientras que los tabiques de planta alta llegan desde el piso hasta ese fondo. El tabique queda debajo y sostiene a la viga, no al reves.</t>
        </is>
      </c>
      <c r="B20" s="320" t="n"/>
      <c r="C20" s="320" t="n"/>
      <c r="D20" s="320" t="n"/>
      <c r="E20" s="320" t="n"/>
      <c r="F20" s="320" t="n"/>
      <c r="G20" s="320" t="n"/>
      <c r="H20" s="320" t="n"/>
      <c r="I20" s="320" t="n"/>
      <c r="J20" s="320" t="n"/>
      <c r="K20" s="320" t="n"/>
      <c r="L20" s="320" t="n"/>
      <c r="M20" s="320" t="n"/>
      <c r="N20" s="320" t="n"/>
      <c r="O20" s="320" t="n"/>
      <c r="P20" s="320" t="n"/>
      <c r="Q20" s="320" t="n"/>
    </row>
    <row r="21" ht="39" customHeight="1" s="140">
      <c r="A21" s="322" t="inlineStr">
        <is>
          <t>T9 a T13: dimensiones del computo metrico. Las cargas son las reacciones de las vigas de techo que apoyan en cada uno, aportadas por el proyectista: T9 recibe VI 14, T10 recibe VI 12, T11 recibe VI 13b y T12 recibe VI 17 mas VI 15b. T13 no recibe vigas: continua el tabique T06c de planta baja.</t>
        </is>
      </c>
      <c r="B21" s="320" t="n"/>
      <c r="C21" s="320" t="n"/>
      <c r="D21" s="320" t="n"/>
      <c r="E21" s="320" t="n"/>
      <c r="F21" s="320" t="n"/>
      <c r="G21" s="320" t="n"/>
      <c r="H21" s="320" t="n"/>
      <c r="I21" s="320" t="n"/>
      <c r="J21" s="320" t="n"/>
      <c r="K21" s="320" t="n"/>
      <c r="L21" s="320" t="n"/>
      <c r="M21" s="320" t="n"/>
      <c r="N21" s="320" t="n"/>
      <c r="O21" s="320" t="n"/>
      <c r="P21" s="320" t="n"/>
      <c r="Q21" s="320" t="n"/>
    </row>
    <row r="22" ht="39" customHeight="1" s="140">
      <c r="A22" s="322" t="inlineStr">
        <is>
          <t>Area: si B es menor o igual al espesor el tabique es recto y el area es A x B; si no, es un tabique en L y el area es (A + B - espesor) x espesor.</t>
        </is>
      </c>
      <c r="B22" s="320" t="n"/>
      <c r="C22" s="320" t="n"/>
      <c r="D22" s="320" t="n"/>
      <c r="E22" s="320" t="n"/>
      <c r="F22" s="320" t="n"/>
      <c r="G22" s="320" t="n"/>
      <c r="H22" s="320" t="n"/>
      <c r="I22" s="320" t="n"/>
      <c r="J22" s="320" t="n"/>
      <c r="K22" s="320" t="n"/>
      <c r="L22" s="320" t="n"/>
      <c r="M22" s="320" t="n"/>
      <c r="N22" s="320" t="n"/>
      <c r="O22" s="320" t="n"/>
      <c r="P22" s="320" t="n"/>
      <c r="Q22" s="320" t="n"/>
    </row>
    <row r="23" ht="39" customHeight="1" s="140">
      <c r="A23" s="322" t="inlineStr">
        <is>
          <t>fi Pn = 0,55 x 0,65 x f'c x area x [1 - (altura / 32 espesor)^2]   muro portante de hormigon armado con reduccion por esbeltez.</t>
        </is>
      </c>
      <c r="B23" s="320" t="n"/>
      <c r="C23" s="320" t="n"/>
      <c r="D23" s="320" t="n"/>
      <c r="E23" s="320" t="n"/>
      <c r="F23" s="320" t="n"/>
      <c r="G23" s="320" t="n"/>
      <c r="H23" s="320" t="n"/>
      <c r="I23" s="320" t="n"/>
      <c r="J23" s="320" t="n"/>
      <c r="K23" s="320" t="n"/>
      <c r="L23" s="320" t="n"/>
      <c r="M23" s="320" t="n"/>
      <c r="N23" s="320" t="n"/>
      <c r="O23" s="320" t="n"/>
      <c r="P23" s="320" t="n"/>
      <c r="Q23" s="320" t="n"/>
    </row>
    <row r="24" ht="39" customHeight="1" s="140">
      <c r="A24" s="322" t="inlineStr">
        <is>
          <t>Armadura vertical en doble malla y horizontal en malla simple, ambas o8 c/20, iguales a las de la planilla de la catedra.</t>
        </is>
      </c>
      <c r="B24" s="320" t="n"/>
      <c r="C24" s="320" t="n"/>
      <c r="D24" s="320" t="n"/>
      <c r="E24" s="320" t="n"/>
      <c r="F24" s="320" t="n"/>
      <c r="G24" s="320" t="n"/>
      <c r="H24" s="320" t="n"/>
      <c r="I24" s="320" t="n"/>
      <c r="J24" s="320" t="n"/>
      <c r="K24" s="320" t="n"/>
      <c r="L24" s="320" t="n"/>
      <c r="M24" s="320" t="n"/>
      <c r="N24" s="320" t="n"/>
      <c r="O24" s="320" t="n"/>
      <c r="P24" s="320" t="n"/>
      <c r="Q24" s="320" t="n"/>
    </row>
  </sheetData>
  <mergeCells count="12">
    <mergeCell ref="G2:I2"/>
    <mergeCell ref="A12:A16"/>
    <mergeCell ref="J2:L2"/>
    <mergeCell ref="A4:A11"/>
    <mergeCell ref="E2:F2"/>
    <mergeCell ref="D2:D3"/>
    <mergeCell ref="B2:B3"/>
    <mergeCell ref="A2:A3"/>
    <mergeCell ref="M2:P2"/>
    <mergeCell ref="C2:C3"/>
    <mergeCell ref="Q2:Q3"/>
    <mergeCell ref="A1:Q1"/>
  </mergeCells>
  <conditionalFormatting sqref="P4:P16">
    <cfRule type="cellIs" rank="0" priority="2" equalAverage="0" operator="equal" aboveAverage="0" dxfId="0" text="" percent="0" bottom="0">
      <formula>"VERIFICA"</formula>
    </cfRule>
    <cfRule type="cellIs" rank="0" priority="3" equalAverage="0" operator="equal" aboveAverage="0" dxfId="1" text="" percent="0" bottom="0">
      <formula>"NO VERIFICA"</formula>
    </cfRule>
    <cfRule type="cellIs" rank="0" priority="4" equalAverage="0" operator="equal" aboveAverage="0" dxfId="1" text="" percent="0" bottom="0">
      <formula>"FALTA CARGA"</formula>
    </cfRule>
  </conditionalFormatting>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Romina Saldi</dc:creator>
  <dc:language xmlns:dc="http://purl.org/dc/elements/1.1/">es-AR</dc:language>
  <dcterms:created xmlns:dcterms="http://purl.org/dc/terms/" xmlns:xsi="http://www.w3.org/2001/XMLSchema-instance" xsi:type="dcterms:W3CDTF">2024-02-29T14:23:04Z</dcterms:created>
  <dcterms:modified xmlns:dcterms="http://purl.org/dc/terms/" xmlns:xsi="http://www.w3.org/2001/XMLSchema-instance" xsi:type="dcterms:W3CDTF">2026-10-25T22:08:04Z</dcterms:modified>
  <cp:revision>41</cp:revision>
</cp:coreProperties>
</file>