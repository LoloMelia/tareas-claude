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lanilla columnas" sheetId="2" state="visible" r:id="rId2"/>
    <sheet xmlns:r="http://schemas.openxmlformats.org/officeDocument/2006/relationships" name="Memoria" sheetId="3" state="visible" r:id="rId3"/>
  </sheets>
  <definedNames>
    <definedName name="_xlnm.Print_Titles" localSheetId="1">'Planilla columnas'!$1:$3</definedName>
    <definedName name="_xlnm.Print_Area" localSheetId="1">'Planilla columnas'!$A$1:$N$16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  <font>
      <sz val="9"/>
    </font>
    <font>
      <b val="1"/>
      <sz val="9"/>
    </font>
    <font>
      <b val="1"/>
      <sz val="12"/>
    </font>
    <font>
      <b val="1"/>
      <sz val="8"/>
    </font>
    <font>
      <sz val="8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5" fillId="0" borderId="5" applyAlignment="1" pivotButton="0" quotePrefix="0" xfId="0">
      <alignment horizontal="center" vertical="center" wrapText="1"/>
    </xf>
    <xf numFmtId="2" fontId="4" fillId="3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left" vertical="center" wrapText="1"/>
    </xf>
    <xf numFmtId="2" fontId="4" fillId="6" borderId="5" applyAlignment="1" pivotButton="0" quotePrefix="0" xfId="0">
      <alignment horizontal="center" vertical="center" wrapText="1"/>
    </xf>
    <xf numFmtId="1" fontId="4" fillId="6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06100"/>
        <sz val="9"/>
      </font>
      <fill>
        <patternFill patternType="solid">
          <fgColor rgb="00C6EFCE"/>
        </patternFill>
      </fill>
    </dxf>
    <dxf>
      <font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62" customWidth="1" min="4" max="4"/>
  </cols>
  <sheetData>
    <row r="1">
      <c r="A1" s="1" t="inlineStr">
        <is>
          <t>DATOS DE PARTIDA - COLUMNAS</t>
        </is>
      </c>
    </row>
    <row r="3">
      <c r="A3" s="2" t="inlineStr">
        <is>
          <t>MATERIALES Y CRITERIOS</t>
        </is>
      </c>
      <c r="B3" s="3" t="inlineStr">
        <is>
          <t>valor</t>
        </is>
      </c>
      <c r="C3" s="3" t="inlineStr">
        <is>
          <t>unidad</t>
        </is>
      </c>
    </row>
    <row r="4">
      <c r="A4" s="4" t="inlineStr">
        <is>
          <t>Hormigon H-21   f'c</t>
        </is>
      </c>
      <c r="B4" s="5" t="n">
        <v>210</v>
      </c>
      <c r="C4" s="6" t="inlineStr">
        <is>
          <t>kg/cm2</t>
        </is>
      </c>
    </row>
    <row r="5">
      <c r="A5" s="4" t="inlineStr">
        <is>
          <t>Acero 42/50   fy</t>
        </is>
      </c>
      <c r="B5" s="5" t="n">
        <v>4200</v>
      </c>
      <c r="C5" s="6" t="inlineStr">
        <is>
          <t>kg/cm2</t>
        </is>
      </c>
    </row>
    <row r="6">
      <c r="A6" s="4" t="inlineStr">
        <is>
          <t>Peso especifico H.A.</t>
        </is>
      </c>
      <c r="B6" s="5" t="n">
        <v>2400</v>
      </c>
      <c r="C6" s="6" t="inlineStr">
        <is>
          <t>kg/m3</t>
        </is>
      </c>
    </row>
    <row r="7">
      <c r="A7" s="4" t="inlineStr">
        <is>
          <t>phi compresion (estribos)</t>
        </is>
      </c>
      <c r="B7" s="5" t="n">
        <v>0.65</v>
      </c>
      <c r="C7" s="6" t="inlineStr">
        <is>
          <t>-</t>
        </is>
      </c>
    </row>
    <row r="8">
      <c r="A8" s="4" t="inlineStr">
        <is>
          <t>Cuantia minima</t>
        </is>
      </c>
      <c r="B8" s="5" t="n">
        <v>0.008</v>
      </c>
      <c r="C8" s="6" t="inlineStr">
        <is>
          <t>de la seccion</t>
        </is>
      </c>
    </row>
    <row r="9">
      <c r="A9" s="4" t="inlineStr">
        <is>
          <t>Altura PB</t>
        </is>
      </c>
      <c r="B9" s="5" t="n">
        <v>3.15</v>
      </c>
      <c r="C9" s="6" t="inlineStr">
        <is>
          <t>m</t>
        </is>
      </c>
    </row>
    <row r="10">
      <c r="A10" s="4" t="inlineStr">
        <is>
          <t>Altura PA</t>
        </is>
      </c>
      <c r="B10" s="5" t="n">
        <v>3.22</v>
      </c>
      <c r="C10" s="6" t="inlineStr">
        <is>
          <t>m</t>
        </is>
      </c>
    </row>
    <row r="12">
      <c r="A12" s="7" t="inlineStr">
        <is>
          <t>As = cuantia minima x area        phi Pn = 0,65 x 0,80 x [0,85 f'c (Ag - As) + fy As]</t>
        </is>
      </c>
    </row>
    <row r="13">
      <c r="A13" s="7" t="inlineStr">
        <is>
          <t>Separacion de estribos = min(12 x diam. longitudinal ; 48 x diam. estribo ; lado menor)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6" customWidth="1" min="10" max="10"/>
    <col width="6" customWidth="1" min="11" max="11"/>
    <col width="8" customWidth="1" min="12" max="12"/>
    <col width="14" customWidth="1" min="13" max="13"/>
    <col width="42" customWidth="1" min="14" max="14"/>
    <col width="9" customWidth="1" min="15" max="15"/>
    <col width="10" customWidth="1" min="16" max="16"/>
    <col width="9" customWidth="1" min="17" max="17"/>
    <col width="12" customWidth="1" min="18" max="18"/>
  </cols>
  <sheetData>
    <row r="1" ht="22" customHeight="1">
      <c r="A1" s="8" t="inlineStr">
        <is>
          <t>COLUMNAS  H°A°        H-21        ACERO 42/50</t>
        </is>
      </c>
    </row>
    <row r="2" ht="16" customHeight="1">
      <c r="A2" s="9" t="inlineStr">
        <is>
          <t>NIVEL</t>
        </is>
      </c>
      <c r="B2" s="9" t="inlineStr">
        <is>
          <t>POSICION</t>
        </is>
      </c>
      <c r="C2" s="9" t="inlineStr">
        <is>
          <t>ALTURA (m)</t>
        </is>
      </c>
      <c r="D2" s="9" t="inlineStr">
        <is>
          <t>CARGA (t)</t>
        </is>
      </c>
      <c r="E2" s="9" t="inlineStr">
        <is>
          <t>DIMENSIONES (cm)</t>
        </is>
      </c>
      <c r="F2" s="10" t="n"/>
      <c r="G2" s="10" t="n"/>
      <c r="H2" s="9" t="inlineStr">
        <is>
          <t>ARMADURA</t>
        </is>
      </c>
      <c r="I2" s="10" t="n"/>
      <c r="J2" s="10" t="n"/>
      <c r="K2" s="9" t="inlineStr">
        <is>
          <t>ESTRIBOS</t>
        </is>
      </c>
      <c r="L2" s="10" t="n"/>
      <c r="M2" s="9" t="inlineStr">
        <is>
          <t>VERIFICACION</t>
        </is>
      </c>
      <c r="N2" s="9" t="inlineStr">
        <is>
          <t>OBSERVACIONES</t>
        </is>
      </c>
      <c r="O2" s="9" t="inlineStr">
        <is>
          <t>DATOS AUXILIARES</t>
        </is>
      </c>
      <c r="P2" s="10" t="n"/>
      <c r="Q2" s="10" t="n"/>
      <c r="R2" s="10" t="n"/>
    </row>
    <row r="3" ht="26" customHeight="1">
      <c r="A3" s="10" t="n"/>
      <c r="B3" s="10" t="n"/>
      <c r="C3" s="10" t="n"/>
      <c r="D3" s="10" t="n"/>
      <c r="E3" s="11" t="inlineStr">
        <is>
          <t>A</t>
        </is>
      </c>
      <c r="F3" s="11" t="inlineStr">
        <is>
          <t>B</t>
        </is>
      </c>
      <c r="G3" s="11" t="inlineStr">
        <is>
          <t>area</t>
        </is>
      </c>
      <c r="H3" s="11" t="inlineStr">
        <is>
          <t>cm2</t>
        </is>
      </c>
      <c r="I3" s="11" t="inlineStr">
        <is>
          <t>n</t>
        </is>
      </c>
      <c r="J3" s="11" t="inlineStr">
        <is>
          <t>o</t>
        </is>
      </c>
      <c r="K3" s="11" t="inlineStr">
        <is>
          <t>o</t>
        </is>
      </c>
      <c r="L3" s="11" t="inlineStr">
        <is>
          <t>SEPAR</t>
        </is>
      </c>
      <c r="M3" s="10" t="n"/>
      <c r="N3" s="10" t="n"/>
      <c r="O3" s="11" t="inlineStr">
        <is>
          <t>As prov</t>
        </is>
      </c>
      <c r="P3" s="11" t="inlineStr">
        <is>
          <t>fi Pn (t)</t>
        </is>
      </c>
      <c r="Q3" s="11" t="inlineStr">
        <is>
          <t>esbeltez</t>
        </is>
      </c>
      <c r="R3" s="11" t="inlineStr">
        <is>
          <t>carga estim.</t>
        </is>
      </c>
    </row>
    <row r="4" ht="17" customHeight="1">
      <c r="A4" s="12" t="inlineStr">
        <is>
          <t>PA</t>
        </is>
      </c>
      <c r="B4" s="13" t="inlineStr">
        <is>
          <t>C6</t>
        </is>
      </c>
      <c r="C4" s="14" t="n">
        <v>3.22</v>
      </c>
      <c r="D4" s="15" t="n">
        <v>12.71</v>
      </c>
      <c r="E4" s="16" t="n">
        <v>20</v>
      </c>
      <c r="F4" s="16" t="n">
        <v>20</v>
      </c>
      <c r="G4" s="6">
        <f>E4*F4</f>
        <v/>
      </c>
      <c r="H4" s="17">
        <f>Datos!$B$8*G4</f>
        <v/>
      </c>
      <c r="I4" s="16" t="n">
        <v>4</v>
      </c>
      <c r="J4" s="16" t="n">
        <v>12</v>
      </c>
      <c r="K4" s="16" t="n">
        <v>6</v>
      </c>
      <c r="L4" s="6">
        <f>FLOOR(MIN(12*J4/10,48*K4/10,MIN(E4,F4)),5)</f>
        <v/>
      </c>
      <c r="M4" s="6">
        <f>IF(D4="","FALTA CARGA",IF(O4&lt;H4,"ARM. INSUFIC.",IF(D4&gt;P4,"NO VERIFICA",IF(D4&gt;0.85*P4,"AL LIMITE",IF(Q4&gt;34,"VERIF. ESBELTEZ","VERIFICA")))))</f>
        <v/>
      </c>
      <c r="N4" s="18" t="inlineStr">
        <is>
          <t>COL 07 del plano. Carga PROVISORIA por bajada automatica; es un piso, la real es mayor (ver Memoria, punto 5).</t>
        </is>
      </c>
      <c r="O4" s="19">
        <f>I4*PI()*(J4/10)^2/4</f>
        <v/>
      </c>
      <c r="P4" s="19">
        <f>Datos!$B$7*0.8*(0.85*Datos!$B$4*(G4-O4)+Datos!$B$5*O4)/1000</f>
        <v/>
      </c>
      <c r="Q4" s="20">
        <f>100*C4/(0.3*MIN(E4,F4))</f>
        <v/>
      </c>
      <c r="R4" s="19" t="n">
        <v>12.71</v>
      </c>
    </row>
    <row r="5" ht="17" customHeight="1">
      <c r="A5" s="21" t="n"/>
      <c r="B5" s="13" t="inlineStr">
        <is>
          <t>C7</t>
        </is>
      </c>
      <c r="C5" s="14" t="n">
        <v>3.22</v>
      </c>
      <c r="D5" s="15" t="n">
        <v>22.06</v>
      </c>
      <c r="E5" s="16" t="n">
        <v>30</v>
      </c>
      <c r="F5" s="16" t="n">
        <v>15</v>
      </c>
      <c r="G5" s="6">
        <f>E5*F5</f>
        <v/>
      </c>
      <c r="H5" s="17">
        <f>Datos!$B$8*G5</f>
        <v/>
      </c>
      <c r="I5" s="16" t="n">
        <v>4</v>
      </c>
      <c r="J5" s="16" t="n">
        <v>12</v>
      </c>
      <c r="K5" s="16" t="n">
        <v>6</v>
      </c>
      <c r="L5" s="6">
        <f>FLOOR(MIN(12*J5/10,48*K5/10,MIN(E5,F5)),5)</f>
        <v/>
      </c>
      <c r="M5" s="6">
        <f>IF(D5="","FALTA CARGA",IF(O5&lt;H5,"ARM. INSUFIC.",IF(D5&gt;P5,"NO VERIFICA",IF(D5&gt;0.85*P5,"AL LIMITE",IF(Q5&gt;34,"VERIF. ESBELTEZ","VERIFICA")))))</f>
        <v/>
      </c>
      <c r="N5" s="18" t="inlineStr">
        <is>
          <t>COL 06 del plano. Carga PROVISORIA por bajada automatica; es un piso, la real es mayor (ver Memoria, punto 5).</t>
        </is>
      </c>
      <c r="O5" s="19">
        <f>I5*PI()*(J5/10)^2/4</f>
        <v/>
      </c>
      <c r="P5" s="19">
        <f>Datos!$B$7*0.8*(0.85*Datos!$B$4*(G5-O5)+Datos!$B$5*O5)/1000</f>
        <v/>
      </c>
      <c r="Q5" s="20">
        <f>100*C5/(0.3*MIN(E5,F5))</f>
        <v/>
      </c>
      <c r="R5" s="19" t="n">
        <v>22.06</v>
      </c>
    </row>
    <row r="6" ht="17" customHeight="1">
      <c r="A6" s="21" t="n"/>
      <c r="B6" s="13" t="inlineStr">
        <is>
          <t>C8</t>
        </is>
      </c>
      <c r="C6" s="14" t="n">
        <v>3.22</v>
      </c>
      <c r="D6" s="15" t="n">
        <v>15.12</v>
      </c>
      <c r="E6" s="16" t="n">
        <v>15</v>
      </c>
      <c r="F6" s="16" t="n">
        <v>30</v>
      </c>
      <c r="G6" s="6">
        <f>E6*F6</f>
        <v/>
      </c>
      <c r="H6" s="17">
        <f>Datos!$B$8*G6</f>
        <v/>
      </c>
      <c r="I6" s="16" t="n">
        <v>4</v>
      </c>
      <c r="J6" s="16" t="n">
        <v>12</v>
      </c>
      <c r="K6" s="16" t="n">
        <v>6</v>
      </c>
      <c r="L6" s="6">
        <f>FLOOR(MIN(12*J6/10,48*K6/10,MIN(E6,F6)),5)</f>
        <v/>
      </c>
      <c r="M6" s="6">
        <f>IF(D6="","FALTA CARGA",IF(O6&lt;H6,"ARM. INSUFIC.",IF(D6&gt;P6,"NO VERIFICA",IF(D6&gt;0.85*P6,"AL LIMITE",IF(Q6&gt;34,"VERIF. ESBELTEZ","VERIFICA")))))</f>
        <v/>
      </c>
      <c r="N6" s="18" t="inlineStr">
        <is>
          <t>COL 05 del plano. Carga PROVISORIA por bajada automatica; es un piso, la real es mayor (ver Memoria, punto 5).</t>
        </is>
      </c>
      <c r="O6" s="19">
        <f>I6*PI()*(J6/10)^2/4</f>
        <v/>
      </c>
      <c r="P6" s="19">
        <f>Datos!$B$7*0.8*(0.85*Datos!$B$4*(G6-O6)+Datos!$B$5*O6)/1000</f>
        <v/>
      </c>
      <c r="Q6" s="20">
        <f>100*C6/(0.3*MIN(E6,F6))</f>
        <v/>
      </c>
      <c r="R6" s="19" t="n">
        <v>15.12</v>
      </c>
    </row>
    <row r="7" ht="17" customHeight="1">
      <c r="A7" s="22" t="n"/>
      <c r="B7" s="23" t="inlineStr">
        <is>
          <t>C9</t>
        </is>
      </c>
      <c r="C7" s="24" t="n">
        <v>3.22</v>
      </c>
      <c r="D7" s="25" t="n">
        <v>20.05</v>
      </c>
      <c r="E7" s="26" t="n">
        <v>15</v>
      </c>
      <c r="F7" s="26" t="n">
        <v>30</v>
      </c>
      <c r="G7" s="27">
        <f>E7*F7</f>
        <v/>
      </c>
      <c r="H7" s="28">
        <f>Datos!$B$8*G7</f>
        <v/>
      </c>
      <c r="I7" s="26" t="n">
        <v>4</v>
      </c>
      <c r="J7" s="26" t="n">
        <v>12</v>
      </c>
      <c r="K7" s="26" t="n">
        <v>6</v>
      </c>
      <c r="L7" s="27">
        <f>FLOOR(MIN(12*J7/10,48*K7/10,MIN(E7,F7)),5)</f>
        <v/>
      </c>
      <c r="M7" s="27">
        <f>IF(D7="","FALTA CARGA",IF(O7&lt;H7,"ARM. INSUFIC.",IF(D7&gt;P7,"NO VERIFICA",IF(D7&gt;0.85*P7,"AL LIMITE",IF(Q7&gt;34,"VERIF. ESBELTEZ","VERIFICA")))))</f>
        <v/>
      </c>
      <c r="N7" s="29" t="inlineStr">
        <is>
          <t>COL 05 del plano. Carga PROVISORIA por bajada automatica; es un piso, la real es mayor (ver Memoria, punto 5).</t>
        </is>
      </c>
      <c r="O7" s="30">
        <f>I7*PI()*(J7/10)^2/4</f>
        <v/>
      </c>
      <c r="P7" s="30">
        <f>Datos!$B$7*0.8*(0.85*Datos!$B$4*(G7-O7)+Datos!$B$5*O7)/1000</f>
        <v/>
      </c>
      <c r="Q7" s="31">
        <f>100*C7/(0.3*MIN(E7,F7))</f>
        <v/>
      </c>
      <c r="R7" s="30" t="n">
        <v>20.05</v>
      </c>
    </row>
    <row r="8" ht="17" customHeight="1">
      <c r="A8" s="12" t="inlineStr">
        <is>
          <t>PB</t>
        </is>
      </c>
      <c r="B8" s="13" t="inlineStr">
        <is>
          <t>C1</t>
        </is>
      </c>
      <c r="C8" s="14" t="n">
        <v>3.15</v>
      </c>
      <c r="D8" s="15" t="n">
        <v>2.49</v>
      </c>
      <c r="E8" s="16" t="n">
        <v>15</v>
      </c>
      <c r="F8" s="16" t="n">
        <v>30</v>
      </c>
      <c r="G8" s="6">
        <f>E8*F8</f>
        <v/>
      </c>
      <c r="H8" s="17">
        <f>Datos!$B$8*G8</f>
        <v/>
      </c>
      <c r="I8" s="16" t="n">
        <v>4</v>
      </c>
      <c r="J8" s="16" t="n">
        <v>12</v>
      </c>
      <c r="K8" s="16" t="n">
        <v>6</v>
      </c>
      <c r="L8" s="6">
        <f>FLOOR(MIN(12*J8/10,48*K8/10,MIN(E8,F8)),5)</f>
        <v/>
      </c>
      <c r="M8" s="6">
        <f>IF(D8="","FALTA CARGA",IF(O8&lt;H8,"ARM. INSUFIC.",IF(D8&gt;P8,"NO VERIFICA",IF(D8&gt;0.85*P8,"AL LIMITE",IF(Q8&gt;34,"VERIF. ESBELTEZ","VERIFICA")))))</f>
        <v/>
      </c>
      <c r="N8" s="18" t="inlineStr">
        <is>
          <t>COL 02 del plano. Carga PROVISORIA por bajada automatica; es un piso, la real es mayor (ver Memoria, punto 5).</t>
        </is>
      </c>
      <c r="O8" s="19">
        <f>I8*PI()*(J8/10)^2/4</f>
        <v/>
      </c>
      <c r="P8" s="19">
        <f>Datos!$B$7*0.8*(0.85*Datos!$B$4*(G8-O8)+Datos!$B$5*O8)/1000</f>
        <v/>
      </c>
      <c r="Q8" s="20">
        <f>100*C8/(0.3*MIN(E8,F8))</f>
        <v/>
      </c>
      <c r="R8" s="19" t="n">
        <v>2.49</v>
      </c>
    </row>
    <row r="9" ht="17" customHeight="1">
      <c r="A9" s="21" t="n"/>
      <c r="B9" s="13" t="inlineStr">
        <is>
          <t>C2</t>
        </is>
      </c>
      <c r="C9" s="14" t="n">
        <v>3.15</v>
      </c>
      <c r="D9" s="15" t="n">
        <v>29.47</v>
      </c>
      <c r="E9" s="16" t="n">
        <v>15</v>
      </c>
      <c r="F9" s="16" t="n">
        <v>30</v>
      </c>
      <c r="G9" s="6">
        <f>E9*F9</f>
        <v/>
      </c>
      <c r="H9" s="17">
        <f>Datos!$B$8*G9</f>
        <v/>
      </c>
      <c r="I9" s="16" t="n">
        <v>4</v>
      </c>
      <c r="J9" s="16" t="n">
        <v>12</v>
      </c>
      <c r="K9" s="16" t="n">
        <v>6</v>
      </c>
      <c r="L9" s="6">
        <f>FLOOR(MIN(12*J9/10,48*K9/10,MIN(E9,F9)),5)</f>
        <v/>
      </c>
      <c r="M9" s="6">
        <f>IF(D9="","FALTA CARGA",IF(O9&lt;H9,"ARM. INSUFIC.",IF(D9&gt;P9,"NO VERIFICA",IF(D9&gt;0.85*P9,"AL LIMITE",IF(Q9&gt;34,"VERIF. ESBELTEZ","VERIFICA")))))</f>
        <v/>
      </c>
      <c r="N9" s="18" t="inlineStr">
        <is>
          <t>COL 02 del plano. Carga PROVISORIA por bajada automatica; es un piso, la real es mayor (ver Memoria, punto 5).</t>
        </is>
      </c>
      <c r="O9" s="19">
        <f>I9*PI()*(J9/10)^2/4</f>
        <v/>
      </c>
      <c r="P9" s="19">
        <f>Datos!$B$7*0.8*(0.85*Datos!$B$4*(G9-O9)+Datos!$B$5*O9)/1000</f>
        <v/>
      </c>
      <c r="Q9" s="20">
        <f>100*C9/(0.3*MIN(E9,F9))</f>
        <v/>
      </c>
      <c r="R9" s="19" t="n">
        <v>29.47</v>
      </c>
    </row>
    <row r="10" ht="17" customHeight="1">
      <c r="A10" s="21" t="n"/>
      <c r="B10" s="13" t="inlineStr">
        <is>
          <t>C3</t>
        </is>
      </c>
      <c r="C10" s="14" t="n">
        <v>3.15</v>
      </c>
      <c r="D10" s="15" t="n">
        <v>10.6</v>
      </c>
      <c r="E10" s="16" t="n">
        <v>30</v>
      </c>
      <c r="F10" s="16" t="n">
        <v>15</v>
      </c>
      <c r="G10" s="6">
        <f>E10*F10</f>
        <v/>
      </c>
      <c r="H10" s="17">
        <f>Datos!$B$8*G10</f>
        <v/>
      </c>
      <c r="I10" s="16" t="n">
        <v>4</v>
      </c>
      <c r="J10" s="16" t="n">
        <v>12</v>
      </c>
      <c r="K10" s="16" t="n">
        <v>6</v>
      </c>
      <c r="L10" s="6">
        <f>FLOOR(MIN(12*J10/10,48*K10/10,MIN(E10,F10)),5)</f>
        <v/>
      </c>
      <c r="M10" s="6">
        <f>IF(D10="","FALTA CARGA",IF(O10&lt;H10,"ARM. INSUFIC.",IF(D10&gt;P10,"NO VERIFICA",IF(D10&gt;0.85*P10,"AL LIMITE",IF(Q10&gt;34,"VERIF. ESBELTEZ","VERIFICA")))))</f>
        <v/>
      </c>
      <c r="N10" s="18" t="inlineStr">
        <is>
          <t>COL 03 del plano. Carga PROVISORIA por bajada automatica; es un piso, la real es mayor (ver Memoria, punto 5).</t>
        </is>
      </c>
      <c r="O10" s="19">
        <f>I10*PI()*(J10/10)^2/4</f>
        <v/>
      </c>
      <c r="P10" s="19">
        <f>Datos!$B$7*0.8*(0.85*Datos!$B$4*(G10-O10)+Datos!$B$5*O10)/1000</f>
        <v/>
      </c>
      <c r="Q10" s="20">
        <f>100*C10/(0.3*MIN(E10,F10))</f>
        <v/>
      </c>
      <c r="R10" s="19" t="n">
        <v>10.6</v>
      </c>
    </row>
    <row r="11" ht="17" customHeight="1">
      <c r="A11" s="21" t="n"/>
      <c r="B11" s="13" t="inlineStr">
        <is>
          <t>C4</t>
        </is>
      </c>
      <c r="C11" s="14" t="n">
        <v>3.15</v>
      </c>
      <c r="D11" s="15" t="n">
        <v>10.28</v>
      </c>
      <c r="E11" s="16" t="n">
        <v>10</v>
      </c>
      <c r="F11" s="16" t="n">
        <v>10</v>
      </c>
      <c r="G11" s="6">
        <f>E11*F11</f>
        <v/>
      </c>
      <c r="H11" s="17">
        <f>Datos!$B$8*G11</f>
        <v/>
      </c>
      <c r="I11" s="16" t="n">
        <v>4</v>
      </c>
      <c r="J11" s="16" t="n">
        <v>12</v>
      </c>
      <c r="K11" s="16" t="n">
        <v>6</v>
      </c>
      <c r="L11" s="6">
        <f>FLOOR(MIN(12*J11/10,48*K11/10,MIN(E11,F11)),5)</f>
        <v/>
      </c>
      <c r="M11" s="6">
        <f>IF(D11="","FALTA CARGA",IF(O11&lt;H11,"ARM. INSUFIC.",IF(D11&gt;P11,"NO VERIFICA",IF(D11&gt;0.85*P11,"AL LIMITE",IF(Q11&gt;34,"VERIF. ESBELTEZ","VERIFICA")))))</f>
        <v/>
      </c>
      <c r="N11" s="18" t="inlineStr">
        <is>
          <t>COL 01 del plano. Carga PROVISORIA por bajada automatica; es un piso, la real es mayor (ver Memoria, punto 5). ATENCION: seccion 10x10 leida del plano. Recibe VI 01a (17 t): una columna de 10x10 no puede tomar esa carga. Probablemente VI 01a apoye en la medianera y esto no sea columna.</t>
        </is>
      </c>
      <c r="O11" s="19">
        <f>I11*PI()*(J11/10)^2/4</f>
        <v/>
      </c>
      <c r="P11" s="19">
        <f>Datos!$B$7*0.8*(0.85*Datos!$B$4*(G11-O11)+Datos!$B$5*O11)/1000</f>
        <v/>
      </c>
      <c r="Q11" s="20">
        <f>100*C11/(0.3*MIN(E11,F11))</f>
        <v/>
      </c>
      <c r="R11" s="19" t="n">
        <v>10.28</v>
      </c>
    </row>
    <row r="12" ht="17" customHeight="1">
      <c r="A12" s="21" t="n"/>
      <c r="B12" s="13" t="inlineStr">
        <is>
          <t>C5</t>
        </is>
      </c>
      <c r="C12" s="14" t="n">
        <v>3.15</v>
      </c>
      <c r="D12" s="15" t="n">
        <v>15.9</v>
      </c>
      <c r="E12" s="16" t="n">
        <v>15</v>
      </c>
      <c r="F12" s="16" t="n">
        <v>30</v>
      </c>
      <c r="G12" s="6">
        <f>E12*F12</f>
        <v/>
      </c>
      <c r="H12" s="17">
        <f>Datos!$B$8*G12</f>
        <v/>
      </c>
      <c r="I12" s="16" t="n">
        <v>4</v>
      </c>
      <c r="J12" s="16" t="n">
        <v>12</v>
      </c>
      <c r="K12" s="16" t="n">
        <v>6</v>
      </c>
      <c r="L12" s="6">
        <f>FLOOR(MIN(12*J12/10,48*K12/10,MIN(E12,F12)),5)</f>
        <v/>
      </c>
      <c r="M12" s="6">
        <f>IF(D12="","FALTA CARGA",IF(O12&lt;H12,"ARM. INSUFIC.",IF(D12&gt;P12,"NO VERIFICA",IF(D12&gt;0.85*P12,"AL LIMITE",IF(Q12&gt;34,"VERIF. ESBELTEZ","VERIFICA")))))</f>
        <v/>
      </c>
      <c r="N12" s="18" t="inlineStr">
        <is>
          <t>COL 02 del plano. Carga PROVISORIA por bajada automatica; es un piso, la real es mayor (ver Memoria, punto 5).</t>
        </is>
      </c>
      <c r="O12" s="19">
        <f>I12*PI()*(J12/10)^2/4</f>
        <v/>
      </c>
      <c r="P12" s="19">
        <f>Datos!$B$7*0.8*(0.85*Datos!$B$4*(G12-O12)+Datos!$B$5*O12)/1000</f>
        <v/>
      </c>
      <c r="Q12" s="20">
        <f>100*C12/(0.3*MIN(E12,F12))</f>
        <v/>
      </c>
      <c r="R12" s="19" t="n">
        <v>15.9</v>
      </c>
    </row>
    <row r="13" ht="17" customHeight="1">
      <c r="A13" s="21" t="n"/>
      <c r="B13" s="13" t="inlineStr">
        <is>
          <t>C6</t>
        </is>
      </c>
      <c r="C13" s="14" t="n">
        <v>3.15</v>
      </c>
      <c r="D13" s="15" t="n">
        <v>32.1</v>
      </c>
      <c r="E13" s="16" t="n">
        <v>20</v>
      </c>
      <c r="F13" s="16" t="n">
        <v>20</v>
      </c>
      <c r="G13" s="6">
        <f>E13*F13</f>
        <v/>
      </c>
      <c r="H13" s="17">
        <f>Datos!$B$8*G13</f>
        <v/>
      </c>
      <c r="I13" s="16" t="n">
        <v>4</v>
      </c>
      <c r="J13" s="16" t="n">
        <v>12</v>
      </c>
      <c r="K13" s="16" t="n">
        <v>6</v>
      </c>
      <c r="L13" s="6">
        <f>FLOOR(MIN(12*J13/10,48*K13/10,MIN(E13,F13)),5)</f>
        <v/>
      </c>
      <c r="M13" s="6">
        <f>IF(D13="","FALTA CARGA",IF(O13&lt;H13,"ARM. INSUFIC.",IF(D13&gt;P13,"NO VERIFICA",IF(D13&gt;0.85*P13,"AL LIMITE",IF(Q13&gt;34,"VERIF. ESBELTEZ","VERIFICA")))))</f>
        <v/>
      </c>
      <c r="N13" s="18" t="inlineStr">
        <is>
          <t>COL 04 del plano. Carga PROVISORIA por bajada automatica; es un piso, la real es mayor (ver Memoria, punto 5).</t>
        </is>
      </c>
      <c r="O13" s="19">
        <f>I13*PI()*(J13/10)^2/4</f>
        <v/>
      </c>
      <c r="P13" s="19">
        <f>Datos!$B$7*0.8*(0.85*Datos!$B$4*(G13-O13)+Datos!$B$5*O13)/1000</f>
        <v/>
      </c>
      <c r="Q13" s="20">
        <f>100*C13/(0.3*MIN(E13,F13))</f>
        <v/>
      </c>
      <c r="R13" s="19" t="n">
        <v>32.1</v>
      </c>
    </row>
    <row r="14" ht="17" customHeight="1">
      <c r="A14" s="21" t="n"/>
      <c r="B14" s="13" t="inlineStr">
        <is>
          <t>C7</t>
        </is>
      </c>
      <c r="C14" s="14" t="n">
        <v>3.15</v>
      </c>
      <c r="D14" s="15" t="n">
        <v>37.27</v>
      </c>
      <c r="E14" s="16" t="n">
        <v>30</v>
      </c>
      <c r="F14" s="16" t="n">
        <v>15</v>
      </c>
      <c r="G14" s="6">
        <f>E14*F14</f>
        <v/>
      </c>
      <c r="H14" s="17">
        <f>Datos!$B$8*G14</f>
        <v/>
      </c>
      <c r="I14" s="16" t="n">
        <v>4</v>
      </c>
      <c r="J14" s="16" t="n">
        <v>12</v>
      </c>
      <c r="K14" s="16" t="n">
        <v>6</v>
      </c>
      <c r="L14" s="6">
        <f>FLOOR(MIN(12*J14/10,48*K14/10,MIN(E14,F14)),5)</f>
        <v/>
      </c>
      <c r="M14" s="6">
        <f>IF(D14="","FALTA CARGA",IF(O14&lt;H14,"ARM. INSUFIC.",IF(D14&gt;P14,"NO VERIFICA",IF(D14&gt;0.85*P14,"AL LIMITE",IF(Q14&gt;34,"VERIF. ESBELTEZ","VERIFICA")))))</f>
        <v/>
      </c>
      <c r="N14" s="18" t="inlineStr">
        <is>
          <t>COL 03 del plano. Carga PROVISORIA por bajada automatica; es un piso, la real es mayor (ver Memoria, punto 5).</t>
        </is>
      </c>
      <c r="O14" s="19">
        <f>I14*PI()*(J14/10)^2/4</f>
        <v/>
      </c>
      <c r="P14" s="19">
        <f>Datos!$B$7*0.8*(0.85*Datos!$B$4*(G14-O14)+Datos!$B$5*O14)/1000</f>
        <v/>
      </c>
      <c r="Q14" s="20">
        <f>100*C14/(0.3*MIN(E14,F14))</f>
        <v/>
      </c>
      <c r="R14" s="19" t="n">
        <v>37.27</v>
      </c>
    </row>
    <row r="15" ht="17" customHeight="1">
      <c r="A15" s="21" t="n"/>
      <c r="B15" s="13" t="inlineStr">
        <is>
          <t>C8</t>
        </is>
      </c>
      <c r="C15" s="14" t="n">
        <v>3.15</v>
      </c>
      <c r="D15" s="15" t="n">
        <v>42.22</v>
      </c>
      <c r="E15" s="16" t="n">
        <v>15</v>
      </c>
      <c r="F15" s="16" t="n">
        <v>30</v>
      </c>
      <c r="G15" s="6">
        <f>E15*F15</f>
        <v/>
      </c>
      <c r="H15" s="17">
        <f>Datos!$B$8*G15</f>
        <v/>
      </c>
      <c r="I15" s="16" t="n">
        <v>4</v>
      </c>
      <c r="J15" s="16" t="n">
        <v>12</v>
      </c>
      <c r="K15" s="16" t="n">
        <v>6</v>
      </c>
      <c r="L15" s="6">
        <f>FLOOR(MIN(12*J15/10,48*K15/10,MIN(E15,F15)),5)</f>
        <v/>
      </c>
      <c r="M15" s="6">
        <f>IF(D15="","FALTA CARGA",IF(O15&lt;H15,"ARM. INSUFIC.",IF(D15&gt;P15,"NO VERIFICA",IF(D15&gt;0.85*P15,"AL LIMITE",IF(Q15&gt;34,"VERIF. ESBELTEZ","VERIFICA")))))</f>
        <v/>
      </c>
      <c r="N15" s="18" t="inlineStr">
        <is>
          <t>COL 02 del plano. Carga PROVISORIA por bajada automatica; es un piso, la real es mayor (ver Memoria, punto 5).</t>
        </is>
      </c>
      <c r="O15" s="19">
        <f>I15*PI()*(J15/10)^2/4</f>
        <v/>
      </c>
      <c r="P15" s="19">
        <f>Datos!$B$7*0.8*(0.85*Datos!$B$4*(G15-O15)+Datos!$B$5*O15)/1000</f>
        <v/>
      </c>
      <c r="Q15" s="20">
        <f>100*C15/(0.3*MIN(E15,F15))</f>
        <v/>
      </c>
      <c r="R15" s="19" t="n">
        <v>42.22</v>
      </c>
    </row>
    <row r="16" ht="17" customHeight="1">
      <c r="A16" s="22" t="n"/>
      <c r="B16" s="23" t="inlineStr">
        <is>
          <t>C9</t>
        </is>
      </c>
      <c r="C16" s="24" t="n">
        <v>3.15</v>
      </c>
      <c r="D16" s="25" t="n">
        <v>54.89</v>
      </c>
      <c r="E16" s="26" t="n">
        <v>15</v>
      </c>
      <c r="F16" s="26" t="n">
        <v>30</v>
      </c>
      <c r="G16" s="27">
        <f>E16*F16</f>
        <v/>
      </c>
      <c r="H16" s="28">
        <f>Datos!$B$8*G16</f>
        <v/>
      </c>
      <c r="I16" s="26" t="n">
        <v>4</v>
      </c>
      <c r="J16" s="26" t="n">
        <v>12</v>
      </c>
      <c r="K16" s="26" t="n">
        <v>6</v>
      </c>
      <c r="L16" s="27">
        <f>FLOOR(MIN(12*J16/10,48*K16/10,MIN(E16,F16)),5)</f>
        <v/>
      </c>
      <c r="M16" s="27">
        <f>IF(D16="","FALTA CARGA",IF(O16&lt;H16,"ARM. INSUFIC.",IF(D16&gt;P16,"NO VERIFICA",IF(D16&gt;0.85*P16,"AL LIMITE",IF(Q16&gt;34,"VERIF. ESBELTEZ","VERIFICA")))))</f>
        <v/>
      </c>
      <c r="N16" s="29" t="inlineStr">
        <is>
          <t>COL 02 del plano. Carga PROVISORIA por bajada automatica; es un piso, la real es mayor (ver Memoria, punto 5).</t>
        </is>
      </c>
      <c r="O16" s="30">
        <f>I16*PI()*(J16/10)^2/4</f>
        <v/>
      </c>
      <c r="P16" s="30">
        <f>Datos!$B$7*0.8*(0.85*Datos!$B$4*(G16-O16)+Datos!$B$5*O16)/1000</f>
        <v/>
      </c>
      <c r="Q16" s="31">
        <f>100*C16/(0.3*MIN(E16,F16))</f>
        <v/>
      </c>
      <c r="R16" s="30" t="n">
        <v>54.89</v>
      </c>
    </row>
  </sheetData>
  <mergeCells count="13">
    <mergeCell ref="A4:A7"/>
    <mergeCell ref="E2:G2"/>
    <mergeCell ref="N2:N3"/>
    <mergeCell ref="A8:A16"/>
    <mergeCell ref="K2:L2"/>
    <mergeCell ref="D2:D3"/>
    <mergeCell ref="H2:J2"/>
    <mergeCell ref="B2:B3"/>
    <mergeCell ref="A2:A3"/>
    <mergeCell ref="A1:R1"/>
    <mergeCell ref="C2:C3"/>
    <mergeCell ref="M2:M3"/>
    <mergeCell ref="O2:R2"/>
  </mergeCells>
  <conditionalFormatting sqref="M4:M16">
    <cfRule type="cellIs" priority="1" operator="equal" dxfId="0">
      <formula>"VERIFICA"</formula>
    </cfRule>
    <cfRule type="cellIs" priority="2" operator="equal" dxfId="1">
      <formula>"NO VERIFICA"</formula>
    </cfRule>
    <cfRule type="cellIs" priority="3" operator="equal" dxfId="1">
      <formula>"ARM. INSUFIC."</formula>
    </cfRule>
    <cfRule type="cellIs" priority="4" operator="equal" dxfId="1">
      <formula>"VERIF. ESBELTEZ"</formula>
    </cfRule>
    <cfRule type="cellIs" priority="5" operator="equal" dxfId="1">
      <formula>"FALTA CARGA"</formula>
    </cfRule>
    <cfRule type="cellIs" priority="6" operator="equal" dxfId="1">
      <formula>"AL LIMITE"</formula>
    </cfRule>
  </conditionalFormatting>
  <dataValidations count="1">
    <dataValidation sqref="J4:J16 K4:K16" showDropDown="0" showInputMessage="0" showErrorMessage="0" allowBlank="1" type="list">
      <formula1>"6,8,10,12,16,20,25"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>
      <c r="A1" s="32" t="inlineStr">
        <is>
          <t>MEMORIA DE CALCULO - COLUMNAS</t>
        </is>
      </c>
      <c r="B1" s="33" t="inlineStr"/>
    </row>
    <row r="2">
      <c r="A2" s="33" t="inlineStr"/>
      <c r="B2" s="34" t="inlineStr"/>
    </row>
    <row r="3">
      <c r="A3" s="33" t="inlineStr">
        <is>
          <t>MATERIALES</t>
        </is>
      </c>
      <c r="B3" s="33" t="inlineStr">
        <is>
          <t>H-21 (f'c 210 kg/cm2). Acero 42/50 (fy 4200). phi compresion 0,65.</t>
        </is>
      </c>
    </row>
    <row r="4">
      <c r="A4" s="33" t="inlineStr"/>
      <c r="B4" s="34" t="inlineStr"/>
    </row>
    <row r="5">
      <c r="A5" s="33" t="inlineStr">
        <is>
          <t>1. RELEVAMIENTO</t>
        </is>
      </c>
      <c r="B5" s="33" t="inlineStr">
        <is>
          <t>Las columnas se identificaron en el plano cruzando el rotulo COL con un rectangulo</t>
        </is>
      </c>
    </row>
    <row r="6">
      <c r="A6" s="33" t="inlineStr"/>
      <c r="B6" s="34" t="inlineStr">
        <is>
          <t>de la misma seccion a menos de 26 pt. Resultaron 9 en PB y 4 en PA.</t>
        </is>
      </c>
    </row>
    <row r="7">
      <c r="A7" s="33" t="inlineStr"/>
      <c r="B7" s="34" t="inlineStr">
        <is>
          <t>Las 4 de PA caen exactamente sobre C6, C7, C8 y C9 de PB, y ademas tienen la misma</t>
        </is>
      </c>
    </row>
    <row r="8">
      <c r="A8" s="33" t="inlineStr"/>
      <c r="B8" s="34" t="inlineStr">
        <is>
          <t>seccion, lo que confirma que la correspondencia entre plantas es correcta.</t>
        </is>
      </c>
    </row>
    <row r="9">
      <c r="A9" s="33" t="inlineStr"/>
      <c r="B9" s="34" t="inlineStr">
        <is>
          <t>La planilla modelo de la catedra tiene 10 columnas en PB: puede faltar una que no</t>
        </is>
      </c>
    </row>
    <row r="10">
      <c r="A10" s="33" t="inlineStr"/>
      <c r="B10" s="34" t="inlineStr">
        <is>
          <t>haya podido resolverse por rotulo. Conviene contarlas en el plano.</t>
        </is>
      </c>
    </row>
    <row r="11">
      <c r="A11" s="33" t="inlineStr"/>
      <c r="B11" s="34" t="inlineStr"/>
    </row>
    <row r="12">
      <c r="A12" s="33" t="inlineStr">
        <is>
          <t>2. ALTURAS</t>
        </is>
      </c>
      <c r="B12" s="33" t="inlineStr">
        <is>
          <t>PB 3,15 m y PA 3,22 m, los mismos valores de la planilla de la catedra, coherentes</t>
        </is>
      </c>
    </row>
    <row r="13">
      <c r="A13" s="33" t="inlineStr"/>
      <c r="B13" s="34" t="inlineStr">
        <is>
          <t>con los niveles del plano (N.F.L +3,50 del entrepiso y +6,80 del techo).</t>
        </is>
      </c>
    </row>
    <row r="14">
      <c r="A14" s="33" t="inlineStr"/>
      <c r="B14" s="34" t="inlineStr"/>
    </row>
    <row r="15">
      <c r="A15" s="33" t="inlineStr">
        <is>
          <t>3. ARMADURA</t>
        </is>
      </c>
      <c r="B15" s="33" t="inlineStr">
        <is>
          <t>As = 0,008 x area (cuantia minima, el mismo criterio de la planilla modelo).</t>
        </is>
      </c>
    </row>
    <row r="16">
      <c r="A16" s="33" t="inlineStr"/>
      <c r="B16" s="34" t="inlineStr">
        <is>
          <t>Se adoptan 4 barras del 12 en todas: 4,52 cm2, que cubre la minima en toda seccion.</t>
        </is>
      </c>
    </row>
    <row r="17">
      <c r="A17" s="33" t="inlineStr"/>
      <c r="B17" s="34" t="inlineStr">
        <is>
          <t>Separacion de estribos = min(12 x diam. long. ; 48 x diam. estribo ; lado menor),</t>
        </is>
      </c>
    </row>
    <row r="18">
      <c r="A18" s="33" t="inlineStr"/>
      <c r="B18" s="34" t="inlineStr">
        <is>
          <t>redondeada hacia abajo a multiplo de 5. Para 4d12 con estribo d6 da 10 cm.</t>
        </is>
      </c>
    </row>
    <row r="19">
      <c r="A19" s="33" t="inlineStr"/>
      <c r="B19" s="34" t="inlineStr">
        <is>
          <t>La planilla de la catedra adopta 20 cm: ese valor supera el limite reglamentario.</t>
        </is>
      </c>
    </row>
    <row r="20">
      <c r="A20" s="33" t="inlineStr"/>
      <c r="B20" s="34" t="inlineStr"/>
    </row>
    <row r="21">
      <c r="A21" s="33" t="inlineStr">
        <is>
          <t>4. CAPACIDAD</t>
        </is>
      </c>
      <c r="B21" s="33" t="inlineStr">
        <is>
          <t>phi Pn = 0,65 x 0,80 x [0,85 f'c (Ag - As) + fy As]     (columna zunchada con estribos)</t>
        </is>
      </c>
    </row>
    <row r="22">
      <c r="A22" s="33" t="inlineStr"/>
      <c r="B22" s="34" t="inlineStr">
        <is>
          <t xml:space="preserve">  15x30 con 4d12 -&gt; 51,2 t        20x20 con 4d12 -&gt; 46,6 t</t>
        </is>
      </c>
    </row>
    <row r="23">
      <c r="A23" s="33" t="inlineStr"/>
      <c r="B23" s="34" t="inlineStr"/>
    </row>
    <row r="24">
      <c r="A24" s="33" t="inlineStr">
        <is>
          <t>5. CARGAS</t>
        </is>
      </c>
      <c r="B24" s="33" t="inlineStr">
        <is>
          <t>La columna CARGA (t) viene cargada con una bajada automatica: suma de las</t>
        </is>
      </c>
    </row>
    <row r="25">
      <c r="A25" s="33" t="inlineStr"/>
      <c r="B25" s="34" t="inlineStr">
        <is>
          <t>reacciones de las vigas que apoyan en cada columna (tomadas de la planilla de</t>
        </is>
      </c>
    </row>
    <row r="26">
      <c r="A26" s="33" t="inlineStr"/>
      <c r="B26" s="34" t="inlineStr">
        <is>
          <t>vigas), mas el peso propio, mas lo que baja de la columna del nivel superior.</t>
        </is>
      </c>
    </row>
    <row r="27">
      <c r="A27" s="33" t="inlineStr"/>
      <c r="B27" s="34" t="inlineStr">
        <is>
          <t>ES UNA CARGA PROVISORIA Y ES UN PISO, NO EL VALOR REAL: 20 de los 60 extremos</t>
        </is>
      </c>
    </row>
    <row r="28">
      <c r="A28" s="33" t="inlineStr"/>
      <c r="B28" s="34" t="inlineStr">
        <is>
          <t>de viga no pudieron asignarse a ninguna columna porque apoyan en otra viga, en</t>
        </is>
      </c>
    </row>
    <row r="29">
      <c r="A29" s="33" t="inlineStr"/>
      <c r="B29" s="34" t="inlineStr">
        <is>
          <t>un tabique o en la medianera, y esas reacciones no estan sumadas.</t>
        </is>
      </c>
    </row>
    <row r="30">
      <c r="A30" s="33" t="inlineStr"/>
      <c r="B30" s="34" t="inlineStr">
        <is>
          <t>Para cerrarla hay que indicar, para cada uno de esos 20 extremos, en que apoya.</t>
        </is>
      </c>
    </row>
    <row r="31">
      <c r="A31" s="33" t="inlineStr"/>
      <c r="B31" s="34" t="inlineStr">
        <is>
          <t>Mientras tanto la columna es editable: al corregir un valor todo recalcula.</t>
        </is>
      </c>
    </row>
    <row r="32">
      <c r="A32" s="33" t="inlineStr"/>
      <c r="B32" s="34" t="inlineStr">
        <is>
          <t>Ademas son cargas MAYORADAS, coherentes con la planilla de vigas. Si la catedra</t>
        </is>
      </c>
    </row>
    <row r="33">
      <c r="A33" s="33" t="inlineStr"/>
      <c r="B33" s="34" t="inlineStr">
        <is>
          <t>pide cargas de servicio, dividir por el coeficiente que corresponda.</t>
        </is>
      </c>
    </row>
    <row r="34">
      <c r="A34" s="33" t="inlineStr"/>
      <c r="B34" s="34" t="inlineStr"/>
    </row>
    <row r="35">
      <c r="A35" s="33" t="inlineStr">
        <is>
          <t>6. ESBELTEZ</t>
        </is>
      </c>
      <c r="B35" s="33" t="inlineStr">
        <is>
          <t>Todas las columnas son esbeltas: con lado menor de 15 cm y 3,15 m de altura,</t>
        </is>
      </c>
    </row>
    <row r="36">
      <c r="A36" s="33" t="inlineStr"/>
      <c r="B36" s="34" t="inlineStr">
        <is>
          <t>k lu / r = 70, muy por encima del limite de 34 por debajo del cual se puede</t>
        </is>
      </c>
    </row>
    <row r="37">
      <c r="A37" s="33" t="inlineStr"/>
      <c r="B37" s="34" t="inlineStr">
        <is>
          <t>despreciar el pandeo. En la practica el llenado de mamposteria las arriostra, pero</t>
        </is>
      </c>
    </row>
    <row r="38">
      <c r="A38" s="33" t="inlineStr"/>
      <c r="B38" s="34" t="inlineStr">
        <is>
          <t>si la catedra lo pide hay que verificar segundo orden. La planilla lo marca.</t>
        </is>
      </c>
    </row>
    <row r="39">
      <c r="A39" s="33" t="inlineStr"/>
      <c r="B39" s="34" t="inlineStr"/>
    </row>
    <row r="40">
      <c r="A40" s="33" t="inlineStr">
        <is>
          <t>7. C4, A REVISAR</t>
        </is>
      </c>
      <c r="B40" s="33" t="inlineStr">
        <is>
          <t>C4 figura en el plano como 10x10 y recibe el extremo de VI 01a, con 17 t de</t>
        </is>
      </c>
    </row>
    <row r="41">
      <c r="A41" s="33" t="inlineStr"/>
      <c r="B41" s="34" t="inlineStr">
        <is>
          <t>reaccion. Una columna de 10x10 no toma esa carga. VI 01a corre sobre la medianera,</t>
        </is>
      </c>
    </row>
    <row r="42">
      <c r="A42" s="33" t="inlineStr"/>
      <c r="B42" s="34" t="inlineStr">
        <is>
          <t>asi que lo mas probable es que apoye en el muro y ese 10x10 no sea una columna.</t>
        </is>
      </c>
    </row>
    <row r="43">
      <c r="A43" s="33" t="inlineStr"/>
      <c r="B43" s="34" t="inlineStr"/>
    </row>
    <row r="44">
      <c r="A44" s="33" t="inlineStr">
        <is>
          <t>LIMITACIONES</t>
        </is>
      </c>
      <c r="B44" s="33" t="inlineStr">
        <is>
          <t>Trabajo academico. Requiere verificacion y firma de profesional matriculado.</t>
        </is>
      </c>
    </row>
    <row r="45">
      <c r="A45" s="33" t="inlineStr"/>
      <c r="B45" s="34" t="inlineStr">
        <is>
          <t>No se verifica flexion compuesta: las columnas de borde reciben momento de las</t>
        </is>
      </c>
    </row>
    <row r="46">
      <c r="A46" s="33" t="inlineStr"/>
      <c r="B46" s="34" t="inlineStr">
        <is>
          <t>vigas invertidas y trabajan a flexo-compresion, no a compresion simple.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2026-10-21T22:21:37Z</dcterms:created>
  <dcterms:modified xmlns:dcterms="http://purl.org/dc/terms/" xmlns:xsi="http://www.w3.org/2001/XMLSchema-instance" xsi:type="dcterms:W3CDTF">2026-10-21T22:21:37Z</dcterms:modified>
</cp:coreProperties>
</file>